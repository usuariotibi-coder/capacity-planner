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slicers/slicer3.xml" ContentType="application/vnd.ms-excel.slicer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eccontrolswarren-my.sharepoint.com/personal/aldo_arteaga_na_scio-automation_com/Documents/Escritorio/"/>
    </mc:Choice>
  </mc:AlternateContent>
  <xr:revisionPtr revIDLastSave="0" documentId="8_{3E8A5453-F85E-477E-9FBB-104053A89DD3}" xr6:coauthVersionLast="47" xr6:coauthVersionMax="47" xr10:uidLastSave="{00000000-0000-0000-0000-000000000000}"/>
  <bookViews>
    <workbookView xWindow="-108" yWindow="-108" windowWidth="23256" windowHeight="12576" tabRatio="576" firstSheet="4" activeTab="4" xr2:uid="{6A0DE6D8-7B4D-43DA-A9C7-C14771639CA0}"/>
  </bookViews>
  <sheets>
    <sheet name="HD Forecast 2025" sheetId="13" state="hidden" r:id="rId1"/>
    <sheet name="HD Forecast 2026" sheetId="30" r:id="rId2"/>
    <sheet name="Database" sheetId="3" r:id="rId3"/>
    <sheet name="Dashboard" sheetId="23" r:id="rId4"/>
    <sheet name="Internal Dashboard" sheetId="28" r:id="rId5"/>
    <sheet name="Hours in deviations" sheetId="31" r:id="rId6"/>
    <sheet name="Forms" sheetId="29" r:id="rId7"/>
    <sheet name="DATA" sheetId="19" r:id="rId8"/>
    <sheet name="Tables" sheetId="22" state="hidden" r:id="rId9"/>
  </sheets>
  <definedNames>
    <definedName name="_xlnm._FilterDatabase" localSheetId="7" hidden="1">DATA!$H$2:$K$446</definedName>
    <definedName name="_xlnm._FilterDatabase" localSheetId="2" hidden="1">Database!$A$1:$EW$1</definedName>
    <definedName name="_xlnm._FilterDatabase" localSheetId="6" hidden="1">Forms!$B$5:$D$27</definedName>
    <definedName name="d.conn" localSheetId="2">Database!$S1</definedName>
    <definedName name="d.id" localSheetId="2">Database!#REF!</definedName>
    <definedName name="ff_calculation" localSheetId="2">WORKDAY(INDEX(Database!$AI:$AI,#REF!),(#REF!+#REF!))</definedName>
    <definedName name="fs_calculation" localSheetId="2">WORKDAY(INDEX(Database!$AI:$AI,#REF!),1+#REF!+IF(#REF! = "M",#REF!, 0))</definedName>
    <definedName name="ind.end" localSheetId="2">Database!#REF!</definedName>
    <definedName name="ind.start" localSheetId="2">Database!$R1</definedName>
    <definedName name="MDDataBase" localSheetId="4">BaseDeDatos[]</definedName>
    <definedName name="MDDataBase">BaseDeDatos[]</definedName>
    <definedName name="plan_end_calculation" localSheetId="2">IF(#REF!="M", WORKDAY(#REF!,(#REF!)-1), IF(#REF!="SS", IF(#REF!="SS", WORKDAY(#REF!,(#REF!+#REF!)-1), WORKDAY(INDEX(Database!$AH:$AH,#REF!),(#REF!+#REF!))), WORKDAY(#REF!,(#REF!+#REF!)-1)))</definedName>
    <definedName name="plan_start_calculation" localSheetId="2">IF(#REF!="M", WORKDAY(#REF!,(-1)*#REF!+1), IF(#REF!="SF", WORKDAY(#REF!,(-1)*(#REF!+#REF!)+1), IF(#REF!="FF",WORKDAY(#REF!,(-1)*(#REF!+#REF!)+1), WORKDAY(#REF!,(-1)*#REF!+1))))</definedName>
    <definedName name="SegmentaciónDeDatos_Project_No">#N/A</definedName>
    <definedName name="SegmentaciónDeDatos_Project_No1">#N/A</definedName>
    <definedName name="SegmentaciónDeDatos_Responsible">#N/A</definedName>
    <definedName name="SegmentaciónDeDatos_Responsible1">#N/A</definedName>
    <definedName name="SegmentaciónDeDatos_STATUS">#N/A</definedName>
    <definedName name="sf_calculation" localSheetId="2">WORKDAY(INDEX(Database!$AH:$AH,#REF!),(-1)+(#REF!+#REF!))</definedName>
    <definedName name="ss_calculation" localSheetId="2">IF(#REF!="M", WORKDAY(INDEX(Database!$AH:$AH,#REF!),(#REF!+#REF!)), WORKDAY(INDEX(Database!$AH:$AH,#REF!),#REF!))</definedName>
    <definedName name="type" localSheetId="2">#REF!</definedName>
  </definedNames>
  <calcPr calcId="191028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81" i="3" l="1"/>
  <c r="BC81" i="3"/>
  <c r="BG81" i="3"/>
  <c r="BH81" i="3"/>
  <c r="BL81" i="3"/>
  <c r="BM81" i="3"/>
  <c r="BQ81" i="3"/>
  <c r="BR81" i="3"/>
  <c r="BV81" i="3"/>
  <c r="BW81" i="3"/>
  <c r="CA81" i="3"/>
  <c r="CB81" i="3"/>
  <c r="CF81" i="3"/>
  <c r="CG81" i="3"/>
  <c r="J11" i="3"/>
  <c r="K11" i="3"/>
  <c r="R11" i="3" s="1"/>
  <c r="AI11" i="3"/>
  <c r="AK11" i="3" s="1"/>
  <c r="AN11" i="3"/>
  <c r="AO11" i="3"/>
  <c r="AU11" i="3"/>
  <c r="AV11" i="3"/>
  <c r="BB11" i="3"/>
  <c r="BC11" i="3"/>
  <c r="BG11" i="3"/>
  <c r="BH11" i="3"/>
  <c r="BL11" i="3"/>
  <c r="BM11" i="3"/>
  <c r="BQ11" i="3"/>
  <c r="BR11" i="3"/>
  <c r="BV11" i="3"/>
  <c r="BW11" i="3"/>
  <c r="CA11" i="3"/>
  <c r="CB11" i="3"/>
  <c r="CF11" i="3"/>
  <c r="CG11" i="3"/>
  <c r="CK11" i="3"/>
  <c r="CL11" i="3"/>
  <c r="CP11" i="3"/>
  <c r="CV11" i="3"/>
  <c r="CW11" i="3"/>
  <c r="DC11" i="3"/>
  <c r="DD11" i="3"/>
  <c r="DJ11" i="3"/>
  <c r="DK11" i="3"/>
  <c r="DO11" i="3"/>
  <c r="DP11" i="3"/>
  <c r="DV11" i="3"/>
  <c r="DW11" i="3"/>
  <c r="EC11" i="3"/>
  <c r="ED11" i="3"/>
  <c r="EJ11" i="3"/>
  <c r="EK11" i="3"/>
  <c r="EQ11" i="3"/>
  <c r="ER11" i="3"/>
  <c r="J4" i="3"/>
  <c r="AI4" i="3"/>
  <c r="AK4" i="3" s="1"/>
  <c r="AN4" i="3"/>
  <c r="AO4" i="3"/>
  <c r="AU4" i="3"/>
  <c r="AV4" i="3"/>
  <c r="BB4" i="3"/>
  <c r="BC4" i="3"/>
  <c r="BG4" i="3"/>
  <c r="BH4" i="3"/>
  <c r="BL4" i="3"/>
  <c r="BM4" i="3"/>
  <c r="BQ4" i="3"/>
  <c r="BR4" i="3"/>
  <c r="BV4" i="3"/>
  <c r="BW4" i="3"/>
  <c r="CA4" i="3"/>
  <c r="CB4" i="3"/>
  <c r="CF4" i="3"/>
  <c r="CG4" i="3"/>
  <c r="CK4" i="3"/>
  <c r="CL4" i="3"/>
  <c r="CP4" i="3"/>
  <c r="CV4" i="3"/>
  <c r="CW4" i="3"/>
  <c r="DC4" i="3"/>
  <c r="DD4" i="3"/>
  <c r="DJ4" i="3"/>
  <c r="DK4" i="3"/>
  <c r="DO4" i="3"/>
  <c r="DP4" i="3"/>
  <c r="DV4" i="3"/>
  <c r="DW4" i="3"/>
  <c r="EC4" i="3"/>
  <c r="ED4" i="3"/>
  <c r="EJ4" i="3"/>
  <c r="EK4" i="3"/>
  <c r="EQ4" i="3"/>
  <c r="ER4" i="3"/>
  <c r="J23" i="3"/>
  <c r="J24" i="3"/>
  <c r="AI23" i="3"/>
  <c r="AK23" i="3" s="1"/>
  <c r="AI24" i="3"/>
  <c r="AK24" i="3" s="1"/>
  <c r="AN23" i="3"/>
  <c r="AN24" i="3"/>
  <c r="AO23" i="3"/>
  <c r="AO24" i="3"/>
  <c r="AU23" i="3"/>
  <c r="AU24" i="3"/>
  <c r="AV23" i="3"/>
  <c r="AV24" i="3"/>
  <c r="BB23" i="3"/>
  <c r="BB24" i="3"/>
  <c r="BC23" i="3"/>
  <c r="BC24" i="3"/>
  <c r="BG23" i="3"/>
  <c r="BG24" i="3"/>
  <c r="BH23" i="3"/>
  <c r="BH24" i="3"/>
  <c r="BL23" i="3"/>
  <c r="BL24" i="3"/>
  <c r="BM23" i="3"/>
  <c r="BM24" i="3"/>
  <c r="BQ23" i="3"/>
  <c r="BQ24" i="3"/>
  <c r="BR23" i="3"/>
  <c r="BR24" i="3"/>
  <c r="BV23" i="3"/>
  <c r="BV24" i="3"/>
  <c r="BW23" i="3"/>
  <c r="BW24" i="3"/>
  <c r="CA23" i="3"/>
  <c r="CA24" i="3"/>
  <c r="CB23" i="3"/>
  <c r="CB24" i="3"/>
  <c r="CF23" i="3"/>
  <c r="CF24" i="3"/>
  <c r="CG23" i="3"/>
  <c r="CG24" i="3"/>
  <c r="CK23" i="3"/>
  <c r="CK24" i="3"/>
  <c r="CL23" i="3"/>
  <c r="CL24" i="3"/>
  <c r="CP23" i="3"/>
  <c r="CP24" i="3"/>
  <c r="CV23" i="3"/>
  <c r="CV24" i="3"/>
  <c r="CW23" i="3"/>
  <c r="CW24" i="3"/>
  <c r="DC23" i="3"/>
  <c r="DC24" i="3"/>
  <c r="DD23" i="3"/>
  <c r="DD24" i="3"/>
  <c r="DJ23" i="3"/>
  <c r="DJ24" i="3"/>
  <c r="DK23" i="3"/>
  <c r="DK24" i="3"/>
  <c r="DO23" i="3"/>
  <c r="DO24" i="3"/>
  <c r="DP23" i="3"/>
  <c r="DP24" i="3"/>
  <c r="DV23" i="3"/>
  <c r="DV24" i="3"/>
  <c r="DW23" i="3"/>
  <c r="DW24" i="3"/>
  <c r="EC23" i="3"/>
  <c r="EC24" i="3"/>
  <c r="ED23" i="3"/>
  <c r="ED24" i="3"/>
  <c r="EJ23" i="3"/>
  <c r="EJ24" i="3"/>
  <c r="EK23" i="3"/>
  <c r="EK24" i="3"/>
  <c r="EQ23" i="3"/>
  <c r="EQ24" i="3"/>
  <c r="ER23" i="3"/>
  <c r="ER24" i="3"/>
  <c r="J22" i="3"/>
  <c r="AI22" i="3"/>
  <c r="AK22" i="3" s="1"/>
  <c r="AN22" i="3"/>
  <c r="AO22" i="3"/>
  <c r="AU22" i="3"/>
  <c r="AV22" i="3"/>
  <c r="BB22" i="3"/>
  <c r="BC22" i="3"/>
  <c r="BG22" i="3"/>
  <c r="BH22" i="3"/>
  <c r="BL22" i="3"/>
  <c r="BM22" i="3"/>
  <c r="BQ22" i="3"/>
  <c r="BR22" i="3"/>
  <c r="BV22" i="3"/>
  <c r="BW22" i="3"/>
  <c r="CA22" i="3"/>
  <c r="CB22" i="3"/>
  <c r="CF22" i="3"/>
  <c r="CG22" i="3"/>
  <c r="CK22" i="3"/>
  <c r="CL22" i="3"/>
  <c r="CP22" i="3"/>
  <c r="CV22" i="3"/>
  <c r="CW22" i="3"/>
  <c r="DC22" i="3"/>
  <c r="DD22" i="3"/>
  <c r="DJ22" i="3"/>
  <c r="DK22" i="3"/>
  <c r="DO22" i="3"/>
  <c r="DP22" i="3"/>
  <c r="DV22" i="3"/>
  <c r="DW22" i="3"/>
  <c r="EC22" i="3"/>
  <c r="ED22" i="3"/>
  <c r="EJ22" i="3"/>
  <c r="EK22" i="3"/>
  <c r="EQ22" i="3"/>
  <c r="ER22" i="3"/>
  <c r="I14" i="19"/>
  <c r="I21" i="19"/>
  <c r="I22" i="19"/>
  <c r="I23" i="19"/>
  <c r="I24" i="19"/>
  <c r="I29" i="19"/>
  <c r="I37" i="19"/>
  <c r="I38" i="19"/>
  <c r="I39" i="19"/>
  <c r="I40" i="19"/>
  <c r="I41" i="19"/>
  <c r="I42" i="19"/>
  <c r="I43" i="19"/>
  <c r="I44" i="19"/>
  <c r="I45" i="19"/>
  <c r="I53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8" i="19"/>
  <c r="I79" i="19"/>
  <c r="I90" i="19"/>
  <c r="I91" i="19"/>
  <c r="I92" i="19"/>
  <c r="I94" i="19"/>
  <c r="I95" i="19"/>
  <c r="I96" i="19"/>
  <c r="I97" i="19"/>
  <c r="I98" i="19"/>
  <c r="I99" i="19"/>
  <c r="I100" i="19"/>
  <c r="I101" i="19"/>
  <c r="I102" i="19"/>
  <c r="I103" i="19"/>
  <c r="I104" i="19"/>
  <c r="I106" i="19"/>
  <c r="I108" i="19"/>
  <c r="I109" i="19"/>
  <c r="I112" i="19"/>
  <c r="I93" i="19"/>
  <c r="I110" i="19"/>
  <c r="I111" i="19"/>
  <c r="I5" i="19"/>
  <c r="I133" i="19"/>
  <c r="I134" i="19"/>
  <c r="I107" i="19"/>
  <c r="I60" i="19"/>
  <c r="I55" i="19"/>
  <c r="I57" i="19"/>
  <c r="I54" i="19"/>
  <c r="I58" i="19"/>
  <c r="I56" i="19"/>
  <c r="I16" i="19"/>
  <c r="I17" i="19"/>
  <c r="I18" i="19"/>
  <c r="I33" i="19"/>
  <c r="I61" i="19"/>
  <c r="I62" i="19"/>
  <c r="I7" i="19"/>
  <c r="I19" i="19"/>
  <c r="I77" i="19"/>
  <c r="I136" i="19"/>
  <c r="I138" i="19"/>
  <c r="I139" i="19"/>
  <c r="I117" i="19"/>
  <c r="I59" i="19"/>
  <c r="I6" i="19"/>
  <c r="I116" i="19"/>
  <c r="I8" i="19"/>
  <c r="I131" i="19"/>
  <c r="I30" i="19"/>
  <c r="I137" i="19"/>
  <c r="I122" i="19"/>
  <c r="I86" i="19"/>
  <c r="I81" i="19"/>
  <c r="I83" i="19"/>
  <c r="I85" i="19"/>
  <c r="I80" i="19"/>
  <c r="I84" i="19"/>
  <c r="I82" i="19"/>
  <c r="I25" i="19"/>
  <c r="I26" i="19"/>
  <c r="I27" i="19"/>
  <c r="I49" i="19"/>
  <c r="I87" i="19"/>
  <c r="I88" i="19"/>
  <c r="I13" i="19"/>
  <c r="I28" i="19"/>
  <c r="I105" i="19"/>
  <c r="I32" i="19"/>
  <c r="I115" i="19"/>
  <c r="I120" i="19"/>
  <c r="I34" i="19"/>
  <c r="I12" i="19"/>
  <c r="I129" i="19"/>
  <c r="I130" i="19"/>
  <c r="I141" i="19"/>
  <c r="I9" i="19"/>
  <c r="I11" i="19"/>
  <c r="I128" i="19"/>
  <c r="I113" i="19"/>
  <c r="I31" i="19"/>
  <c r="I35" i="19"/>
  <c r="I36" i="19"/>
  <c r="I15" i="19"/>
  <c r="I89" i="19"/>
  <c r="I127" i="19"/>
  <c r="I135" i="19"/>
  <c r="I20" i="19"/>
  <c r="I119" i="19"/>
  <c r="I118" i="19"/>
  <c r="I132" i="19"/>
  <c r="I125" i="19"/>
  <c r="I46" i="19"/>
  <c r="I47" i="19"/>
  <c r="K20" i="3" s="1"/>
  <c r="I48" i="19"/>
  <c r="K21" i="3" s="1"/>
  <c r="I123" i="19"/>
  <c r="I140" i="19"/>
  <c r="I50" i="19"/>
  <c r="I51" i="19"/>
  <c r="I52" i="19"/>
  <c r="I10" i="19"/>
  <c r="I121" i="19"/>
  <c r="I114" i="19"/>
  <c r="I124" i="19"/>
  <c r="I126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289" i="19"/>
  <c r="I290" i="19"/>
  <c r="I291" i="19"/>
  <c r="I292" i="19"/>
  <c r="I293" i="19"/>
  <c r="I294" i="19"/>
  <c r="I295" i="19"/>
  <c r="I296" i="19"/>
  <c r="I297" i="19"/>
  <c r="I298" i="19"/>
  <c r="I299" i="19"/>
  <c r="I300" i="19"/>
  <c r="I301" i="19"/>
  <c r="I302" i="19"/>
  <c r="I303" i="19"/>
  <c r="I304" i="19"/>
  <c r="I305" i="19"/>
  <c r="I306" i="19"/>
  <c r="I307" i="19"/>
  <c r="I308" i="19"/>
  <c r="I309" i="19"/>
  <c r="I310" i="19"/>
  <c r="I311" i="19"/>
  <c r="I312" i="19"/>
  <c r="I313" i="19"/>
  <c r="I314" i="19"/>
  <c r="I315" i="19"/>
  <c r="I316" i="19"/>
  <c r="I317" i="19"/>
  <c r="I318" i="19"/>
  <c r="I319" i="19"/>
  <c r="I320" i="19"/>
  <c r="I321" i="19"/>
  <c r="I322" i="19"/>
  <c r="I323" i="19"/>
  <c r="I324" i="19"/>
  <c r="I325" i="19"/>
  <c r="I326" i="19"/>
  <c r="I327" i="19"/>
  <c r="I328" i="19"/>
  <c r="I329" i="19"/>
  <c r="I330" i="19"/>
  <c r="I331" i="19"/>
  <c r="I332" i="19"/>
  <c r="I333" i="19"/>
  <c r="I334" i="19"/>
  <c r="I335" i="19"/>
  <c r="I336" i="19"/>
  <c r="I337" i="19"/>
  <c r="I338" i="19"/>
  <c r="I339" i="19"/>
  <c r="I340" i="19"/>
  <c r="I341" i="19"/>
  <c r="I342" i="19"/>
  <c r="I343" i="19"/>
  <c r="I344" i="19"/>
  <c r="I345" i="19"/>
  <c r="I346" i="19"/>
  <c r="I347" i="19"/>
  <c r="I348" i="19"/>
  <c r="I349" i="19"/>
  <c r="I350" i="19"/>
  <c r="I351" i="19"/>
  <c r="I352" i="19"/>
  <c r="I353" i="19"/>
  <c r="I354" i="19"/>
  <c r="I355" i="19"/>
  <c r="I356" i="19"/>
  <c r="I357" i="19"/>
  <c r="I358" i="19"/>
  <c r="I359" i="19"/>
  <c r="I360" i="19"/>
  <c r="I361" i="19"/>
  <c r="I362" i="19"/>
  <c r="I363" i="19"/>
  <c r="I364" i="19"/>
  <c r="I365" i="19"/>
  <c r="I366" i="19"/>
  <c r="I367" i="19"/>
  <c r="I368" i="19"/>
  <c r="I369" i="19"/>
  <c r="I370" i="19"/>
  <c r="I371" i="19"/>
  <c r="I372" i="19"/>
  <c r="I373" i="19"/>
  <c r="I374" i="19"/>
  <c r="I375" i="19"/>
  <c r="I376" i="19"/>
  <c r="I377" i="19"/>
  <c r="I378" i="19"/>
  <c r="I379" i="19"/>
  <c r="I380" i="19"/>
  <c r="I381" i="19"/>
  <c r="I382" i="19"/>
  <c r="I383" i="19"/>
  <c r="I384" i="19"/>
  <c r="I385" i="19"/>
  <c r="I386" i="19"/>
  <c r="I387" i="19"/>
  <c r="I388" i="19"/>
  <c r="I389" i="19"/>
  <c r="I390" i="19"/>
  <c r="I391" i="19"/>
  <c r="I392" i="19"/>
  <c r="I393" i="19"/>
  <c r="I394" i="19"/>
  <c r="I395" i="19"/>
  <c r="I396" i="19"/>
  <c r="I397" i="19"/>
  <c r="I398" i="19"/>
  <c r="I399" i="19"/>
  <c r="I400" i="19"/>
  <c r="I401" i="19"/>
  <c r="I402" i="19"/>
  <c r="I403" i="19"/>
  <c r="I404" i="19"/>
  <c r="I405" i="19"/>
  <c r="I406" i="19"/>
  <c r="I407" i="19"/>
  <c r="I408" i="19"/>
  <c r="I409" i="19"/>
  <c r="I410" i="19"/>
  <c r="I411" i="19"/>
  <c r="I412" i="19"/>
  <c r="I413" i="19"/>
  <c r="I414" i="19"/>
  <c r="I415" i="19"/>
  <c r="I416" i="19"/>
  <c r="I417" i="19"/>
  <c r="I418" i="19"/>
  <c r="I419" i="19"/>
  <c r="I420" i="19"/>
  <c r="I421" i="19"/>
  <c r="I422" i="19"/>
  <c r="I423" i="19"/>
  <c r="I424" i="19"/>
  <c r="I425" i="19"/>
  <c r="I426" i="19"/>
  <c r="I427" i="19"/>
  <c r="I428" i="19"/>
  <c r="I429" i="19"/>
  <c r="I430" i="19"/>
  <c r="I431" i="19"/>
  <c r="I432" i="19"/>
  <c r="I433" i="19"/>
  <c r="I434" i="19"/>
  <c r="I435" i="19"/>
  <c r="I436" i="19"/>
  <c r="I437" i="19"/>
  <c r="I438" i="19"/>
  <c r="I439" i="19"/>
  <c r="I440" i="19"/>
  <c r="I441" i="19"/>
  <c r="I442" i="19"/>
  <c r="I443" i="19"/>
  <c r="I444" i="19"/>
  <c r="I445" i="19"/>
  <c r="I446" i="19"/>
  <c r="I4" i="19"/>
  <c r="K4" i="3" l="1"/>
  <c r="R4" i="3" s="1"/>
  <c r="CC4" i="3"/>
  <c r="BN81" i="3"/>
  <c r="BI4" i="3"/>
  <c r="CC11" i="3"/>
  <c r="BN4" i="3"/>
  <c r="AP11" i="3"/>
  <c r="K23" i="3"/>
  <c r="R23" i="3" s="1"/>
  <c r="BX4" i="3"/>
  <c r="CH11" i="3"/>
  <c r="BD4" i="3"/>
  <c r="BX11" i="3"/>
  <c r="DL11" i="3"/>
  <c r="CC81" i="3"/>
  <c r="CH4" i="3"/>
  <c r="AP4" i="3"/>
  <c r="BN11" i="3"/>
  <c r="BX81" i="3"/>
  <c r="K24" i="3"/>
  <c r="R24" i="3" s="1"/>
  <c r="CX11" i="3"/>
  <c r="BS81" i="3"/>
  <c r="DE4" i="3"/>
  <c r="EE11" i="3"/>
  <c r="BD81" i="3"/>
  <c r="CX4" i="3"/>
  <c r="DX11" i="3"/>
  <c r="ET11" i="3"/>
  <c r="ES4" i="3"/>
  <c r="DQ11" i="3"/>
  <c r="CH81" i="3"/>
  <c r="CM4" i="3"/>
  <c r="AW4" i="3"/>
  <c r="BS11" i="3"/>
  <c r="EL4" i="3"/>
  <c r="EE4" i="3"/>
  <c r="DE11" i="3"/>
  <c r="BI11" i="3"/>
  <c r="DX4" i="3"/>
  <c r="DR4" i="3"/>
  <c r="BD11" i="3"/>
  <c r="DQ4" i="3"/>
  <c r="ES11" i="3"/>
  <c r="BS4" i="3"/>
  <c r="CM11" i="3"/>
  <c r="AW11" i="3"/>
  <c r="DL4" i="3"/>
  <c r="EL11" i="3"/>
  <c r="BI81" i="3"/>
  <c r="DR11" i="3"/>
  <c r="CD11" i="3"/>
  <c r="EM11" i="3"/>
  <c r="BO11" i="3"/>
  <c r="AQ11" i="3"/>
  <c r="CY11" i="3"/>
  <c r="BJ11" i="3"/>
  <c r="CR11" i="3"/>
  <c r="EF11" i="3"/>
  <c r="BE11" i="3"/>
  <c r="DY11" i="3"/>
  <c r="CI11" i="3"/>
  <c r="AX11" i="3"/>
  <c r="CN11" i="3"/>
  <c r="BY11" i="3"/>
  <c r="DM11" i="3"/>
  <c r="AL11" i="3"/>
  <c r="BT11" i="3"/>
  <c r="DF11" i="3"/>
  <c r="Q11" i="3"/>
  <c r="AB11" i="3" s="1"/>
  <c r="AF11" i="3" s="1"/>
  <c r="CI4" i="3"/>
  <c r="BT4" i="3"/>
  <c r="DM4" i="3"/>
  <c r="ET4" i="3"/>
  <c r="BY4" i="3"/>
  <c r="AQ4" i="3"/>
  <c r="CD4" i="3"/>
  <c r="Q4" i="3"/>
  <c r="AB4" i="3" s="1"/>
  <c r="DF4" i="3"/>
  <c r="EM4" i="3"/>
  <c r="BO4" i="3"/>
  <c r="DY23" i="3"/>
  <c r="CY4" i="3"/>
  <c r="BJ4" i="3"/>
  <c r="S11" i="3"/>
  <c r="O11" i="3" s="1"/>
  <c r="EF4" i="3"/>
  <c r="BE4" i="3"/>
  <c r="DY4" i="3"/>
  <c r="CN4" i="3"/>
  <c r="AX4" i="3"/>
  <c r="AL4" i="3"/>
  <c r="CR4" i="3"/>
  <c r="K22" i="3"/>
  <c r="R22" i="3" s="1"/>
  <c r="CD22" i="3"/>
  <c r="BY22" i="3"/>
  <c r="ET24" i="3"/>
  <c r="ET22" i="3"/>
  <c r="DM22" i="3"/>
  <c r="CM24" i="3"/>
  <c r="CC24" i="3"/>
  <c r="BS24" i="3"/>
  <c r="BI24" i="3"/>
  <c r="BD23" i="3"/>
  <c r="BN22" i="3"/>
  <c r="ET23" i="3"/>
  <c r="CR23" i="3"/>
  <c r="BX23" i="3"/>
  <c r="EM23" i="3"/>
  <c r="DM23" i="3"/>
  <c r="DE23" i="3"/>
  <c r="CD23" i="3"/>
  <c r="BJ23" i="3"/>
  <c r="EM22" i="3"/>
  <c r="BT24" i="3"/>
  <c r="DE22" i="3"/>
  <c r="EE24" i="3"/>
  <c r="DF23" i="3"/>
  <c r="CH23" i="3"/>
  <c r="BN23" i="3"/>
  <c r="AP23" i="3"/>
  <c r="EL22" i="3"/>
  <c r="AQ22" i="3"/>
  <c r="DE24" i="3"/>
  <c r="CC23" i="3"/>
  <c r="BI23" i="3"/>
  <c r="DX23" i="3"/>
  <c r="ES24" i="3"/>
  <c r="DQ23" i="3"/>
  <c r="BX24" i="3"/>
  <c r="BD24" i="3"/>
  <c r="CH22" i="3"/>
  <c r="AW22" i="3"/>
  <c r="AP22" i="3"/>
  <c r="AW24" i="3"/>
  <c r="AL22" i="3"/>
  <c r="DL23" i="3"/>
  <c r="CM23" i="3"/>
  <c r="BS23" i="3"/>
  <c r="AW23" i="3"/>
  <c r="DR22" i="3"/>
  <c r="DQ22" i="3"/>
  <c r="BX22" i="3"/>
  <c r="Q22" i="3"/>
  <c r="AB22" i="3" s="1"/>
  <c r="EE23" i="3"/>
  <c r="CH24" i="3"/>
  <c r="BN24" i="3"/>
  <c r="AP24" i="3"/>
  <c r="BS22" i="3"/>
  <c r="CR22" i="3"/>
  <c r="BE22" i="3"/>
  <c r="CX24" i="3"/>
  <c r="CX22" i="3"/>
  <c r="ES22" i="3"/>
  <c r="ES23" i="3"/>
  <c r="CN22" i="3"/>
  <c r="DQ24" i="3"/>
  <c r="CX23" i="3"/>
  <c r="CY23" i="3"/>
  <c r="AX23" i="3"/>
  <c r="CI24" i="3"/>
  <c r="BO23" i="3"/>
  <c r="CY24" i="3"/>
  <c r="DR24" i="3"/>
  <c r="AQ23" i="3"/>
  <c r="Q24" i="3"/>
  <c r="AB24" i="3" s="1"/>
  <c r="Q23" i="3"/>
  <c r="AB23" i="3" s="1"/>
  <c r="AX24" i="3"/>
  <c r="EL24" i="3"/>
  <c r="EL23" i="3"/>
  <c r="DX24" i="3"/>
  <c r="DL24" i="3"/>
  <c r="EF24" i="3"/>
  <c r="CD24" i="3"/>
  <c r="BO24" i="3"/>
  <c r="AQ24" i="3"/>
  <c r="CR24" i="3"/>
  <c r="BJ24" i="3"/>
  <c r="CN24" i="3"/>
  <c r="DF24" i="3"/>
  <c r="AL24" i="3"/>
  <c r="BY24" i="3"/>
  <c r="BE24" i="3"/>
  <c r="BY23" i="3"/>
  <c r="DR23" i="3"/>
  <c r="CN23" i="3"/>
  <c r="AL23" i="3"/>
  <c r="EF23" i="3"/>
  <c r="BE23" i="3"/>
  <c r="BT23" i="3"/>
  <c r="CI23" i="3"/>
  <c r="BT22" i="3"/>
  <c r="EF22" i="3"/>
  <c r="DY22" i="3"/>
  <c r="EM24" i="3"/>
  <c r="DY24" i="3"/>
  <c r="DM24" i="3"/>
  <c r="DF22" i="3"/>
  <c r="BO22" i="3"/>
  <c r="CY22" i="3"/>
  <c r="BJ22" i="3"/>
  <c r="CI22" i="3"/>
  <c r="AX22" i="3"/>
  <c r="EE22" i="3"/>
  <c r="BI22" i="3"/>
  <c r="CM22" i="3"/>
  <c r="DX22" i="3"/>
  <c r="BD22" i="3"/>
  <c r="CC22" i="3"/>
  <c r="DL22" i="3"/>
  <c r="K19" i="3"/>
  <c r="AC4" i="3" l="1"/>
  <c r="S4" i="3"/>
  <c r="O4" i="3" s="1"/>
  <c r="AC23" i="3"/>
  <c r="S23" i="3"/>
  <c r="O23" i="3" s="1"/>
  <c r="S24" i="3"/>
  <c r="O24" i="3" s="1"/>
  <c r="CO4" i="3"/>
  <c r="CQ4" i="3" s="1"/>
  <c r="CS4" i="3" s="1"/>
  <c r="CT4" i="3" s="1"/>
  <c r="EU4" i="3" s="1"/>
  <c r="AF24" i="3"/>
  <c r="CO11" i="3"/>
  <c r="CQ11" i="3" s="1"/>
  <c r="CS11" i="3" s="1"/>
  <c r="CT11" i="3" s="1"/>
  <c r="EU11" i="3" s="1"/>
  <c r="AC11" i="3"/>
  <c r="AF4" i="3"/>
  <c r="S22" i="3"/>
  <c r="O22" i="3" s="1"/>
  <c r="AC22" i="3"/>
  <c r="AF23" i="3"/>
  <c r="CO24" i="3"/>
  <c r="CQ24" i="3" s="1"/>
  <c r="CS24" i="3" s="1"/>
  <c r="CT24" i="3" s="1"/>
  <c r="EU24" i="3" s="1"/>
  <c r="CO23" i="3"/>
  <c r="CQ23" i="3" s="1"/>
  <c r="CS23" i="3" s="1"/>
  <c r="CT23" i="3" s="1"/>
  <c r="EU23" i="3" s="1"/>
  <c r="AF22" i="3"/>
  <c r="CO22" i="3"/>
  <c r="CQ22" i="3" s="1"/>
  <c r="CS22" i="3" s="1"/>
  <c r="CT22" i="3" s="1"/>
  <c r="EU22" i="3" s="1"/>
  <c r="AC24" i="3"/>
  <c r="J20" i="3"/>
  <c r="AL20" i="3" s="1"/>
  <c r="J21" i="3"/>
  <c r="R21" i="3"/>
  <c r="AI20" i="3"/>
  <c r="AK20" i="3" s="1"/>
  <c r="AI21" i="3"/>
  <c r="AK21" i="3" s="1"/>
  <c r="AN20" i="3"/>
  <c r="AN21" i="3"/>
  <c r="AO20" i="3"/>
  <c r="AO21" i="3"/>
  <c r="AU20" i="3"/>
  <c r="AU21" i="3"/>
  <c r="AV20" i="3"/>
  <c r="AV21" i="3"/>
  <c r="BB20" i="3"/>
  <c r="BB21" i="3"/>
  <c r="BC20" i="3"/>
  <c r="BC21" i="3"/>
  <c r="BG20" i="3"/>
  <c r="BG21" i="3"/>
  <c r="BH20" i="3"/>
  <c r="BH21" i="3"/>
  <c r="BL20" i="3"/>
  <c r="BL21" i="3"/>
  <c r="BM20" i="3"/>
  <c r="BM21" i="3"/>
  <c r="BQ20" i="3"/>
  <c r="BQ21" i="3"/>
  <c r="BR20" i="3"/>
  <c r="BR21" i="3"/>
  <c r="BV20" i="3"/>
  <c r="BV21" i="3"/>
  <c r="BW20" i="3"/>
  <c r="BW21" i="3"/>
  <c r="CA20" i="3"/>
  <c r="CA21" i="3"/>
  <c r="CB20" i="3"/>
  <c r="CB21" i="3"/>
  <c r="CF20" i="3"/>
  <c r="CF21" i="3"/>
  <c r="CG20" i="3"/>
  <c r="CG21" i="3"/>
  <c r="CK20" i="3"/>
  <c r="CK21" i="3"/>
  <c r="CL20" i="3"/>
  <c r="CL21" i="3"/>
  <c r="CP20" i="3"/>
  <c r="CP21" i="3"/>
  <c r="CV20" i="3"/>
  <c r="CV21" i="3"/>
  <c r="CW20" i="3"/>
  <c r="CW21" i="3"/>
  <c r="DC20" i="3"/>
  <c r="DC21" i="3"/>
  <c r="DD20" i="3"/>
  <c r="DD21" i="3"/>
  <c r="DJ20" i="3"/>
  <c r="DJ21" i="3"/>
  <c r="DK20" i="3"/>
  <c r="DK21" i="3"/>
  <c r="DO20" i="3"/>
  <c r="DO21" i="3"/>
  <c r="DP20" i="3"/>
  <c r="DP21" i="3"/>
  <c r="DV20" i="3"/>
  <c r="DV21" i="3"/>
  <c r="DW20" i="3"/>
  <c r="DW21" i="3"/>
  <c r="EC20" i="3"/>
  <c r="EC21" i="3"/>
  <c r="ED20" i="3"/>
  <c r="ED21" i="3"/>
  <c r="EJ20" i="3"/>
  <c r="EJ21" i="3"/>
  <c r="EK20" i="3"/>
  <c r="EK21" i="3"/>
  <c r="EQ20" i="3"/>
  <c r="EQ21" i="3"/>
  <c r="ER20" i="3"/>
  <c r="ER21" i="3"/>
  <c r="J19" i="3"/>
  <c r="R19" i="3"/>
  <c r="AI19" i="3"/>
  <c r="AK19" i="3" s="1"/>
  <c r="AN19" i="3"/>
  <c r="AO19" i="3"/>
  <c r="AU19" i="3"/>
  <c r="AV19" i="3"/>
  <c r="BB19" i="3"/>
  <c r="BC19" i="3"/>
  <c r="BG19" i="3"/>
  <c r="BH19" i="3"/>
  <c r="BL19" i="3"/>
  <c r="BM19" i="3"/>
  <c r="BQ19" i="3"/>
  <c r="BR19" i="3"/>
  <c r="BV19" i="3"/>
  <c r="BW19" i="3"/>
  <c r="CA19" i="3"/>
  <c r="CB19" i="3"/>
  <c r="CF19" i="3"/>
  <c r="CG19" i="3"/>
  <c r="CK19" i="3"/>
  <c r="CL19" i="3"/>
  <c r="CP19" i="3"/>
  <c r="CV19" i="3"/>
  <c r="CW19" i="3"/>
  <c r="DC19" i="3"/>
  <c r="DD19" i="3"/>
  <c r="DJ19" i="3"/>
  <c r="DK19" i="3"/>
  <c r="DO19" i="3"/>
  <c r="DP19" i="3"/>
  <c r="DV19" i="3"/>
  <c r="DW19" i="3"/>
  <c r="EC19" i="3"/>
  <c r="ED19" i="3"/>
  <c r="EJ19" i="3"/>
  <c r="EK19" i="3"/>
  <c r="EQ19" i="3"/>
  <c r="ER19" i="3"/>
  <c r="J3" i="3"/>
  <c r="J5" i="3"/>
  <c r="J6" i="3"/>
  <c r="J7" i="3"/>
  <c r="J8" i="3"/>
  <c r="J9" i="3"/>
  <c r="J10" i="3"/>
  <c r="J12" i="3"/>
  <c r="J13" i="3"/>
  <c r="J14" i="3"/>
  <c r="J15" i="3"/>
  <c r="J16" i="3"/>
  <c r="J17" i="3"/>
  <c r="J18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2" i="3"/>
  <c r="N4" i="3" l="1"/>
  <c r="N11" i="3"/>
  <c r="CI81" i="3"/>
  <c r="CD81" i="3"/>
  <c r="BY81" i="3"/>
  <c r="BT81" i="3"/>
  <c r="BO81" i="3"/>
  <c r="BJ81" i="3"/>
  <c r="BE81" i="3"/>
  <c r="N23" i="3"/>
  <c r="N24" i="3"/>
  <c r="N22" i="3"/>
  <c r="DL20" i="3"/>
  <c r="AP21" i="3"/>
  <c r="EE21" i="3"/>
  <c r="CY20" i="3"/>
  <c r="BI20" i="3"/>
  <c r="EL21" i="3"/>
  <c r="BE20" i="3"/>
  <c r="DM20" i="3"/>
  <c r="CI20" i="3"/>
  <c r="BT20" i="3"/>
  <c r="AX20" i="3"/>
  <c r="CH20" i="3"/>
  <c r="BN20" i="3"/>
  <c r="AP20" i="3"/>
  <c r="DE20" i="3"/>
  <c r="DX21" i="3"/>
  <c r="DF19" i="3"/>
  <c r="Q20" i="3"/>
  <c r="AB20" i="3" s="1"/>
  <c r="BX21" i="3"/>
  <c r="BD21" i="3"/>
  <c r="S20" i="3"/>
  <c r="O20" i="3" s="1"/>
  <c r="DE19" i="3"/>
  <c r="BX20" i="3"/>
  <c r="BD20" i="3"/>
  <c r="EF20" i="3"/>
  <c r="DX20" i="3"/>
  <c r="CX21" i="3"/>
  <c r="DL19" i="3"/>
  <c r="EL20" i="3"/>
  <c r="EL19" i="3"/>
  <c r="CM19" i="3"/>
  <c r="AW19" i="3"/>
  <c r="DL21" i="3"/>
  <c r="CM21" i="3"/>
  <c r="BS21" i="3"/>
  <c r="AW21" i="3"/>
  <c r="CM20" i="3"/>
  <c r="BS20" i="3"/>
  <c r="AW20" i="3"/>
  <c r="EE20" i="3"/>
  <c r="DE21" i="3"/>
  <c r="CH21" i="3"/>
  <c r="BN21" i="3"/>
  <c r="CC21" i="3"/>
  <c r="BI21" i="3"/>
  <c r="ES21" i="3"/>
  <c r="CC20" i="3"/>
  <c r="ES20" i="3"/>
  <c r="DQ21" i="3"/>
  <c r="DQ20" i="3"/>
  <c r="CX20" i="3"/>
  <c r="CY21" i="3"/>
  <c r="ES19" i="3"/>
  <c r="EE19" i="3"/>
  <c r="DX19" i="3"/>
  <c r="CX19" i="3"/>
  <c r="EF21" i="3"/>
  <c r="ET21" i="3"/>
  <c r="AX21" i="3"/>
  <c r="BO21" i="3"/>
  <c r="CR21" i="3"/>
  <c r="BJ21" i="3"/>
  <c r="AQ21" i="3"/>
  <c r="CN21" i="3"/>
  <c r="BY21" i="3"/>
  <c r="DM21" i="3"/>
  <c r="AL21" i="3"/>
  <c r="DR21" i="3"/>
  <c r="BT21" i="3"/>
  <c r="BE21" i="3"/>
  <c r="DF21" i="3"/>
  <c r="CD21" i="3"/>
  <c r="DY21" i="3"/>
  <c r="EM21" i="3"/>
  <c r="CI21" i="3"/>
  <c r="ET20" i="3"/>
  <c r="CD20" i="3"/>
  <c r="BO20" i="3"/>
  <c r="DY20" i="3"/>
  <c r="CR20" i="3"/>
  <c r="AQ20" i="3"/>
  <c r="EM20" i="3"/>
  <c r="BJ20" i="3"/>
  <c r="DF20" i="3"/>
  <c r="BY20" i="3"/>
  <c r="DR20" i="3"/>
  <c r="CN20" i="3"/>
  <c r="BY19" i="3"/>
  <c r="DM19" i="3"/>
  <c r="CY19" i="3"/>
  <c r="BJ19" i="3"/>
  <c r="AX19" i="3"/>
  <c r="CI19" i="3"/>
  <c r="AQ19" i="3"/>
  <c r="CN19" i="3"/>
  <c r="EM19" i="3"/>
  <c r="CD19" i="3"/>
  <c r="DR19" i="3"/>
  <c r="S21" i="3"/>
  <c r="O21" i="3" s="1"/>
  <c r="R20" i="3"/>
  <c r="Q21" i="3"/>
  <c r="AB21" i="3" s="1"/>
  <c r="AC21" i="3" s="1"/>
  <c r="BT19" i="3"/>
  <c r="BO19" i="3"/>
  <c r="BE19" i="3"/>
  <c r="BS19" i="3"/>
  <c r="EF19" i="3"/>
  <c r="BI19" i="3"/>
  <c r="DY19" i="3"/>
  <c r="BD19" i="3"/>
  <c r="DQ19" i="3"/>
  <c r="CC19" i="3"/>
  <c r="BX19" i="3"/>
  <c r="AL19" i="3"/>
  <c r="CH19" i="3"/>
  <c r="ET19" i="3"/>
  <c r="CR19" i="3"/>
  <c r="AP19" i="3"/>
  <c r="S19" i="3"/>
  <c r="O19" i="3" s="1"/>
  <c r="Q19" i="3"/>
  <c r="AB19" i="3" s="1"/>
  <c r="BN19" i="3"/>
  <c r="K2" i="3"/>
  <c r="K3" i="3"/>
  <c r="K5" i="3"/>
  <c r="K6" i="3"/>
  <c r="K7" i="3"/>
  <c r="K8" i="3"/>
  <c r="K9" i="3"/>
  <c r="K10" i="3"/>
  <c r="K12" i="3"/>
  <c r="K13" i="3"/>
  <c r="K14" i="3"/>
  <c r="K15" i="3"/>
  <c r="K16" i="3"/>
  <c r="K17" i="3"/>
  <c r="K18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AC20" i="3" l="1"/>
  <c r="AC19" i="3"/>
  <c r="AF19" i="3"/>
  <c r="AF21" i="3"/>
  <c r="CO20" i="3"/>
  <c r="CQ20" i="3" s="1"/>
  <c r="CS20" i="3" s="1"/>
  <c r="CT20" i="3" s="1"/>
  <c r="EU20" i="3" s="1"/>
  <c r="CO21" i="3"/>
  <c r="CQ21" i="3" s="1"/>
  <c r="CS21" i="3" s="1"/>
  <c r="CT21" i="3" s="1"/>
  <c r="EU21" i="3" s="1"/>
  <c r="AF20" i="3"/>
  <c r="CO19" i="3"/>
  <c r="CQ19" i="3" s="1"/>
  <c r="CS19" i="3" s="1"/>
  <c r="CT19" i="3" s="1"/>
  <c r="EU19" i="3" s="1"/>
  <c r="S5" i="3"/>
  <c r="O5" i="3" s="1"/>
  <c r="ER5" i="3"/>
  <c r="ET5" i="3" s="1"/>
  <c r="EQ5" i="3"/>
  <c r="EK5" i="3"/>
  <c r="EM5" i="3" s="1"/>
  <c r="EJ5" i="3"/>
  <c r="ED5" i="3"/>
  <c r="EF5" i="3" s="1"/>
  <c r="EC5" i="3"/>
  <c r="DW5" i="3"/>
  <c r="DY5" i="3" s="1"/>
  <c r="DV5" i="3"/>
  <c r="DP5" i="3"/>
  <c r="DR5" i="3" s="1"/>
  <c r="DO5" i="3"/>
  <c r="DK5" i="3"/>
  <c r="DM5" i="3" s="1"/>
  <c r="DJ5" i="3"/>
  <c r="DD5" i="3"/>
  <c r="DF5" i="3" s="1"/>
  <c r="DC5" i="3"/>
  <c r="CW5" i="3"/>
  <c r="CY5" i="3" s="1"/>
  <c r="CV5" i="3"/>
  <c r="CP5" i="3"/>
  <c r="CR5" i="3" s="1"/>
  <c r="CL5" i="3"/>
  <c r="CN5" i="3" s="1"/>
  <c r="CK5" i="3"/>
  <c r="CG5" i="3"/>
  <c r="CI5" i="3" s="1"/>
  <c r="CF5" i="3"/>
  <c r="CB5" i="3"/>
  <c r="CD5" i="3" s="1"/>
  <c r="CA5" i="3"/>
  <c r="BW5" i="3"/>
  <c r="BY5" i="3" s="1"/>
  <c r="BV5" i="3"/>
  <c r="BR5" i="3"/>
  <c r="BT5" i="3" s="1"/>
  <c r="BQ5" i="3"/>
  <c r="BM5" i="3"/>
  <c r="BO5" i="3" s="1"/>
  <c r="BL5" i="3"/>
  <c r="BH5" i="3"/>
  <c r="BJ5" i="3" s="1"/>
  <c r="BG5" i="3"/>
  <c r="BC5" i="3"/>
  <c r="BE5" i="3" s="1"/>
  <c r="BB5" i="3"/>
  <c r="AV5" i="3"/>
  <c r="AX5" i="3" s="1"/>
  <c r="AU5" i="3"/>
  <c r="AO5" i="3"/>
  <c r="AQ5" i="3" s="1"/>
  <c r="AN5" i="3"/>
  <c r="AL5" i="3"/>
  <c r="AI5" i="3"/>
  <c r="AK5" i="3" s="1"/>
  <c r="Q5" i="3"/>
  <c r="AB5" i="3" s="1"/>
  <c r="AJ3" i="3"/>
  <c r="N21" i="3" l="1"/>
  <c r="N20" i="3"/>
  <c r="N19" i="3"/>
  <c r="CH5" i="3"/>
  <c r="DX5" i="3"/>
  <c r="BN5" i="3"/>
  <c r="BS5" i="3"/>
  <c r="BX5" i="3"/>
  <c r="DL5" i="3"/>
  <c r="DQ5" i="3"/>
  <c r="ES5" i="3"/>
  <c r="CC5" i="3"/>
  <c r="CX5" i="3"/>
  <c r="DE5" i="3"/>
  <c r="AW5" i="3"/>
  <c r="BD5" i="3"/>
  <c r="BI5" i="3"/>
  <c r="EE5" i="3"/>
  <c r="CM5" i="3"/>
  <c r="EL5" i="3"/>
  <c r="AP5" i="3"/>
  <c r="R5" i="3"/>
  <c r="R3" i="3"/>
  <c r="Q3" i="3"/>
  <c r="AB3" i="3" s="1"/>
  <c r="AI3" i="3"/>
  <c r="AK3" i="3" s="1"/>
  <c r="AL3" i="3"/>
  <c r="AN3" i="3"/>
  <c r="AO3" i="3"/>
  <c r="AQ3" i="3" s="1"/>
  <c r="AU3" i="3"/>
  <c r="AV3" i="3"/>
  <c r="AX3" i="3" s="1"/>
  <c r="BB3" i="3"/>
  <c r="BC3" i="3"/>
  <c r="BE3" i="3" s="1"/>
  <c r="BG3" i="3"/>
  <c r="BH3" i="3"/>
  <c r="BJ3" i="3" s="1"/>
  <c r="BL3" i="3"/>
  <c r="BM3" i="3"/>
  <c r="BO3" i="3" s="1"/>
  <c r="BQ3" i="3"/>
  <c r="BR3" i="3"/>
  <c r="BT3" i="3" s="1"/>
  <c r="BV3" i="3"/>
  <c r="BW3" i="3"/>
  <c r="BY3" i="3" s="1"/>
  <c r="CA3" i="3"/>
  <c r="CB3" i="3"/>
  <c r="CF3" i="3"/>
  <c r="CG3" i="3"/>
  <c r="CK3" i="3"/>
  <c r="CL3" i="3"/>
  <c r="CN3" i="3" s="1"/>
  <c r="CP3" i="3"/>
  <c r="CR3" i="3" s="1"/>
  <c r="CV3" i="3"/>
  <c r="CW3" i="3"/>
  <c r="DC3" i="3"/>
  <c r="DD3" i="3"/>
  <c r="DF3" i="3" s="1"/>
  <c r="DJ3" i="3"/>
  <c r="DK3" i="3"/>
  <c r="DM3" i="3" s="1"/>
  <c r="DO3" i="3"/>
  <c r="DP3" i="3"/>
  <c r="DR3" i="3" s="1"/>
  <c r="DV3" i="3"/>
  <c r="DW3" i="3"/>
  <c r="DY3" i="3" s="1"/>
  <c r="EC3" i="3"/>
  <c r="ED3" i="3"/>
  <c r="EF3" i="3" s="1"/>
  <c r="EJ3" i="3"/>
  <c r="EK3" i="3"/>
  <c r="EM3" i="3" s="1"/>
  <c r="EQ3" i="3"/>
  <c r="ER3" i="3"/>
  <c r="ET3" i="3" s="1"/>
  <c r="CO5" i="3" l="1"/>
  <c r="CQ5" i="3" s="1"/>
  <c r="CS5" i="3" s="1"/>
  <c r="CT5" i="3" s="1"/>
  <c r="EU5" i="3" s="1"/>
  <c r="AF5" i="3"/>
  <c r="AC5" i="3"/>
  <c r="ES3" i="3"/>
  <c r="EL3" i="3"/>
  <c r="DX3" i="3"/>
  <c r="DQ3" i="3"/>
  <c r="DL3" i="3"/>
  <c r="CM3" i="3"/>
  <c r="BX3" i="3"/>
  <c r="BS3" i="3"/>
  <c r="BD3" i="3"/>
  <c r="AW3" i="3"/>
  <c r="AP3" i="3"/>
  <c r="AC3" i="3"/>
  <c r="CX3" i="3"/>
  <c r="CH3" i="3"/>
  <c r="CC3" i="3"/>
  <c r="BI3" i="3"/>
  <c r="AF3" i="3"/>
  <c r="CD3" i="3"/>
  <c r="CY3" i="3"/>
  <c r="DE3" i="3"/>
  <c r="S3" i="3"/>
  <c r="O3" i="3" s="1"/>
  <c r="EE3" i="3"/>
  <c r="CI3" i="3"/>
  <c r="BN3" i="3"/>
  <c r="AJ80" i="3"/>
  <c r="AJ81" i="3"/>
  <c r="N5" i="3" l="1"/>
  <c r="CO3" i="3"/>
  <c r="CQ3" i="3" s="1"/>
  <c r="CS3" i="3" s="1"/>
  <c r="CT3" i="3" s="1"/>
  <c r="EU3" i="3" s="1"/>
  <c r="N3" i="3" l="1"/>
  <c r="R81" i="3"/>
  <c r="Q81" i="3"/>
  <c r="AB81" i="3" s="1"/>
  <c r="AI81" i="3"/>
  <c r="AK81" i="3" s="1"/>
  <c r="AL81" i="3"/>
  <c r="AN81" i="3"/>
  <c r="AO81" i="3"/>
  <c r="AQ81" i="3" s="1"/>
  <c r="AU81" i="3"/>
  <c r="AV81" i="3"/>
  <c r="AX81" i="3" s="1"/>
  <c r="CK81" i="3"/>
  <c r="CL81" i="3"/>
  <c r="CN81" i="3" s="1"/>
  <c r="CP81" i="3"/>
  <c r="CV81" i="3"/>
  <c r="CW81" i="3"/>
  <c r="CY81" i="3" s="1"/>
  <c r="DC81" i="3"/>
  <c r="DD81" i="3"/>
  <c r="DF81" i="3" s="1"/>
  <c r="DJ81" i="3"/>
  <c r="DK81" i="3"/>
  <c r="DM81" i="3" s="1"/>
  <c r="DO81" i="3"/>
  <c r="DP81" i="3"/>
  <c r="DR81" i="3" s="1"/>
  <c r="DV81" i="3"/>
  <c r="DW81" i="3"/>
  <c r="EC81" i="3"/>
  <c r="ED81" i="3"/>
  <c r="EF81" i="3" s="1"/>
  <c r="EJ81" i="3"/>
  <c r="EK81" i="3"/>
  <c r="EM81" i="3" s="1"/>
  <c r="EQ81" i="3"/>
  <c r="ER81" i="3"/>
  <c r="ET81" i="3" s="1"/>
  <c r="R80" i="3"/>
  <c r="Q80" i="3"/>
  <c r="AB80" i="3" s="1"/>
  <c r="AI80" i="3"/>
  <c r="AK80" i="3" s="1"/>
  <c r="AL80" i="3"/>
  <c r="AN80" i="3"/>
  <c r="AO80" i="3"/>
  <c r="AQ80" i="3" s="1"/>
  <c r="AU80" i="3"/>
  <c r="AV80" i="3"/>
  <c r="AX80" i="3" s="1"/>
  <c r="BB80" i="3"/>
  <c r="BC80" i="3"/>
  <c r="BE80" i="3" s="1"/>
  <c r="BG80" i="3"/>
  <c r="BH80" i="3"/>
  <c r="BJ80" i="3" s="1"/>
  <c r="BL80" i="3"/>
  <c r="BM80" i="3"/>
  <c r="BO80" i="3" s="1"/>
  <c r="BQ80" i="3"/>
  <c r="BR80" i="3"/>
  <c r="BT80" i="3" s="1"/>
  <c r="BV80" i="3"/>
  <c r="BW80" i="3"/>
  <c r="BY80" i="3" s="1"/>
  <c r="CA80" i="3"/>
  <c r="CB80" i="3"/>
  <c r="CD80" i="3" s="1"/>
  <c r="CF80" i="3"/>
  <c r="CG80" i="3"/>
  <c r="CI80" i="3" s="1"/>
  <c r="CK80" i="3"/>
  <c r="CL80" i="3"/>
  <c r="CN80" i="3" s="1"/>
  <c r="CP80" i="3"/>
  <c r="CV80" i="3"/>
  <c r="CW80" i="3"/>
  <c r="CY80" i="3" s="1"/>
  <c r="DC80" i="3"/>
  <c r="DD80" i="3"/>
  <c r="DF80" i="3" s="1"/>
  <c r="DJ80" i="3"/>
  <c r="DK80" i="3"/>
  <c r="DM80" i="3" s="1"/>
  <c r="DO80" i="3"/>
  <c r="DP80" i="3"/>
  <c r="DV80" i="3"/>
  <c r="DW80" i="3"/>
  <c r="DY80" i="3" s="1"/>
  <c r="EC80" i="3"/>
  <c r="ED80" i="3"/>
  <c r="EF80" i="3" s="1"/>
  <c r="EJ80" i="3"/>
  <c r="EK80" i="3"/>
  <c r="EM80" i="3" s="1"/>
  <c r="EQ80" i="3"/>
  <c r="ER80" i="3"/>
  <c r="EL80" i="3" l="1"/>
  <c r="EE80" i="3"/>
  <c r="DX80" i="3"/>
  <c r="DL80" i="3"/>
  <c r="DE80" i="3"/>
  <c r="CX80" i="3"/>
  <c r="CM80" i="3"/>
  <c r="CH80" i="3"/>
  <c r="CC80" i="3"/>
  <c r="BX80" i="3"/>
  <c r="BS80" i="3"/>
  <c r="BN80" i="3"/>
  <c r="BI80" i="3"/>
  <c r="BD80" i="3"/>
  <c r="AW80" i="3"/>
  <c r="AP80" i="3"/>
  <c r="EL81" i="3"/>
  <c r="EE81" i="3"/>
  <c r="DL81" i="3"/>
  <c r="DE81" i="3"/>
  <c r="CX81" i="3"/>
  <c r="CM81" i="3"/>
  <c r="AW81" i="3"/>
  <c r="AP81" i="3"/>
  <c r="AC80" i="3"/>
  <c r="ES80" i="3"/>
  <c r="DX81" i="3"/>
  <c r="DQ80" i="3"/>
  <c r="AC81" i="3"/>
  <c r="AF81" i="3"/>
  <c r="DY81" i="3"/>
  <c r="ES81" i="3"/>
  <c r="DQ81" i="3"/>
  <c r="CR81" i="3"/>
  <c r="S81" i="3"/>
  <c r="O81" i="3" s="1"/>
  <c r="AF80" i="3"/>
  <c r="ET80" i="3"/>
  <c r="DR80" i="3"/>
  <c r="CR80" i="3"/>
  <c r="S80" i="3"/>
  <c r="O80" i="3" s="1"/>
  <c r="AJ39" i="3"/>
  <c r="AL39" i="3" s="1"/>
  <c r="AJ40" i="3"/>
  <c r="AL40" i="3" s="1"/>
  <c r="AJ41" i="3"/>
  <c r="AL41" i="3" s="1"/>
  <c r="R41" i="3"/>
  <c r="Q41" i="3"/>
  <c r="AB41" i="3" s="1"/>
  <c r="AI41" i="3"/>
  <c r="AN41" i="3"/>
  <c r="AO41" i="3"/>
  <c r="AQ41" i="3" s="1"/>
  <c r="AU41" i="3"/>
  <c r="AV41" i="3"/>
  <c r="AX41" i="3" s="1"/>
  <c r="BB41" i="3"/>
  <c r="BC41" i="3"/>
  <c r="BE41" i="3" s="1"/>
  <c r="BG41" i="3"/>
  <c r="BH41" i="3"/>
  <c r="BJ41" i="3" s="1"/>
  <c r="BL41" i="3"/>
  <c r="BM41" i="3"/>
  <c r="BO41" i="3" s="1"/>
  <c r="BQ41" i="3"/>
  <c r="BR41" i="3"/>
  <c r="BT41" i="3" s="1"/>
  <c r="BV41" i="3"/>
  <c r="BW41" i="3"/>
  <c r="BY41" i="3" s="1"/>
  <c r="CA41" i="3"/>
  <c r="CB41" i="3"/>
  <c r="CD41" i="3" s="1"/>
  <c r="CF41" i="3"/>
  <c r="CG41" i="3"/>
  <c r="CK41" i="3"/>
  <c r="CL41" i="3"/>
  <c r="CN41" i="3" s="1"/>
  <c r="CP41" i="3"/>
  <c r="CV41" i="3"/>
  <c r="CW41" i="3"/>
  <c r="CY41" i="3" s="1"/>
  <c r="DC41" i="3"/>
  <c r="DD41" i="3"/>
  <c r="DF41" i="3" s="1"/>
  <c r="DJ41" i="3"/>
  <c r="DK41" i="3"/>
  <c r="DO41" i="3"/>
  <c r="DP41" i="3"/>
  <c r="DR41" i="3" s="1"/>
  <c r="DV41" i="3"/>
  <c r="DW41" i="3"/>
  <c r="DY41" i="3" s="1"/>
  <c r="EC41" i="3"/>
  <c r="ED41" i="3"/>
  <c r="EF41" i="3" s="1"/>
  <c r="EJ41" i="3"/>
  <c r="EK41" i="3"/>
  <c r="EM41" i="3" s="1"/>
  <c r="EQ41" i="3"/>
  <c r="ER41" i="3"/>
  <c r="R40" i="3"/>
  <c r="Q40" i="3"/>
  <c r="AB40" i="3" s="1"/>
  <c r="AI40" i="3"/>
  <c r="AN40" i="3"/>
  <c r="AO40" i="3"/>
  <c r="AQ40" i="3" s="1"/>
  <c r="AU40" i="3"/>
  <c r="AV40" i="3"/>
  <c r="BB40" i="3"/>
  <c r="BC40" i="3"/>
  <c r="BE40" i="3" s="1"/>
  <c r="BG40" i="3"/>
  <c r="BH40" i="3"/>
  <c r="BJ40" i="3" s="1"/>
  <c r="BL40" i="3"/>
  <c r="BM40" i="3"/>
  <c r="BO40" i="3" s="1"/>
  <c r="BQ40" i="3"/>
  <c r="BR40" i="3"/>
  <c r="BV40" i="3"/>
  <c r="BW40" i="3"/>
  <c r="BY40" i="3" s="1"/>
  <c r="CA40" i="3"/>
  <c r="CB40" i="3"/>
  <c r="CD40" i="3" s="1"/>
  <c r="CF40" i="3"/>
  <c r="CG40" i="3"/>
  <c r="CI40" i="3" s="1"/>
  <c r="CK40" i="3"/>
  <c r="CL40" i="3"/>
  <c r="CP40" i="3"/>
  <c r="CV40" i="3"/>
  <c r="CW40" i="3"/>
  <c r="CY40" i="3" s="1"/>
  <c r="DC40" i="3"/>
  <c r="DD40" i="3"/>
  <c r="DJ40" i="3"/>
  <c r="DK40" i="3"/>
  <c r="DO40" i="3"/>
  <c r="DP40" i="3"/>
  <c r="DR40" i="3" s="1"/>
  <c r="DV40" i="3"/>
  <c r="DW40" i="3"/>
  <c r="DY40" i="3" s="1"/>
  <c r="EC40" i="3"/>
  <c r="ED40" i="3"/>
  <c r="EJ40" i="3"/>
  <c r="EK40" i="3"/>
  <c r="EQ40" i="3"/>
  <c r="ER40" i="3"/>
  <c r="R39" i="3"/>
  <c r="Q39" i="3"/>
  <c r="AB39" i="3" s="1"/>
  <c r="AI39" i="3"/>
  <c r="AN39" i="3"/>
  <c r="AO39" i="3"/>
  <c r="AQ39" i="3" s="1"/>
  <c r="AU39" i="3"/>
  <c r="AV39" i="3"/>
  <c r="AX39" i="3" s="1"/>
  <c r="BB39" i="3"/>
  <c r="BC39" i="3"/>
  <c r="BE39" i="3" s="1"/>
  <c r="BG39" i="3"/>
  <c r="BH39" i="3"/>
  <c r="BJ39" i="3" s="1"/>
  <c r="BL39" i="3"/>
  <c r="BM39" i="3"/>
  <c r="BO39" i="3" s="1"/>
  <c r="BQ39" i="3"/>
  <c r="BR39" i="3"/>
  <c r="BT39" i="3" s="1"/>
  <c r="BV39" i="3"/>
  <c r="BW39" i="3"/>
  <c r="BY39" i="3" s="1"/>
  <c r="CA39" i="3"/>
  <c r="CB39" i="3"/>
  <c r="CD39" i="3" s="1"/>
  <c r="CF39" i="3"/>
  <c r="CG39" i="3"/>
  <c r="CI39" i="3" s="1"/>
  <c r="CK39" i="3"/>
  <c r="CL39" i="3"/>
  <c r="CN39" i="3" s="1"/>
  <c r="CP39" i="3"/>
  <c r="CV39" i="3"/>
  <c r="CW39" i="3"/>
  <c r="CY39" i="3" s="1"/>
  <c r="DC39" i="3"/>
  <c r="DD39" i="3"/>
  <c r="DF39" i="3" s="1"/>
  <c r="DJ39" i="3"/>
  <c r="DK39" i="3"/>
  <c r="DM39" i="3" s="1"/>
  <c r="DO39" i="3"/>
  <c r="DP39" i="3"/>
  <c r="DR39" i="3" s="1"/>
  <c r="DV39" i="3"/>
  <c r="DW39" i="3"/>
  <c r="DY39" i="3" s="1"/>
  <c r="EC39" i="3"/>
  <c r="ED39" i="3"/>
  <c r="EF39" i="3" s="1"/>
  <c r="EJ39" i="3"/>
  <c r="EK39" i="3"/>
  <c r="EM39" i="3" s="1"/>
  <c r="EQ39" i="3"/>
  <c r="ER39" i="3"/>
  <c r="ET39" i="3" s="1"/>
  <c r="BG78" i="3"/>
  <c r="BH78" i="3"/>
  <c r="BJ78" i="3" s="1"/>
  <c r="BG79" i="3"/>
  <c r="BH79" i="3"/>
  <c r="BJ79" i="3" s="1"/>
  <c r="AJ76" i="3"/>
  <c r="AJ77" i="3"/>
  <c r="AJ78" i="3"/>
  <c r="AJ79" i="3"/>
  <c r="CO80" i="3" l="1"/>
  <c r="CQ80" i="3" s="1"/>
  <c r="CS80" i="3" s="1"/>
  <c r="CT80" i="3" s="1"/>
  <c r="EU80" i="3" s="1"/>
  <c r="CO81" i="3"/>
  <c r="CQ81" i="3" s="1"/>
  <c r="N81" i="3" s="1"/>
  <c r="BX39" i="3"/>
  <c r="CH40" i="3"/>
  <c r="AW41" i="3"/>
  <c r="EL41" i="3"/>
  <c r="BI40" i="3"/>
  <c r="DL39" i="3"/>
  <c r="BD39" i="3"/>
  <c r="BX41" i="3"/>
  <c r="BX40" i="3"/>
  <c r="DQ40" i="3"/>
  <c r="AC40" i="3"/>
  <c r="AK40" i="3"/>
  <c r="AK39" i="3"/>
  <c r="AK41" i="3"/>
  <c r="ES41" i="3"/>
  <c r="ES40" i="3"/>
  <c r="EE40" i="3"/>
  <c r="DX41" i="3"/>
  <c r="DQ41" i="3"/>
  <c r="DL41" i="3"/>
  <c r="DL40" i="3"/>
  <c r="CM40" i="3"/>
  <c r="CH41" i="3"/>
  <c r="BS39" i="3"/>
  <c r="CX39" i="3"/>
  <c r="BD40" i="3"/>
  <c r="CX41" i="3"/>
  <c r="BI41" i="3"/>
  <c r="CM39" i="3"/>
  <c r="EL39" i="3"/>
  <c r="BD41" i="3"/>
  <c r="BN40" i="3"/>
  <c r="CC40" i="3"/>
  <c r="CM41" i="3"/>
  <c r="DX39" i="3"/>
  <c r="CH39" i="3"/>
  <c r="AP39" i="3"/>
  <c r="AP40" i="3"/>
  <c r="CI41" i="3"/>
  <c r="BI39" i="3"/>
  <c r="DX40" i="3"/>
  <c r="AW39" i="3"/>
  <c r="CC39" i="3"/>
  <c r="DQ39" i="3"/>
  <c r="EE39" i="3"/>
  <c r="DE40" i="3"/>
  <c r="DM41" i="3"/>
  <c r="CC41" i="3"/>
  <c r="CX40" i="3"/>
  <c r="ES39" i="3"/>
  <c r="DE39" i="3"/>
  <c r="BN39" i="3"/>
  <c r="EL40" i="3"/>
  <c r="BS41" i="3"/>
  <c r="BS40" i="3"/>
  <c r="BN41" i="3"/>
  <c r="AW40" i="3"/>
  <c r="AP41" i="3"/>
  <c r="S40" i="3"/>
  <c r="O40" i="3" s="1"/>
  <c r="AC41" i="3"/>
  <c r="AF41" i="3"/>
  <c r="DE41" i="3"/>
  <c r="ET41" i="3"/>
  <c r="CR41" i="3"/>
  <c r="S41" i="3"/>
  <c r="O41" i="3" s="1"/>
  <c r="EE41" i="3"/>
  <c r="AC39" i="3"/>
  <c r="ET40" i="3"/>
  <c r="EM40" i="3"/>
  <c r="DF40" i="3"/>
  <c r="AF40" i="3"/>
  <c r="DM40" i="3"/>
  <c r="EF40" i="3"/>
  <c r="CR40" i="3"/>
  <c r="BT40" i="3"/>
  <c r="AX40" i="3"/>
  <c r="CN40" i="3"/>
  <c r="AF39" i="3"/>
  <c r="CR39" i="3"/>
  <c r="S39" i="3"/>
  <c r="O39" i="3" s="1"/>
  <c r="BI78" i="3"/>
  <c r="BI79" i="3"/>
  <c r="AU76" i="3"/>
  <c r="AU77" i="3"/>
  <c r="AU78" i="3"/>
  <c r="AU79" i="3"/>
  <c r="N80" i="3" l="1"/>
  <c r="CS81" i="3"/>
  <c r="CT81" i="3" s="1"/>
  <c r="EU81" i="3" s="1"/>
  <c r="CO39" i="3"/>
  <c r="CQ39" i="3" s="1"/>
  <c r="CS39" i="3" s="1"/>
  <c r="CT39" i="3" s="1"/>
  <c r="EU39" i="3" s="1"/>
  <c r="CO40" i="3"/>
  <c r="CQ40" i="3" s="1"/>
  <c r="CS40" i="3" s="1"/>
  <c r="CT40" i="3" s="1"/>
  <c r="EU40" i="3" s="1"/>
  <c r="CO41" i="3"/>
  <c r="CQ41" i="3" s="1"/>
  <c r="CS41" i="3" s="1"/>
  <c r="CT41" i="3" s="1"/>
  <c r="EU41" i="3" s="1"/>
  <c r="R79" i="3"/>
  <c r="Q79" i="3"/>
  <c r="AB79" i="3" s="1"/>
  <c r="AI79" i="3"/>
  <c r="AK79" i="3" s="1"/>
  <c r="AL79" i="3"/>
  <c r="AN79" i="3"/>
  <c r="AO79" i="3"/>
  <c r="AQ79" i="3" s="1"/>
  <c r="AV79" i="3"/>
  <c r="AW79" i="3" s="1"/>
  <c r="BB79" i="3"/>
  <c r="BC79" i="3"/>
  <c r="BE79" i="3" s="1"/>
  <c r="BL79" i="3"/>
  <c r="BM79" i="3"/>
  <c r="BQ79" i="3"/>
  <c r="BR79" i="3"/>
  <c r="BT79" i="3" s="1"/>
  <c r="BV79" i="3"/>
  <c r="BW79" i="3"/>
  <c r="BY79" i="3" s="1"/>
  <c r="CA79" i="3"/>
  <c r="CB79" i="3"/>
  <c r="CD79" i="3" s="1"/>
  <c r="CF79" i="3"/>
  <c r="CG79" i="3"/>
  <c r="CK79" i="3"/>
  <c r="CL79" i="3"/>
  <c r="CN79" i="3" s="1"/>
  <c r="CP79" i="3"/>
  <c r="CV79" i="3"/>
  <c r="CW79" i="3"/>
  <c r="CY79" i="3" s="1"/>
  <c r="DC79" i="3"/>
  <c r="DD79" i="3"/>
  <c r="DF79" i="3" s="1"/>
  <c r="DJ79" i="3"/>
  <c r="DK79" i="3"/>
  <c r="DM79" i="3" s="1"/>
  <c r="DO79" i="3"/>
  <c r="DP79" i="3"/>
  <c r="DR79" i="3" s="1"/>
  <c r="DV79" i="3"/>
  <c r="DW79" i="3"/>
  <c r="DY79" i="3" s="1"/>
  <c r="EC79" i="3"/>
  <c r="ED79" i="3"/>
  <c r="EF79" i="3" s="1"/>
  <c r="EJ79" i="3"/>
  <c r="EK79" i="3"/>
  <c r="EM79" i="3" s="1"/>
  <c r="EQ79" i="3"/>
  <c r="ER79" i="3"/>
  <c r="ET79" i="3" s="1"/>
  <c r="R76" i="3"/>
  <c r="R77" i="3"/>
  <c r="R78" i="3"/>
  <c r="Q76" i="3"/>
  <c r="AB76" i="3" s="1"/>
  <c r="Q77" i="3"/>
  <c r="AB77" i="3" s="1"/>
  <c r="Q78" i="3"/>
  <c r="AB78" i="3" s="1"/>
  <c r="AI76" i="3"/>
  <c r="AK76" i="3" s="1"/>
  <c r="AI77" i="3"/>
  <c r="AK77" i="3" s="1"/>
  <c r="AI78" i="3"/>
  <c r="AK78" i="3" s="1"/>
  <c r="AL76" i="3"/>
  <c r="AL77" i="3"/>
  <c r="AL78" i="3"/>
  <c r="AN76" i="3"/>
  <c r="AN77" i="3"/>
  <c r="AN78" i="3"/>
  <c r="AO76" i="3"/>
  <c r="AQ76" i="3" s="1"/>
  <c r="AO77" i="3"/>
  <c r="AQ77" i="3" s="1"/>
  <c r="AO78" i="3"/>
  <c r="AQ78" i="3" s="1"/>
  <c r="AV76" i="3"/>
  <c r="AW76" i="3" s="1"/>
  <c r="AV77" i="3"/>
  <c r="AW77" i="3" s="1"/>
  <c r="AV78" i="3"/>
  <c r="BB76" i="3"/>
  <c r="BB77" i="3"/>
  <c r="BB78" i="3"/>
  <c r="BC76" i="3"/>
  <c r="BE76" i="3" s="1"/>
  <c r="BC77" i="3"/>
  <c r="BE77" i="3" s="1"/>
  <c r="BC78" i="3"/>
  <c r="BG76" i="3"/>
  <c r="BG77" i="3"/>
  <c r="BH76" i="3"/>
  <c r="BJ76" i="3" s="1"/>
  <c r="BH77" i="3"/>
  <c r="BJ77" i="3" s="1"/>
  <c r="BL76" i="3"/>
  <c r="BL77" i="3"/>
  <c r="BL78" i="3"/>
  <c r="BM76" i="3"/>
  <c r="BO76" i="3" s="1"/>
  <c r="BM77" i="3"/>
  <c r="BO77" i="3" s="1"/>
  <c r="BM78" i="3"/>
  <c r="BO78" i="3" s="1"/>
  <c r="BQ76" i="3"/>
  <c r="BQ77" i="3"/>
  <c r="BQ78" i="3"/>
  <c r="BR76" i="3"/>
  <c r="BT76" i="3" s="1"/>
  <c r="BR77" i="3"/>
  <c r="BT77" i="3" s="1"/>
  <c r="BR78" i="3"/>
  <c r="BT78" i="3" s="1"/>
  <c r="BV76" i="3"/>
  <c r="BV77" i="3"/>
  <c r="BV78" i="3"/>
  <c r="BW76" i="3"/>
  <c r="BY76" i="3" s="1"/>
  <c r="BW77" i="3"/>
  <c r="BY77" i="3" s="1"/>
  <c r="BW78" i="3"/>
  <c r="BY78" i="3" s="1"/>
  <c r="CA76" i="3"/>
  <c r="CA77" i="3"/>
  <c r="CA78" i="3"/>
  <c r="CB76" i="3"/>
  <c r="CD76" i="3" s="1"/>
  <c r="CB77" i="3"/>
  <c r="CD77" i="3" s="1"/>
  <c r="CB78" i="3"/>
  <c r="CD78" i="3" s="1"/>
  <c r="CF76" i="3"/>
  <c r="CF77" i="3"/>
  <c r="CF78" i="3"/>
  <c r="CG76" i="3"/>
  <c r="CG77" i="3"/>
  <c r="CI77" i="3" s="1"/>
  <c r="CG78" i="3"/>
  <c r="CI78" i="3" s="1"/>
  <c r="CK76" i="3"/>
  <c r="CK77" i="3"/>
  <c r="CK78" i="3"/>
  <c r="CL76" i="3"/>
  <c r="CN76" i="3" s="1"/>
  <c r="CL77" i="3"/>
  <c r="CN77" i="3" s="1"/>
  <c r="CL78" i="3"/>
  <c r="CN78" i="3" s="1"/>
  <c r="CP76" i="3"/>
  <c r="CR76" i="3" s="1"/>
  <c r="CP77" i="3"/>
  <c r="CR77" i="3" s="1"/>
  <c r="CP78" i="3"/>
  <c r="CR78" i="3" s="1"/>
  <c r="CV76" i="3"/>
  <c r="CV77" i="3"/>
  <c r="CV78" i="3"/>
  <c r="CW76" i="3"/>
  <c r="CY76" i="3" s="1"/>
  <c r="CW77" i="3"/>
  <c r="CW78" i="3"/>
  <c r="CY78" i="3" s="1"/>
  <c r="DC76" i="3"/>
  <c r="DC77" i="3"/>
  <c r="DC78" i="3"/>
  <c r="DD76" i="3"/>
  <c r="DD77" i="3"/>
  <c r="DF77" i="3" s="1"/>
  <c r="DD78" i="3"/>
  <c r="DF78" i="3" s="1"/>
  <c r="DJ76" i="3"/>
  <c r="DJ77" i="3"/>
  <c r="DJ78" i="3"/>
  <c r="DK76" i="3"/>
  <c r="DM76" i="3" s="1"/>
  <c r="DK77" i="3"/>
  <c r="DM77" i="3" s="1"/>
  <c r="DK78" i="3"/>
  <c r="DM78" i="3" s="1"/>
  <c r="DO76" i="3"/>
  <c r="DO77" i="3"/>
  <c r="DO78" i="3"/>
  <c r="DP76" i="3"/>
  <c r="DR76" i="3" s="1"/>
  <c r="DP77" i="3"/>
  <c r="DR77" i="3" s="1"/>
  <c r="DP78" i="3"/>
  <c r="DR78" i="3" s="1"/>
  <c r="DV76" i="3"/>
  <c r="DV77" i="3"/>
  <c r="DV78" i="3"/>
  <c r="DW76" i="3"/>
  <c r="DY76" i="3" s="1"/>
  <c r="DW77" i="3"/>
  <c r="DW78" i="3"/>
  <c r="DY78" i="3" s="1"/>
  <c r="EC76" i="3"/>
  <c r="EC77" i="3"/>
  <c r="EC78" i="3"/>
  <c r="ED76" i="3"/>
  <c r="ED77" i="3"/>
  <c r="EF77" i="3" s="1"/>
  <c r="ED78" i="3"/>
  <c r="EF78" i="3" s="1"/>
  <c r="EJ76" i="3"/>
  <c r="EJ77" i="3"/>
  <c r="EJ78" i="3"/>
  <c r="EK76" i="3"/>
  <c r="EM76" i="3" s="1"/>
  <c r="EK77" i="3"/>
  <c r="EM77" i="3" s="1"/>
  <c r="EK78" i="3"/>
  <c r="EM78" i="3" s="1"/>
  <c r="EQ76" i="3"/>
  <c r="EQ77" i="3"/>
  <c r="EQ78" i="3"/>
  <c r="ER76" i="3"/>
  <c r="ET76" i="3" s="1"/>
  <c r="ER77" i="3"/>
  <c r="ET77" i="3" s="1"/>
  <c r="ER78" i="3"/>
  <c r="BB32" i="3"/>
  <c r="BC32" i="3"/>
  <c r="BE32" i="3" s="1"/>
  <c r="BG32" i="3"/>
  <c r="BH32" i="3"/>
  <c r="BL32" i="3"/>
  <c r="BM32" i="3"/>
  <c r="BO32" i="3" s="1"/>
  <c r="BQ32" i="3"/>
  <c r="BR32" i="3"/>
  <c r="BT32" i="3" s="1"/>
  <c r="BV32" i="3"/>
  <c r="BW32" i="3"/>
  <c r="BY32" i="3" s="1"/>
  <c r="N39" i="3" l="1"/>
  <c r="N40" i="3"/>
  <c r="N41" i="3"/>
  <c r="AX76" i="3"/>
  <c r="AX79" i="3"/>
  <c r="AX77" i="3"/>
  <c r="BD32" i="3"/>
  <c r="ES77" i="3"/>
  <c r="ES76" i="3"/>
  <c r="EL78" i="3"/>
  <c r="EL77" i="3"/>
  <c r="EL76" i="3"/>
  <c r="EE78" i="3"/>
  <c r="DX78" i="3"/>
  <c r="DX76" i="3"/>
  <c r="DQ78" i="3"/>
  <c r="DQ77" i="3"/>
  <c r="DQ76" i="3"/>
  <c r="DL78" i="3"/>
  <c r="DL77" i="3"/>
  <c r="DL76" i="3"/>
  <c r="DE78" i="3"/>
  <c r="DE77" i="3"/>
  <c r="CX78" i="3"/>
  <c r="CX76" i="3"/>
  <c r="CM78" i="3"/>
  <c r="CM77" i="3"/>
  <c r="CM76" i="3"/>
  <c r="CH78" i="3"/>
  <c r="CH77" i="3"/>
  <c r="CC78" i="3"/>
  <c r="CC77" i="3"/>
  <c r="CC76" i="3"/>
  <c r="BX77" i="3"/>
  <c r="BX76" i="3"/>
  <c r="BS78" i="3"/>
  <c r="BS77" i="3"/>
  <c r="BS76" i="3"/>
  <c r="BN78" i="3"/>
  <c r="BN77" i="3"/>
  <c r="BN76" i="3"/>
  <c r="BI77" i="3"/>
  <c r="BI76" i="3"/>
  <c r="BD76" i="3"/>
  <c r="AX78" i="3"/>
  <c r="AW78" i="3"/>
  <c r="AP78" i="3"/>
  <c r="AP77" i="3"/>
  <c r="AP76" i="3"/>
  <c r="ES79" i="3"/>
  <c r="EL79" i="3"/>
  <c r="EE79" i="3"/>
  <c r="DQ79" i="3"/>
  <c r="DL79" i="3"/>
  <c r="DE79" i="3"/>
  <c r="CM79" i="3"/>
  <c r="CC79" i="3"/>
  <c r="BX79" i="3"/>
  <c r="BS79" i="3"/>
  <c r="BD79" i="3"/>
  <c r="AP79" i="3"/>
  <c r="CH76" i="3"/>
  <c r="ES78" i="3"/>
  <c r="EE76" i="3"/>
  <c r="DX79" i="3"/>
  <c r="DX77" i="3"/>
  <c r="DE76" i="3"/>
  <c r="CX77" i="3"/>
  <c r="CX79" i="3"/>
  <c r="CH79" i="3"/>
  <c r="BX78" i="3"/>
  <c r="BN79" i="3"/>
  <c r="BD78" i="3"/>
  <c r="BD77" i="3"/>
  <c r="S79" i="3"/>
  <c r="O79" i="3" s="1"/>
  <c r="S78" i="3"/>
  <c r="O78" i="3" s="1"/>
  <c r="AF77" i="3"/>
  <c r="AC78" i="3"/>
  <c r="AF76" i="3"/>
  <c r="S77" i="3"/>
  <c r="O77" i="3" s="1"/>
  <c r="S76" i="3"/>
  <c r="O76" i="3" s="1"/>
  <c r="AC79" i="3"/>
  <c r="AF79" i="3"/>
  <c r="CI79" i="3"/>
  <c r="BO79" i="3"/>
  <c r="CR79" i="3"/>
  <c r="AC77" i="3"/>
  <c r="AC76" i="3"/>
  <c r="EF76" i="3"/>
  <c r="DF76" i="3"/>
  <c r="BE78" i="3"/>
  <c r="DY77" i="3"/>
  <c r="EE77" i="3"/>
  <c r="ET78" i="3"/>
  <c r="CY77" i="3"/>
  <c r="CI76" i="3"/>
  <c r="BS32" i="3"/>
  <c r="AF78" i="3"/>
  <c r="BN32" i="3"/>
  <c r="BX32" i="3"/>
  <c r="CO77" i="3" l="1"/>
  <c r="CQ77" i="3" s="1"/>
  <c r="CS77" i="3" s="1"/>
  <c r="CT77" i="3" s="1"/>
  <c r="EU77" i="3" s="1"/>
  <c r="CO76" i="3"/>
  <c r="CQ76" i="3" s="1"/>
  <c r="CS76" i="3" s="1"/>
  <c r="CT76" i="3" s="1"/>
  <c r="EU76" i="3" s="1"/>
  <c r="CO78" i="3"/>
  <c r="CQ78" i="3" s="1"/>
  <c r="CS78" i="3" s="1"/>
  <c r="CT78" i="3" s="1"/>
  <c r="EU78" i="3" s="1"/>
  <c r="CO79" i="3"/>
  <c r="CQ79" i="3" s="1"/>
  <c r="N79" i="3" s="1"/>
  <c r="AJ8" i="3"/>
  <c r="AL8" i="3" s="1"/>
  <c r="AJ9" i="3"/>
  <c r="AL9" i="3" s="1"/>
  <c r="AJ10" i="3"/>
  <c r="AL10" i="3" s="1"/>
  <c r="AJ12" i="3"/>
  <c r="AJ13" i="3"/>
  <c r="AJ14" i="3"/>
  <c r="ER8" i="3"/>
  <c r="ET8" i="3" s="1"/>
  <c r="ER9" i="3"/>
  <c r="ET9" i="3" s="1"/>
  <c r="ER10" i="3"/>
  <c r="ET10" i="3" s="1"/>
  <c r="ER12" i="3"/>
  <c r="ET12" i="3" s="1"/>
  <c r="ER13" i="3"/>
  <c r="ET13" i="3" s="1"/>
  <c r="ER14" i="3"/>
  <c r="ET14" i="3" s="1"/>
  <c r="EQ8" i="3"/>
  <c r="EQ9" i="3"/>
  <c r="EQ10" i="3"/>
  <c r="EQ12" i="3"/>
  <c r="EQ13" i="3"/>
  <c r="EQ14" i="3"/>
  <c r="EK8" i="3"/>
  <c r="EM8" i="3" s="1"/>
  <c r="EK9" i="3"/>
  <c r="EM9" i="3" s="1"/>
  <c r="EK10" i="3"/>
  <c r="EM10" i="3" s="1"/>
  <c r="EK12" i="3"/>
  <c r="EM12" i="3" s="1"/>
  <c r="EK13" i="3"/>
  <c r="EM13" i="3" s="1"/>
  <c r="EK14" i="3"/>
  <c r="EM14" i="3" s="1"/>
  <c r="EJ8" i="3"/>
  <c r="EJ9" i="3"/>
  <c r="EJ10" i="3"/>
  <c r="EJ12" i="3"/>
  <c r="EJ13" i="3"/>
  <c r="EJ14" i="3"/>
  <c r="ED8" i="3"/>
  <c r="EF8" i="3" s="1"/>
  <c r="ED9" i="3"/>
  <c r="EF9" i="3" s="1"/>
  <c r="ED10" i="3"/>
  <c r="EF10" i="3" s="1"/>
  <c r="ED12" i="3"/>
  <c r="EF12" i="3" s="1"/>
  <c r="ED13" i="3"/>
  <c r="EF13" i="3" s="1"/>
  <c r="ED14" i="3"/>
  <c r="EF14" i="3" s="1"/>
  <c r="EC8" i="3"/>
  <c r="EC9" i="3"/>
  <c r="EC10" i="3"/>
  <c r="EC12" i="3"/>
  <c r="EC13" i="3"/>
  <c r="EC14" i="3"/>
  <c r="DW8" i="3"/>
  <c r="DY8" i="3" s="1"/>
  <c r="DW9" i="3"/>
  <c r="DY9" i="3" s="1"/>
  <c r="DW10" i="3"/>
  <c r="DY10" i="3" s="1"/>
  <c r="DW12" i="3"/>
  <c r="DY12" i="3" s="1"/>
  <c r="DW13" i="3"/>
  <c r="DY13" i="3" s="1"/>
  <c r="DW14" i="3"/>
  <c r="DY14" i="3" s="1"/>
  <c r="DV8" i="3"/>
  <c r="DV9" i="3"/>
  <c r="DV10" i="3"/>
  <c r="DV12" i="3"/>
  <c r="DV13" i="3"/>
  <c r="DV14" i="3"/>
  <c r="DP8" i="3"/>
  <c r="DR8" i="3" s="1"/>
  <c r="DP9" i="3"/>
  <c r="DR9" i="3" s="1"/>
  <c r="DP10" i="3"/>
  <c r="DR10" i="3" s="1"/>
  <c r="DP12" i="3"/>
  <c r="DR12" i="3" s="1"/>
  <c r="DP13" i="3"/>
  <c r="DR13" i="3" s="1"/>
  <c r="DP14" i="3"/>
  <c r="DR14" i="3" s="1"/>
  <c r="DO8" i="3"/>
  <c r="DO9" i="3"/>
  <c r="DO10" i="3"/>
  <c r="DO12" i="3"/>
  <c r="DO13" i="3"/>
  <c r="DO14" i="3"/>
  <c r="DK8" i="3"/>
  <c r="DM8" i="3" s="1"/>
  <c r="DK9" i="3"/>
  <c r="DM9" i="3" s="1"/>
  <c r="DK10" i="3"/>
  <c r="DM10" i="3" s="1"/>
  <c r="DK12" i="3"/>
  <c r="DM12" i="3" s="1"/>
  <c r="DK13" i="3"/>
  <c r="DM13" i="3" s="1"/>
  <c r="DK14" i="3"/>
  <c r="DM14" i="3" s="1"/>
  <c r="DJ8" i="3"/>
  <c r="DJ9" i="3"/>
  <c r="DJ10" i="3"/>
  <c r="DJ12" i="3"/>
  <c r="DJ13" i="3"/>
  <c r="DJ14" i="3"/>
  <c r="DD8" i="3"/>
  <c r="DF8" i="3" s="1"/>
  <c r="DD9" i="3"/>
  <c r="DF9" i="3" s="1"/>
  <c r="DD10" i="3"/>
  <c r="DF10" i="3" s="1"/>
  <c r="DD12" i="3"/>
  <c r="DF12" i="3" s="1"/>
  <c r="DD13" i="3"/>
  <c r="DF13" i="3" s="1"/>
  <c r="DD14" i="3"/>
  <c r="DF14" i="3" s="1"/>
  <c r="DC8" i="3"/>
  <c r="DC9" i="3"/>
  <c r="DC10" i="3"/>
  <c r="DC12" i="3"/>
  <c r="DC13" i="3"/>
  <c r="DC14" i="3"/>
  <c r="CW8" i="3"/>
  <c r="CY8" i="3" s="1"/>
  <c r="CW9" i="3"/>
  <c r="CY9" i="3" s="1"/>
  <c r="CW10" i="3"/>
  <c r="CY10" i="3" s="1"/>
  <c r="CW12" i="3"/>
  <c r="CY12" i="3" s="1"/>
  <c r="CW13" i="3"/>
  <c r="CY13" i="3" s="1"/>
  <c r="CW14" i="3"/>
  <c r="CY14" i="3" s="1"/>
  <c r="CV8" i="3"/>
  <c r="CV9" i="3"/>
  <c r="CV10" i="3"/>
  <c r="CV12" i="3"/>
  <c r="CV13" i="3"/>
  <c r="CV14" i="3"/>
  <c r="CP8" i="3"/>
  <c r="CR8" i="3" s="1"/>
  <c r="CP9" i="3"/>
  <c r="CR9" i="3" s="1"/>
  <c r="CP10" i="3"/>
  <c r="CR10" i="3" s="1"/>
  <c r="CP12" i="3"/>
  <c r="CR12" i="3" s="1"/>
  <c r="CP13" i="3"/>
  <c r="CR13" i="3" s="1"/>
  <c r="CP14" i="3"/>
  <c r="CR14" i="3" s="1"/>
  <c r="CL8" i="3"/>
  <c r="CN8" i="3" s="1"/>
  <c r="CL9" i="3"/>
  <c r="CN9" i="3" s="1"/>
  <c r="CL10" i="3"/>
  <c r="CN10" i="3" s="1"/>
  <c r="CL12" i="3"/>
  <c r="CN12" i="3" s="1"/>
  <c r="CL13" i="3"/>
  <c r="CN13" i="3" s="1"/>
  <c r="CL14" i="3"/>
  <c r="CN14" i="3" s="1"/>
  <c r="CK8" i="3"/>
  <c r="CK9" i="3"/>
  <c r="CK10" i="3"/>
  <c r="CK12" i="3"/>
  <c r="CK13" i="3"/>
  <c r="CK14" i="3"/>
  <c r="CG8" i="3"/>
  <c r="CI8" i="3" s="1"/>
  <c r="CG9" i="3"/>
  <c r="CI9" i="3" s="1"/>
  <c r="CG10" i="3"/>
  <c r="CI10" i="3" s="1"/>
  <c r="CG12" i="3"/>
  <c r="CI12" i="3" s="1"/>
  <c r="CG13" i="3"/>
  <c r="CI13" i="3" s="1"/>
  <c r="CG14" i="3"/>
  <c r="CI14" i="3" s="1"/>
  <c r="CF8" i="3"/>
  <c r="CF9" i="3"/>
  <c r="CF10" i="3"/>
  <c r="CF12" i="3"/>
  <c r="CF13" i="3"/>
  <c r="CF14" i="3"/>
  <c r="CB8" i="3"/>
  <c r="CD8" i="3" s="1"/>
  <c r="CB9" i="3"/>
  <c r="CD9" i="3" s="1"/>
  <c r="CB10" i="3"/>
  <c r="CD10" i="3" s="1"/>
  <c r="CB12" i="3"/>
  <c r="CD12" i="3" s="1"/>
  <c r="CB13" i="3"/>
  <c r="CD13" i="3" s="1"/>
  <c r="CB14" i="3"/>
  <c r="CD14" i="3" s="1"/>
  <c r="CA8" i="3"/>
  <c r="CA9" i="3"/>
  <c r="CA10" i="3"/>
  <c r="CA12" i="3"/>
  <c r="CA13" i="3"/>
  <c r="CA14" i="3"/>
  <c r="BW8" i="3"/>
  <c r="BY8" i="3" s="1"/>
  <c r="BW9" i="3"/>
  <c r="BY9" i="3" s="1"/>
  <c r="BW10" i="3"/>
  <c r="BY10" i="3" s="1"/>
  <c r="BW12" i="3"/>
  <c r="BY12" i="3" s="1"/>
  <c r="BW13" i="3"/>
  <c r="BY13" i="3" s="1"/>
  <c r="BW14" i="3"/>
  <c r="BY14" i="3" s="1"/>
  <c r="BV8" i="3"/>
  <c r="BV9" i="3"/>
  <c r="BV10" i="3"/>
  <c r="BV12" i="3"/>
  <c r="BV13" i="3"/>
  <c r="BV14" i="3"/>
  <c r="BR8" i="3"/>
  <c r="BT8" i="3" s="1"/>
  <c r="BR9" i="3"/>
  <c r="BT9" i="3" s="1"/>
  <c r="BR10" i="3"/>
  <c r="BT10" i="3" s="1"/>
  <c r="BR12" i="3"/>
  <c r="BT12" i="3" s="1"/>
  <c r="BR13" i="3"/>
  <c r="BT13" i="3" s="1"/>
  <c r="BR14" i="3"/>
  <c r="BT14" i="3" s="1"/>
  <c r="BQ8" i="3"/>
  <c r="BQ9" i="3"/>
  <c r="BQ10" i="3"/>
  <c r="BQ12" i="3"/>
  <c r="BQ13" i="3"/>
  <c r="BQ14" i="3"/>
  <c r="BM8" i="3"/>
  <c r="BO8" i="3" s="1"/>
  <c r="BM9" i="3"/>
  <c r="BO9" i="3" s="1"/>
  <c r="BM10" i="3"/>
  <c r="BO10" i="3" s="1"/>
  <c r="BM12" i="3"/>
  <c r="BO12" i="3" s="1"/>
  <c r="BM13" i="3"/>
  <c r="BO13" i="3" s="1"/>
  <c r="BM14" i="3"/>
  <c r="BO14" i="3" s="1"/>
  <c r="BL8" i="3"/>
  <c r="BL9" i="3"/>
  <c r="BL10" i="3"/>
  <c r="BL12" i="3"/>
  <c r="BL13" i="3"/>
  <c r="BL14" i="3"/>
  <c r="BH8" i="3"/>
  <c r="BJ8" i="3" s="1"/>
  <c r="BH9" i="3"/>
  <c r="BJ9" i="3" s="1"/>
  <c r="BH10" i="3"/>
  <c r="BJ10" i="3" s="1"/>
  <c r="BH12" i="3"/>
  <c r="BJ12" i="3" s="1"/>
  <c r="BH13" i="3"/>
  <c r="BJ13" i="3" s="1"/>
  <c r="BH14" i="3"/>
  <c r="BJ14" i="3" s="1"/>
  <c r="BG8" i="3"/>
  <c r="BG9" i="3"/>
  <c r="BG10" i="3"/>
  <c r="BG12" i="3"/>
  <c r="BG13" i="3"/>
  <c r="BG14" i="3"/>
  <c r="BC8" i="3"/>
  <c r="BE8" i="3" s="1"/>
  <c r="BC9" i="3"/>
  <c r="BE9" i="3" s="1"/>
  <c r="BC10" i="3"/>
  <c r="BE10" i="3" s="1"/>
  <c r="BC12" i="3"/>
  <c r="BE12" i="3" s="1"/>
  <c r="BC13" i="3"/>
  <c r="BE13" i="3" s="1"/>
  <c r="BC14" i="3"/>
  <c r="BE14" i="3" s="1"/>
  <c r="BB8" i="3"/>
  <c r="BB9" i="3"/>
  <c r="BB10" i="3"/>
  <c r="BB12" i="3"/>
  <c r="BB13" i="3"/>
  <c r="BB14" i="3"/>
  <c r="AV8" i="3"/>
  <c r="AX8" i="3" s="1"/>
  <c r="AV9" i="3"/>
  <c r="AX9" i="3" s="1"/>
  <c r="AV10" i="3"/>
  <c r="AX10" i="3" s="1"/>
  <c r="AV12" i="3"/>
  <c r="AX12" i="3" s="1"/>
  <c r="AV13" i="3"/>
  <c r="AX13" i="3" s="1"/>
  <c r="AV14" i="3"/>
  <c r="AX14" i="3" s="1"/>
  <c r="AU8" i="3"/>
  <c r="AU9" i="3"/>
  <c r="AU10" i="3"/>
  <c r="AU12" i="3"/>
  <c r="AU13" i="3"/>
  <c r="AU14" i="3"/>
  <c r="AO8" i="3"/>
  <c r="AQ8" i="3" s="1"/>
  <c r="AO9" i="3"/>
  <c r="AQ9" i="3" s="1"/>
  <c r="AO10" i="3"/>
  <c r="AQ10" i="3" s="1"/>
  <c r="AO12" i="3"/>
  <c r="AQ12" i="3" s="1"/>
  <c r="AO13" i="3"/>
  <c r="AQ13" i="3" s="1"/>
  <c r="AO14" i="3"/>
  <c r="AQ14" i="3" s="1"/>
  <c r="AN8" i="3"/>
  <c r="AN9" i="3"/>
  <c r="AN10" i="3"/>
  <c r="AN12" i="3"/>
  <c r="AN13" i="3"/>
  <c r="AN14" i="3"/>
  <c r="AI8" i="3"/>
  <c r="AI9" i="3"/>
  <c r="AI10" i="3"/>
  <c r="AI12" i="3"/>
  <c r="AI13" i="3"/>
  <c r="AI14" i="3"/>
  <c r="Q8" i="3"/>
  <c r="AB8" i="3" s="1"/>
  <c r="Q9" i="3"/>
  <c r="AB9" i="3" s="1"/>
  <c r="Q10" i="3"/>
  <c r="AB10" i="3" s="1"/>
  <c r="Q12" i="3"/>
  <c r="AB12" i="3" s="1"/>
  <c r="Q13" i="3"/>
  <c r="AB13" i="3" s="1"/>
  <c r="Q14" i="3"/>
  <c r="AB14" i="3" s="1"/>
  <c r="R8" i="3"/>
  <c r="S9" i="3"/>
  <c r="O9" i="3" s="1"/>
  <c r="R10" i="3"/>
  <c r="S12" i="3"/>
  <c r="O12" i="3" s="1"/>
  <c r="S13" i="3"/>
  <c r="O13" i="3" s="1"/>
  <c r="R14" i="3"/>
  <c r="BB38" i="3"/>
  <c r="BC38" i="3"/>
  <c r="BE38" i="3" s="1"/>
  <c r="BG38" i="3"/>
  <c r="BH38" i="3"/>
  <c r="EU6" i="3"/>
  <c r="EU7" i="3"/>
  <c r="EU15" i="3"/>
  <c r="EU16" i="3"/>
  <c r="EU17" i="3"/>
  <c r="EU18" i="3"/>
  <c r="EU2" i="3"/>
  <c r="CP46" i="3"/>
  <c r="AJ2" i="3"/>
  <c r="AK10" i="3" l="1"/>
  <c r="AK8" i="3"/>
  <c r="N77" i="3"/>
  <c r="BI10" i="3"/>
  <c r="ES9" i="3"/>
  <c r="N76" i="3"/>
  <c r="N78" i="3"/>
  <c r="CS79" i="3"/>
  <c r="CT79" i="3" s="1"/>
  <c r="EU79" i="3" s="1"/>
  <c r="BD10" i="3"/>
  <c r="AW9" i="3"/>
  <c r="BN14" i="3"/>
  <c r="CH8" i="3"/>
  <c r="ES8" i="3"/>
  <c r="EL9" i="3"/>
  <c r="BD9" i="3"/>
  <c r="AW12" i="3"/>
  <c r="AW8" i="3"/>
  <c r="DQ14" i="3"/>
  <c r="BD38" i="3"/>
  <c r="ES12" i="3"/>
  <c r="BI13" i="3"/>
  <c r="BI12" i="3"/>
  <c r="CX8" i="3"/>
  <c r="BD12" i="3"/>
  <c r="DX13" i="3"/>
  <c r="DQ12" i="3"/>
  <c r="DL12" i="3"/>
  <c r="AP10" i="3"/>
  <c r="BN13" i="3"/>
  <c r="AP9" i="3"/>
  <c r="DE12" i="3"/>
  <c r="AC8" i="3"/>
  <c r="BD14" i="3"/>
  <c r="BI14" i="3"/>
  <c r="DL14" i="3"/>
  <c r="BD8" i="3"/>
  <c r="CM13" i="3"/>
  <c r="DE13" i="3"/>
  <c r="DL13" i="3"/>
  <c r="DX14" i="3"/>
  <c r="CM12" i="3"/>
  <c r="CM10" i="3"/>
  <c r="DE10" i="3"/>
  <c r="CM9" i="3"/>
  <c r="DE9" i="3"/>
  <c r="DL9" i="3"/>
  <c r="CM8" i="3"/>
  <c r="CX13" i="3"/>
  <c r="CH10" i="3"/>
  <c r="CX10" i="3"/>
  <c r="CH9" i="3"/>
  <c r="CX9" i="3"/>
  <c r="DE8" i="3"/>
  <c r="DL10" i="3"/>
  <c r="DQ13" i="3"/>
  <c r="DL8" i="3"/>
  <c r="DQ10" i="3"/>
  <c r="BI9" i="3"/>
  <c r="BN12" i="3"/>
  <c r="BS14" i="3"/>
  <c r="DQ9" i="3"/>
  <c r="DX12" i="3"/>
  <c r="BI8" i="3"/>
  <c r="BN10" i="3"/>
  <c r="BS13" i="3"/>
  <c r="DQ8" i="3"/>
  <c r="DX10" i="3"/>
  <c r="EE14" i="3"/>
  <c r="BN9" i="3"/>
  <c r="BS12" i="3"/>
  <c r="BX14" i="3"/>
  <c r="DX9" i="3"/>
  <c r="EE13" i="3"/>
  <c r="BN8" i="3"/>
  <c r="BS10" i="3"/>
  <c r="BX13" i="3"/>
  <c r="DX8" i="3"/>
  <c r="EE12" i="3"/>
  <c r="EL14" i="3"/>
  <c r="BS9" i="3"/>
  <c r="BX12" i="3"/>
  <c r="CC14" i="3"/>
  <c r="EE10" i="3"/>
  <c r="EL13" i="3"/>
  <c r="BS8" i="3"/>
  <c r="BX10" i="3"/>
  <c r="CC13" i="3"/>
  <c r="EE9" i="3"/>
  <c r="EL12" i="3"/>
  <c r="ES14" i="3"/>
  <c r="AP14" i="3"/>
  <c r="BX9" i="3"/>
  <c r="CC12" i="3"/>
  <c r="CH14" i="3"/>
  <c r="CX14" i="3"/>
  <c r="EE8" i="3"/>
  <c r="EL10" i="3"/>
  <c r="ES13" i="3"/>
  <c r="AP13" i="3"/>
  <c r="BX8" i="3"/>
  <c r="CC10" i="3"/>
  <c r="CH13" i="3"/>
  <c r="AP12" i="3"/>
  <c r="AW14" i="3"/>
  <c r="CC9" i="3"/>
  <c r="CH12" i="3"/>
  <c r="CM14" i="3"/>
  <c r="CX12" i="3"/>
  <c r="DE14" i="3"/>
  <c r="EL8" i="3"/>
  <c r="ES10" i="3"/>
  <c r="AW13" i="3"/>
  <c r="CC8" i="3"/>
  <c r="AP8" i="3"/>
  <c r="AW10" i="3"/>
  <c r="BD13" i="3"/>
  <c r="AK14" i="3"/>
  <c r="AK13" i="3"/>
  <c r="AK12" i="3"/>
  <c r="AF10" i="3"/>
  <c r="AC10" i="3"/>
  <c r="AF14" i="3"/>
  <c r="AC14" i="3"/>
  <c r="S14" i="3"/>
  <c r="O14" i="3" s="1"/>
  <c r="R12" i="3"/>
  <c r="R13" i="3"/>
  <c r="S10" i="3"/>
  <c r="O10" i="3" s="1"/>
  <c r="R9" i="3"/>
  <c r="AC9" i="3" s="1"/>
  <c r="S8" i="3"/>
  <c r="O8" i="3" s="1"/>
  <c r="AL13" i="3"/>
  <c r="AL12" i="3"/>
  <c r="AK9" i="3"/>
  <c r="AL14" i="3"/>
  <c r="AF8" i="3"/>
  <c r="R2" i="3"/>
  <c r="Q2" i="3"/>
  <c r="AB2" i="3" s="1"/>
  <c r="AI2" i="3"/>
  <c r="AK2" i="3" s="1"/>
  <c r="AL2" i="3"/>
  <c r="AN2" i="3"/>
  <c r="AO2" i="3"/>
  <c r="AQ2" i="3" s="1"/>
  <c r="AU2" i="3"/>
  <c r="AV2" i="3"/>
  <c r="AX2" i="3" s="1"/>
  <c r="BB2" i="3"/>
  <c r="BC2" i="3"/>
  <c r="BE2" i="3" s="1"/>
  <c r="BG2" i="3"/>
  <c r="BH2" i="3"/>
  <c r="BJ2" i="3" s="1"/>
  <c r="BL2" i="3"/>
  <c r="BM2" i="3"/>
  <c r="BO2" i="3" s="1"/>
  <c r="BQ2" i="3"/>
  <c r="BR2" i="3"/>
  <c r="BT2" i="3" s="1"/>
  <c r="BV2" i="3"/>
  <c r="BW2" i="3"/>
  <c r="BY2" i="3" s="1"/>
  <c r="CA2" i="3"/>
  <c r="CB2" i="3"/>
  <c r="CD2" i="3" s="1"/>
  <c r="CF2" i="3"/>
  <c r="CG2" i="3"/>
  <c r="CI2" i="3" s="1"/>
  <c r="CK2" i="3"/>
  <c r="CL2" i="3"/>
  <c r="CN2" i="3" s="1"/>
  <c r="CP2" i="3"/>
  <c r="CV2" i="3"/>
  <c r="CW2" i="3"/>
  <c r="CY2" i="3" s="1"/>
  <c r="DC2" i="3"/>
  <c r="DD2" i="3"/>
  <c r="DF2" i="3" s="1"/>
  <c r="DJ2" i="3"/>
  <c r="DK2" i="3"/>
  <c r="DM2" i="3" s="1"/>
  <c r="DO2" i="3"/>
  <c r="DP2" i="3"/>
  <c r="DR2" i="3" s="1"/>
  <c r="DV2" i="3"/>
  <c r="DW2" i="3"/>
  <c r="DY2" i="3" s="1"/>
  <c r="EC2" i="3"/>
  <c r="ED2" i="3"/>
  <c r="EF2" i="3" s="1"/>
  <c r="EJ2" i="3"/>
  <c r="EK2" i="3"/>
  <c r="EM2" i="3" s="1"/>
  <c r="EQ2" i="3"/>
  <c r="ER2" i="3"/>
  <c r="ET2" i="3" s="1"/>
  <c r="BL68" i="3"/>
  <c r="BM68" i="3"/>
  <c r="BO68" i="3" s="1"/>
  <c r="BQ68" i="3"/>
  <c r="BR68" i="3"/>
  <c r="BT68" i="3" s="1"/>
  <c r="BV68" i="3"/>
  <c r="BW68" i="3"/>
  <c r="BY68" i="3" s="1"/>
  <c r="CA68" i="3"/>
  <c r="CB68" i="3"/>
  <c r="BB50" i="3"/>
  <c r="BC50" i="3"/>
  <c r="BE50" i="3" s="1"/>
  <c r="BG50" i="3"/>
  <c r="BH50" i="3"/>
  <c r="BB54" i="3"/>
  <c r="BC54" i="3"/>
  <c r="BE54" i="3" s="1"/>
  <c r="BG54" i="3"/>
  <c r="BH54" i="3"/>
  <c r="BJ54" i="3" s="1"/>
  <c r="BL54" i="3"/>
  <c r="BM54" i="3"/>
  <c r="BO54" i="3" s="1"/>
  <c r="BQ54" i="3"/>
  <c r="BR54" i="3"/>
  <c r="BT54" i="3" s="1"/>
  <c r="BV54" i="3"/>
  <c r="BW54" i="3"/>
  <c r="BY54" i="3" s="1"/>
  <c r="CA54" i="3"/>
  <c r="CB54" i="3"/>
  <c r="CD54" i="3" s="1"/>
  <c r="CF54" i="3"/>
  <c r="CG54" i="3"/>
  <c r="CI54" i="3" s="1"/>
  <c r="AJ15" i="3"/>
  <c r="AJ16" i="3"/>
  <c r="AJ17" i="3"/>
  <c r="AJ18" i="3"/>
  <c r="CO9" i="3" l="1"/>
  <c r="CQ9" i="3" s="1"/>
  <c r="CS9" i="3" s="1"/>
  <c r="CT9" i="3" s="1"/>
  <c r="EU9" i="3" s="1"/>
  <c r="CO12" i="3"/>
  <c r="CQ12" i="3" s="1"/>
  <c r="CS12" i="3" s="1"/>
  <c r="CT12" i="3" s="1"/>
  <c r="EU12" i="3" s="1"/>
  <c r="CO13" i="3"/>
  <c r="CQ13" i="3" s="1"/>
  <c r="CS13" i="3" s="1"/>
  <c r="CT13" i="3" s="1"/>
  <c r="CO14" i="3"/>
  <c r="CQ14" i="3" s="1"/>
  <c r="CS14" i="3" s="1"/>
  <c r="CT14" i="3" s="1"/>
  <c r="CO10" i="3"/>
  <c r="CQ10" i="3" s="1"/>
  <c r="N10" i="3" s="1"/>
  <c r="CO8" i="3"/>
  <c r="CQ8" i="3" s="1"/>
  <c r="N8" i="3" s="1"/>
  <c r="EU14" i="3"/>
  <c r="EU13" i="3"/>
  <c r="AC12" i="3"/>
  <c r="AF12" i="3"/>
  <c r="AF13" i="3"/>
  <c r="AC13" i="3"/>
  <c r="AF9" i="3"/>
  <c r="DQ2" i="3"/>
  <c r="AP2" i="3"/>
  <c r="CC2" i="3"/>
  <c r="DL2" i="3"/>
  <c r="BN68" i="3"/>
  <c r="CX2" i="3"/>
  <c r="BD50" i="3"/>
  <c r="BS2" i="3"/>
  <c r="BN2" i="3"/>
  <c r="BS68" i="3"/>
  <c r="DE2" i="3"/>
  <c r="BX54" i="3"/>
  <c r="BI2" i="3"/>
  <c r="BD2" i="3"/>
  <c r="BI54" i="3"/>
  <c r="ES2" i="3"/>
  <c r="CM2" i="3"/>
  <c r="AW2" i="3"/>
  <c r="EL2" i="3"/>
  <c r="CH2" i="3"/>
  <c r="EE2" i="3"/>
  <c r="CC54" i="3"/>
  <c r="DX2" i="3"/>
  <c r="BX2" i="3"/>
  <c r="AC2" i="3"/>
  <c r="AF2" i="3"/>
  <c r="CR2" i="3"/>
  <c r="S2" i="3"/>
  <c r="BD54" i="3"/>
  <c r="CH54" i="3"/>
  <c r="BS54" i="3"/>
  <c r="BX68" i="3"/>
  <c r="BN54" i="3"/>
  <c r="CC68" i="3"/>
  <c r="CD68" i="3"/>
  <c r="R17" i="3"/>
  <c r="R18" i="3"/>
  <c r="Q17" i="3"/>
  <c r="AB17" i="3" s="1"/>
  <c r="Q18" i="3"/>
  <c r="AB18" i="3" s="1"/>
  <c r="AI17" i="3"/>
  <c r="AK17" i="3" s="1"/>
  <c r="AI18" i="3"/>
  <c r="AK18" i="3" s="1"/>
  <c r="AL17" i="3"/>
  <c r="AL18" i="3"/>
  <c r="AN17" i="3"/>
  <c r="AN18" i="3"/>
  <c r="AO17" i="3"/>
  <c r="AO18" i="3"/>
  <c r="AQ18" i="3" s="1"/>
  <c r="AU17" i="3"/>
  <c r="AU18" i="3"/>
  <c r="AV17" i="3"/>
  <c r="AX17" i="3" s="1"/>
  <c r="AV18" i="3"/>
  <c r="AX18" i="3" s="1"/>
  <c r="BB17" i="3"/>
  <c r="BB18" i="3"/>
  <c r="BC17" i="3"/>
  <c r="BC18" i="3"/>
  <c r="BE18" i="3" s="1"/>
  <c r="BG17" i="3"/>
  <c r="BG18" i="3"/>
  <c r="BH17" i="3"/>
  <c r="BJ17" i="3" s="1"/>
  <c r="BH18" i="3"/>
  <c r="BJ18" i="3" s="1"/>
  <c r="BL17" i="3"/>
  <c r="BL18" i="3"/>
  <c r="BM17" i="3"/>
  <c r="BM18" i="3"/>
  <c r="BO18" i="3" s="1"/>
  <c r="BQ17" i="3"/>
  <c r="BQ18" i="3"/>
  <c r="BR17" i="3"/>
  <c r="BT17" i="3" s="1"/>
  <c r="BR18" i="3"/>
  <c r="BT18" i="3" s="1"/>
  <c r="BV17" i="3"/>
  <c r="BV18" i="3"/>
  <c r="BW17" i="3"/>
  <c r="BW18" i="3"/>
  <c r="BY18" i="3" s="1"/>
  <c r="CA17" i="3"/>
  <c r="CA18" i="3"/>
  <c r="CB17" i="3"/>
  <c r="CD17" i="3" s="1"/>
  <c r="CB18" i="3"/>
  <c r="CD18" i="3" s="1"/>
  <c r="CF17" i="3"/>
  <c r="CF18" i="3"/>
  <c r="CG17" i="3"/>
  <c r="CG18" i="3"/>
  <c r="CI18" i="3" s="1"/>
  <c r="CK17" i="3"/>
  <c r="CK18" i="3"/>
  <c r="CL17" i="3"/>
  <c r="CN17" i="3" s="1"/>
  <c r="CL18" i="3"/>
  <c r="CN18" i="3" s="1"/>
  <c r="CP17" i="3"/>
  <c r="CP18" i="3"/>
  <c r="CV17" i="3"/>
  <c r="CV18" i="3"/>
  <c r="CW17" i="3"/>
  <c r="CY17" i="3" s="1"/>
  <c r="CW18" i="3"/>
  <c r="CY18" i="3" s="1"/>
  <c r="DC17" i="3"/>
  <c r="DC18" i="3"/>
  <c r="DD17" i="3"/>
  <c r="DF17" i="3" s="1"/>
  <c r="DD18" i="3"/>
  <c r="DF18" i="3" s="1"/>
  <c r="DJ17" i="3"/>
  <c r="DJ18" i="3"/>
  <c r="DK17" i="3"/>
  <c r="DM17" i="3" s="1"/>
  <c r="DK18" i="3"/>
  <c r="DM18" i="3" s="1"/>
  <c r="DO17" i="3"/>
  <c r="DO18" i="3"/>
  <c r="DP17" i="3"/>
  <c r="DR17" i="3" s="1"/>
  <c r="DP18" i="3"/>
  <c r="DR18" i="3" s="1"/>
  <c r="DV17" i="3"/>
  <c r="DV18" i="3"/>
  <c r="DW17" i="3"/>
  <c r="DY17" i="3" s="1"/>
  <c r="DW18" i="3"/>
  <c r="DY18" i="3" s="1"/>
  <c r="EC17" i="3"/>
  <c r="EC18" i="3"/>
  <c r="ED17" i="3"/>
  <c r="ED18" i="3"/>
  <c r="EF18" i="3" s="1"/>
  <c r="EJ17" i="3"/>
  <c r="EJ18" i="3"/>
  <c r="EK17" i="3"/>
  <c r="EM17" i="3" s="1"/>
  <c r="EK18" i="3"/>
  <c r="EM18" i="3" s="1"/>
  <c r="EQ17" i="3"/>
  <c r="EQ18" i="3"/>
  <c r="ER17" i="3"/>
  <c r="ER18" i="3"/>
  <c r="ET18" i="3" s="1"/>
  <c r="R15" i="3"/>
  <c r="R16" i="3"/>
  <c r="Q15" i="3"/>
  <c r="AB15" i="3" s="1"/>
  <c r="Q16" i="3"/>
  <c r="AB16" i="3" s="1"/>
  <c r="AI15" i="3"/>
  <c r="AK15" i="3" s="1"/>
  <c r="AI16" i="3"/>
  <c r="AK16" i="3" s="1"/>
  <c r="AL15" i="3"/>
  <c r="AL16" i="3"/>
  <c r="AN15" i="3"/>
  <c r="AN16" i="3"/>
  <c r="AO15" i="3"/>
  <c r="AO16" i="3"/>
  <c r="AQ16" i="3" s="1"/>
  <c r="AU15" i="3"/>
  <c r="AU16" i="3"/>
  <c r="AV15" i="3"/>
  <c r="AX15" i="3" s="1"/>
  <c r="AV16" i="3"/>
  <c r="AX16" i="3" s="1"/>
  <c r="BB15" i="3"/>
  <c r="BB16" i="3"/>
  <c r="BC15" i="3"/>
  <c r="BC16" i="3"/>
  <c r="BE16" i="3" s="1"/>
  <c r="BG15" i="3"/>
  <c r="BG16" i="3"/>
  <c r="BH15" i="3"/>
  <c r="BJ15" i="3" s="1"/>
  <c r="BH16" i="3"/>
  <c r="BJ16" i="3" s="1"/>
  <c r="BL15" i="3"/>
  <c r="BL16" i="3"/>
  <c r="BM15" i="3"/>
  <c r="BM16" i="3"/>
  <c r="BO16" i="3" s="1"/>
  <c r="BQ15" i="3"/>
  <c r="BQ16" i="3"/>
  <c r="BR15" i="3"/>
  <c r="BT15" i="3" s="1"/>
  <c r="BR16" i="3"/>
  <c r="BT16" i="3" s="1"/>
  <c r="BV15" i="3"/>
  <c r="BV16" i="3"/>
  <c r="BW15" i="3"/>
  <c r="BW16" i="3"/>
  <c r="BY16" i="3" s="1"/>
  <c r="CA15" i="3"/>
  <c r="CA16" i="3"/>
  <c r="CB15" i="3"/>
  <c r="CD15" i="3" s="1"/>
  <c r="CB16" i="3"/>
  <c r="CD16" i="3" s="1"/>
  <c r="CF15" i="3"/>
  <c r="CF16" i="3"/>
  <c r="CG15" i="3"/>
  <c r="CG16" i="3"/>
  <c r="CI16" i="3" s="1"/>
  <c r="CK15" i="3"/>
  <c r="CK16" i="3"/>
  <c r="CL15" i="3"/>
  <c r="CN15" i="3" s="1"/>
  <c r="CL16" i="3"/>
  <c r="CP15" i="3"/>
  <c r="CP16" i="3"/>
  <c r="CV15" i="3"/>
  <c r="CV16" i="3"/>
  <c r="CW15" i="3"/>
  <c r="CY15" i="3" s="1"/>
  <c r="CW16" i="3"/>
  <c r="DC15" i="3"/>
  <c r="DC16" i="3"/>
  <c r="DD15" i="3"/>
  <c r="DD16" i="3"/>
  <c r="DF16" i="3" s="1"/>
  <c r="DJ15" i="3"/>
  <c r="DJ16" i="3"/>
  <c r="DK15" i="3"/>
  <c r="DM15" i="3" s="1"/>
  <c r="DK16" i="3"/>
  <c r="DO15" i="3"/>
  <c r="DO16" i="3"/>
  <c r="DP15" i="3"/>
  <c r="DP16" i="3"/>
  <c r="DR16" i="3" s="1"/>
  <c r="DV15" i="3"/>
  <c r="DV16" i="3"/>
  <c r="DW15" i="3"/>
  <c r="DY15" i="3" s="1"/>
  <c r="DW16" i="3"/>
  <c r="EC15" i="3"/>
  <c r="EC16" i="3"/>
  <c r="ED15" i="3"/>
  <c r="ED16" i="3"/>
  <c r="EF16" i="3" s="1"/>
  <c r="EJ15" i="3"/>
  <c r="EJ16" i="3"/>
  <c r="EK15" i="3"/>
  <c r="EM15" i="3" s="1"/>
  <c r="EK16" i="3"/>
  <c r="EQ15" i="3"/>
  <c r="EQ16" i="3"/>
  <c r="ER15" i="3"/>
  <c r="ER16" i="3"/>
  <c r="ET16" i="3" s="1"/>
  <c r="O2" i="3" l="1"/>
  <c r="N9" i="3"/>
  <c r="CS10" i="3"/>
  <c r="CT10" i="3" s="1"/>
  <c r="EU10" i="3" s="1"/>
  <c r="N13" i="3"/>
  <c r="N12" i="3"/>
  <c r="CS8" i="3"/>
  <c r="CT8" i="3" s="1"/>
  <c r="EU8" i="3" s="1"/>
  <c r="N14" i="3"/>
  <c r="CO2" i="3"/>
  <c r="CQ2" i="3" s="1"/>
  <c r="DE17" i="3"/>
  <c r="AW17" i="3"/>
  <c r="AF15" i="3"/>
  <c r="AP17" i="3"/>
  <c r="EL16" i="3"/>
  <c r="EE15" i="3"/>
  <c r="DX16" i="3"/>
  <c r="CM16" i="3"/>
  <c r="CH17" i="3"/>
  <c r="BX17" i="3"/>
  <c r="BX15" i="3"/>
  <c r="BN17" i="3"/>
  <c r="BD17" i="3"/>
  <c r="DL16" i="3"/>
  <c r="ES17" i="3"/>
  <c r="CM17" i="3"/>
  <c r="BN18" i="3"/>
  <c r="BI15" i="3"/>
  <c r="ES15" i="3"/>
  <c r="CC17" i="3"/>
  <c r="DX18" i="3"/>
  <c r="CX18" i="3"/>
  <c r="BS16" i="3"/>
  <c r="AW16" i="3"/>
  <c r="BS15" i="3"/>
  <c r="BD18" i="3"/>
  <c r="CM15" i="3"/>
  <c r="CC18" i="3"/>
  <c r="AQ17" i="3"/>
  <c r="DX17" i="3"/>
  <c r="CX17" i="3"/>
  <c r="AW15" i="3"/>
  <c r="BI18" i="3"/>
  <c r="AP18" i="3"/>
  <c r="BI17" i="3"/>
  <c r="BN16" i="3"/>
  <c r="AP15" i="3"/>
  <c r="ES18" i="3"/>
  <c r="DQ18" i="3"/>
  <c r="BX18" i="3"/>
  <c r="AP16" i="3"/>
  <c r="DQ17" i="3"/>
  <c r="BE17" i="3"/>
  <c r="CM18" i="3"/>
  <c r="DX15" i="3"/>
  <c r="CC15" i="3"/>
  <c r="EL18" i="3"/>
  <c r="DL18" i="3"/>
  <c r="BS18" i="3"/>
  <c r="BI16" i="3"/>
  <c r="EL17" i="3"/>
  <c r="DL17" i="3"/>
  <c r="BS17" i="3"/>
  <c r="ES16" i="3"/>
  <c r="EE17" i="3"/>
  <c r="CH18" i="3"/>
  <c r="BO17" i="3"/>
  <c r="BD15" i="3"/>
  <c r="EE18" i="3"/>
  <c r="DE18" i="3"/>
  <c r="AW18" i="3"/>
  <c r="DL15" i="3"/>
  <c r="AF18" i="3"/>
  <c r="AC18" i="3"/>
  <c r="AF17" i="3"/>
  <c r="AC17" i="3"/>
  <c r="CR18" i="3"/>
  <c r="ET17" i="3"/>
  <c r="EF17" i="3"/>
  <c r="CR17" i="3"/>
  <c r="CI17" i="3"/>
  <c r="BY17" i="3"/>
  <c r="S18" i="3"/>
  <c r="O18" i="3" s="1"/>
  <c r="S17" i="3"/>
  <c r="O17" i="3" s="1"/>
  <c r="AC15" i="3"/>
  <c r="DQ15" i="3"/>
  <c r="DQ16" i="3"/>
  <c r="BX16" i="3"/>
  <c r="BD16" i="3"/>
  <c r="DE15" i="3"/>
  <c r="EL15" i="3"/>
  <c r="EE16" i="3"/>
  <c r="CH15" i="3"/>
  <c r="DE16" i="3"/>
  <c r="CH16" i="3"/>
  <c r="CX15" i="3"/>
  <c r="CC16" i="3"/>
  <c r="CX16" i="3"/>
  <c r="BN15" i="3"/>
  <c r="AF16" i="3"/>
  <c r="AC16" i="3"/>
  <c r="CR16" i="3"/>
  <c r="ET15" i="3"/>
  <c r="EF15" i="3"/>
  <c r="DF15" i="3"/>
  <c r="CI15" i="3"/>
  <c r="BO15" i="3"/>
  <c r="BE15" i="3"/>
  <c r="DR15" i="3"/>
  <c r="CR15" i="3"/>
  <c r="BY15" i="3"/>
  <c r="AQ15" i="3"/>
  <c r="S16" i="3"/>
  <c r="O16" i="3" s="1"/>
  <c r="S15" i="3"/>
  <c r="O15" i="3" s="1"/>
  <c r="EM16" i="3"/>
  <c r="DY16" i="3"/>
  <c r="DM16" i="3"/>
  <c r="CY16" i="3"/>
  <c r="CN16" i="3"/>
  <c r="N2" i="3" l="1"/>
  <c r="CS2" i="3"/>
  <c r="CT2" i="3" s="1"/>
  <c r="CO17" i="3"/>
  <c r="CQ17" i="3" s="1"/>
  <c r="CO18" i="3"/>
  <c r="CQ18" i="3" s="1"/>
  <c r="CO15" i="3"/>
  <c r="CQ15" i="3" s="1"/>
  <c r="CO16" i="3"/>
  <c r="CQ16" i="3" s="1"/>
  <c r="N16" i="3" l="1"/>
  <c r="CS16" i="3"/>
  <c r="CT16" i="3" s="1"/>
  <c r="N18" i="3"/>
  <c r="CS18" i="3"/>
  <c r="CT18" i="3" s="1"/>
  <c r="N15" i="3"/>
  <c r="CS15" i="3"/>
  <c r="CT15" i="3" s="1"/>
  <c r="N17" i="3"/>
  <c r="CS17" i="3"/>
  <c r="CT17" i="3" s="1"/>
  <c r="AJ42" i="3" l="1"/>
  <c r="AJ43" i="3"/>
  <c r="AJ44" i="3"/>
  <c r="AJ45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74" i="3"/>
  <c r="AJ75" i="3"/>
  <c r="AJ6" i="3"/>
  <c r="AJ7" i="3"/>
  <c r="R6" i="3" l="1"/>
  <c r="R7" i="3"/>
  <c r="Q6" i="3"/>
  <c r="AB6" i="3" s="1"/>
  <c r="Q7" i="3"/>
  <c r="AB7" i="3" s="1"/>
  <c r="AI6" i="3"/>
  <c r="AK6" i="3" s="1"/>
  <c r="AI7" i="3"/>
  <c r="AK7" i="3" s="1"/>
  <c r="AL6" i="3"/>
  <c r="AL7" i="3"/>
  <c r="AN6" i="3"/>
  <c r="AN7" i="3"/>
  <c r="AO6" i="3"/>
  <c r="AQ6" i="3" s="1"/>
  <c r="AO7" i="3"/>
  <c r="AQ7" i="3" s="1"/>
  <c r="AU6" i="3"/>
  <c r="AU7" i="3"/>
  <c r="AV6" i="3"/>
  <c r="AX6" i="3" s="1"/>
  <c r="AV7" i="3"/>
  <c r="AX7" i="3" s="1"/>
  <c r="BB6" i="3"/>
  <c r="BB7" i="3"/>
  <c r="BC6" i="3"/>
  <c r="BE6" i="3" s="1"/>
  <c r="BC7" i="3"/>
  <c r="BE7" i="3" s="1"/>
  <c r="BG6" i="3"/>
  <c r="BG7" i="3"/>
  <c r="BH6" i="3"/>
  <c r="BJ6" i="3" s="1"/>
  <c r="BH7" i="3"/>
  <c r="BJ7" i="3" s="1"/>
  <c r="BL6" i="3"/>
  <c r="BL7" i="3"/>
  <c r="BM6" i="3"/>
  <c r="BO6" i="3" s="1"/>
  <c r="BM7" i="3"/>
  <c r="BO7" i="3" s="1"/>
  <c r="BQ6" i="3"/>
  <c r="BQ7" i="3"/>
  <c r="BR6" i="3"/>
  <c r="BT6" i="3" s="1"/>
  <c r="BR7" i="3"/>
  <c r="BT7" i="3" s="1"/>
  <c r="BV6" i="3"/>
  <c r="BV7" i="3"/>
  <c r="BW6" i="3"/>
  <c r="BY6" i="3" s="1"/>
  <c r="BW7" i="3"/>
  <c r="BY7" i="3" s="1"/>
  <c r="CA6" i="3"/>
  <c r="CA7" i="3"/>
  <c r="CB6" i="3"/>
  <c r="CD6" i="3" s="1"/>
  <c r="CB7" i="3"/>
  <c r="CD7" i="3" s="1"/>
  <c r="CF6" i="3"/>
  <c r="CF7" i="3"/>
  <c r="CG6" i="3"/>
  <c r="CI6" i="3" s="1"/>
  <c r="CG7" i="3"/>
  <c r="CI7" i="3" s="1"/>
  <c r="CK6" i="3"/>
  <c r="CK7" i="3"/>
  <c r="CL6" i="3"/>
  <c r="CN6" i="3" s="1"/>
  <c r="CL7" i="3"/>
  <c r="CN7" i="3" s="1"/>
  <c r="CP6" i="3"/>
  <c r="CP7" i="3"/>
  <c r="CV6" i="3"/>
  <c r="CV7" i="3"/>
  <c r="CW6" i="3"/>
  <c r="CY6" i="3" s="1"/>
  <c r="CW7" i="3"/>
  <c r="CY7" i="3" s="1"/>
  <c r="DC6" i="3"/>
  <c r="DC7" i="3"/>
  <c r="DD6" i="3"/>
  <c r="DF6" i="3" s="1"/>
  <c r="DD7" i="3"/>
  <c r="DF7" i="3" s="1"/>
  <c r="DJ6" i="3"/>
  <c r="DJ7" i="3"/>
  <c r="DK6" i="3"/>
  <c r="DM6" i="3" s="1"/>
  <c r="DK7" i="3"/>
  <c r="DM7" i="3" s="1"/>
  <c r="DO6" i="3"/>
  <c r="DO7" i="3"/>
  <c r="DP6" i="3"/>
  <c r="DR6" i="3" s="1"/>
  <c r="DP7" i="3"/>
  <c r="DR7" i="3" s="1"/>
  <c r="DV6" i="3"/>
  <c r="DV7" i="3"/>
  <c r="DW6" i="3"/>
  <c r="DY6" i="3" s="1"/>
  <c r="DW7" i="3"/>
  <c r="DY7" i="3" s="1"/>
  <c r="EC6" i="3"/>
  <c r="EC7" i="3"/>
  <c r="ED6" i="3"/>
  <c r="EF6" i="3" s="1"/>
  <c r="ED7" i="3"/>
  <c r="EF7" i="3" s="1"/>
  <c r="EJ6" i="3"/>
  <c r="EJ7" i="3"/>
  <c r="EK6" i="3"/>
  <c r="EM6" i="3" s="1"/>
  <c r="EK7" i="3"/>
  <c r="EM7" i="3" s="1"/>
  <c r="EQ6" i="3"/>
  <c r="EQ7" i="3"/>
  <c r="ER6" i="3"/>
  <c r="ET6" i="3" s="1"/>
  <c r="ER7" i="3"/>
  <c r="ET7" i="3" s="1"/>
  <c r="AC7" i="3" l="1"/>
  <c r="AC6" i="3"/>
  <c r="DQ6" i="3"/>
  <c r="CM7" i="3"/>
  <c r="CC7" i="3"/>
  <c r="CC6" i="3"/>
  <c r="BS7" i="3"/>
  <c r="BI7" i="3"/>
  <c r="BI6" i="3"/>
  <c r="BD7" i="3"/>
  <c r="AW7" i="3"/>
  <c r="CM6" i="3"/>
  <c r="AW6" i="3"/>
  <c r="BS6" i="3"/>
  <c r="BX6" i="3"/>
  <c r="EL7" i="3"/>
  <c r="AP6" i="3"/>
  <c r="EL6" i="3"/>
  <c r="CH6" i="3"/>
  <c r="BN6" i="3"/>
  <c r="EE7" i="3"/>
  <c r="DE7" i="3"/>
  <c r="DE6" i="3"/>
  <c r="BN7" i="3"/>
  <c r="AP7" i="3"/>
  <c r="CX7" i="3"/>
  <c r="DL7" i="3"/>
  <c r="DL6" i="3"/>
  <c r="CH7" i="3"/>
  <c r="EE6" i="3"/>
  <c r="DX7" i="3"/>
  <c r="DX6" i="3"/>
  <c r="CX6" i="3"/>
  <c r="BX7" i="3"/>
  <c r="BD6" i="3"/>
  <c r="DQ7" i="3"/>
  <c r="ES7" i="3"/>
  <c r="ES6" i="3"/>
  <c r="AF7" i="3"/>
  <c r="AF6" i="3"/>
  <c r="CR7" i="3"/>
  <c r="CR6" i="3"/>
  <c r="S7" i="3"/>
  <c r="O7" i="3" s="1"/>
  <c r="S6" i="3"/>
  <c r="R46" i="3"/>
  <c r="Q46" i="3"/>
  <c r="AB46" i="3" s="1"/>
  <c r="O6" i="3" l="1"/>
  <c r="AC46" i="3"/>
  <c r="AF46" i="3"/>
  <c r="CO7" i="3"/>
  <c r="CQ7" i="3" s="1"/>
  <c r="CO6" i="3"/>
  <c r="CQ6" i="3" s="1"/>
  <c r="DJ75" i="3"/>
  <c r="DJ74" i="3"/>
  <c r="R74" i="3"/>
  <c r="R75" i="3"/>
  <c r="Q74" i="3"/>
  <c r="AB74" i="3" s="1"/>
  <c r="Q75" i="3"/>
  <c r="AB75" i="3" s="1"/>
  <c r="AI74" i="3"/>
  <c r="AK74" i="3" s="1"/>
  <c r="AI75" i="3"/>
  <c r="AK75" i="3" s="1"/>
  <c r="AL74" i="3"/>
  <c r="AL75" i="3"/>
  <c r="AN74" i="3"/>
  <c r="AN75" i="3"/>
  <c r="AO74" i="3"/>
  <c r="AQ74" i="3" s="1"/>
  <c r="AO75" i="3"/>
  <c r="AQ75" i="3" s="1"/>
  <c r="AU74" i="3"/>
  <c r="AU75" i="3"/>
  <c r="AV74" i="3"/>
  <c r="AX74" i="3" s="1"/>
  <c r="AV75" i="3"/>
  <c r="AX75" i="3" s="1"/>
  <c r="BB74" i="3"/>
  <c r="BB75" i="3"/>
  <c r="BC74" i="3"/>
  <c r="BE74" i="3" s="1"/>
  <c r="BC75" i="3"/>
  <c r="BE75" i="3" s="1"/>
  <c r="BG74" i="3"/>
  <c r="BG75" i="3"/>
  <c r="BH74" i="3"/>
  <c r="BJ74" i="3" s="1"/>
  <c r="BH75" i="3"/>
  <c r="BJ75" i="3" s="1"/>
  <c r="BL74" i="3"/>
  <c r="BL75" i="3"/>
  <c r="BM74" i="3"/>
  <c r="BO74" i="3" s="1"/>
  <c r="BM75" i="3"/>
  <c r="BO75" i="3" s="1"/>
  <c r="BQ74" i="3"/>
  <c r="BQ75" i="3"/>
  <c r="BR74" i="3"/>
  <c r="BT74" i="3" s="1"/>
  <c r="BR75" i="3"/>
  <c r="BT75" i="3" s="1"/>
  <c r="BV74" i="3"/>
  <c r="BV75" i="3"/>
  <c r="BW74" i="3"/>
  <c r="BY74" i="3" s="1"/>
  <c r="BW75" i="3"/>
  <c r="BY75" i="3" s="1"/>
  <c r="CA74" i="3"/>
  <c r="CA75" i="3"/>
  <c r="CB74" i="3"/>
  <c r="CD74" i="3" s="1"/>
  <c r="CB75" i="3"/>
  <c r="CD75" i="3" s="1"/>
  <c r="CF74" i="3"/>
  <c r="CF75" i="3"/>
  <c r="CG74" i="3"/>
  <c r="CI74" i="3" s="1"/>
  <c r="CG75" i="3"/>
  <c r="CI75" i="3" s="1"/>
  <c r="CK74" i="3"/>
  <c r="CK75" i="3"/>
  <c r="CL74" i="3"/>
  <c r="CN74" i="3" s="1"/>
  <c r="CL75" i="3"/>
  <c r="CN75" i="3" s="1"/>
  <c r="CP74" i="3"/>
  <c r="CP75" i="3"/>
  <c r="CV74" i="3"/>
  <c r="CV75" i="3"/>
  <c r="CW74" i="3"/>
  <c r="CY74" i="3" s="1"/>
  <c r="CW75" i="3"/>
  <c r="CY75" i="3" s="1"/>
  <c r="DC74" i="3"/>
  <c r="DC75" i="3"/>
  <c r="DD74" i="3"/>
  <c r="DF74" i="3" s="1"/>
  <c r="DD75" i="3"/>
  <c r="DF75" i="3" s="1"/>
  <c r="DK74" i="3"/>
  <c r="DM74" i="3" s="1"/>
  <c r="DK75" i="3"/>
  <c r="DM75" i="3" s="1"/>
  <c r="DO74" i="3"/>
  <c r="DO75" i="3"/>
  <c r="DP74" i="3"/>
  <c r="DR74" i="3" s="1"/>
  <c r="DP75" i="3"/>
  <c r="DR75" i="3" s="1"/>
  <c r="DV74" i="3"/>
  <c r="DV75" i="3"/>
  <c r="DW74" i="3"/>
  <c r="DY74" i="3" s="1"/>
  <c r="DW75" i="3"/>
  <c r="DY75" i="3" s="1"/>
  <c r="EC74" i="3"/>
  <c r="EC75" i="3"/>
  <c r="ED74" i="3"/>
  <c r="EF74" i="3" s="1"/>
  <c r="ED75" i="3"/>
  <c r="EF75" i="3" s="1"/>
  <c r="EJ74" i="3"/>
  <c r="EJ75" i="3"/>
  <c r="EK74" i="3"/>
  <c r="EM74" i="3" s="1"/>
  <c r="EK75" i="3"/>
  <c r="EM75" i="3" s="1"/>
  <c r="EQ74" i="3"/>
  <c r="EQ75" i="3"/>
  <c r="ER74" i="3"/>
  <c r="ET74" i="3" s="1"/>
  <c r="ER75" i="3"/>
  <c r="ET75" i="3" s="1"/>
  <c r="S25" i="3"/>
  <c r="O25" i="3" s="1"/>
  <c r="R26" i="3"/>
  <c r="S27" i="3"/>
  <c r="O27" i="3" s="1"/>
  <c r="S28" i="3"/>
  <c r="O28" i="3" s="1"/>
  <c r="S29" i="3"/>
  <c r="O29" i="3" s="1"/>
  <c r="S30" i="3"/>
  <c r="O30" i="3" s="1"/>
  <c r="R31" i="3"/>
  <c r="S32" i="3"/>
  <c r="O32" i="3" s="1"/>
  <c r="S33" i="3"/>
  <c r="O33" i="3" s="1"/>
  <c r="R34" i="3"/>
  <c r="S35" i="3"/>
  <c r="O35" i="3" s="1"/>
  <c r="S36" i="3"/>
  <c r="O36" i="3" s="1"/>
  <c r="S37" i="3"/>
  <c r="O37" i="3" s="1"/>
  <c r="R38" i="3"/>
  <c r="Q25" i="3"/>
  <c r="AB25" i="3" s="1"/>
  <c r="Q26" i="3"/>
  <c r="AB26" i="3" s="1"/>
  <c r="Q27" i="3"/>
  <c r="AB27" i="3" s="1"/>
  <c r="Q28" i="3"/>
  <c r="AB28" i="3" s="1"/>
  <c r="Q29" i="3"/>
  <c r="AB29" i="3" s="1"/>
  <c r="Q30" i="3"/>
  <c r="AB30" i="3" s="1"/>
  <c r="Q31" i="3"/>
  <c r="AB31" i="3" s="1"/>
  <c r="Q32" i="3"/>
  <c r="AB32" i="3" s="1"/>
  <c r="Q33" i="3"/>
  <c r="AB33" i="3" s="1"/>
  <c r="Q34" i="3"/>
  <c r="AB34" i="3" s="1"/>
  <c r="Q35" i="3"/>
  <c r="AB35" i="3" s="1"/>
  <c r="Q36" i="3"/>
  <c r="AB36" i="3" s="1"/>
  <c r="Q37" i="3"/>
  <c r="AB37" i="3" s="1"/>
  <c r="Q38" i="3"/>
  <c r="AB38" i="3" s="1"/>
  <c r="AI25" i="3"/>
  <c r="AK25" i="3" s="1"/>
  <c r="AI26" i="3"/>
  <c r="AK26" i="3" s="1"/>
  <c r="AI27" i="3"/>
  <c r="AK27" i="3" s="1"/>
  <c r="AI28" i="3"/>
  <c r="AK28" i="3" s="1"/>
  <c r="AI29" i="3"/>
  <c r="AK29" i="3" s="1"/>
  <c r="AI30" i="3"/>
  <c r="AK30" i="3" s="1"/>
  <c r="AI31" i="3"/>
  <c r="AK31" i="3" s="1"/>
  <c r="AI32" i="3"/>
  <c r="AK32" i="3" s="1"/>
  <c r="AI33" i="3"/>
  <c r="AK33" i="3" s="1"/>
  <c r="AI34" i="3"/>
  <c r="AK34" i="3" s="1"/>
  <c r="AI35" i="3"/>
  <c r="AK35" i="3" s="1"/>
  <c r="AI36" i="3"/>
  <c r="AK36" i="3" s="1"/>
  <c r="AI37" i="3"/>
  <c r="AK37" i="3" s="1"/>
  <c r="AI38" i="3"/>
  <c r="AK38" i="3" s="1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O25" i="3"/>
  <c r="AQ25" i="3" s="1"/>
  <c r="AO26" i="3"/>
  <c r="AQ26" i="3" s="1"/>
  <c r="AO27" i="3"/>
  <c r="AQ27" i="3" s="1"/>
  <c r="AO28" i="3"/>
  <c r="AQ28" i="3" s="1"/>
  <c r="AO29" i="3"/>
  <c r="AQ29" i="3" s="1"/>
  <c r="AO30" i="3"/>
  <c r="AQ30" i="3" s="1"/>
  <c r="AO31" i="3"/>
  <c r="AQ31" i="3" s="1"/>
  <c r="AO32" i="3"/>
  <c r="AQ32" i="3" s="1"/>
  <c r="AO33" i="3"/>
  <c r="AQ33" i="3" s="1"/>
  <c r="AO34" i="3"/>
  <c r="AQ34" i="3" s="1"/>
  <c r="AO35" i="3"/>
  <c r="AQ35" i="3" s="1"/>
  <c r="AO36" i="3"/>
  <c r="AQ36" i="3" s="1"/>
  <c r="AO37" i="3"/>
  <c r="AQ37" i="3" s="1"/>
  <c r="AO38" i="3"/>
  <c r="AQ38" i="3" s="1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V25" i="3"/>
  <c r="AX25" i="3" s="1"/>
  <c r="AV26" i="3"/>
  <c r="AX26" i="3" s="1"/>
  <c r="AV27" i="3"/>
  <c r="AX27" i="3" s="1"/>
  <c r="AV28" i="3"/>
  <c r="AX28" i="3" s="1"/>
  <c r="AV29" i="3"/>
  <c r="AX29" i="3" s="1"/>
  <c r="AV30" i="3"/>
  <c r="AX30" i="3" s="1"/>
  <c r="AV31" i="3"/>
  <c r="AX31" i="3" s="1"/>
  <c r="AV32" i="3"/>
  <c r="AX32" i="3" s="1"/>
  <c r="AV33" i="3"/>
  <c r="AX33" i="3" s="1"/>
  <c r="AV34" i="3"/>
  <c r="AX34" i="3" s="1"/>
  <c r="AV35" i="3"/>
  <c r="AX35" i="3" s="1"/>
  <c r="AV36" i="3"/>
  <c r="AX36" i="3" s="1"/>
  <c r="AV37" i="3"/>
  <c r="AX37" i="3" s="1"/>
  <c r="AV38" i="3"/>
  <c r="AX38" i="3" s="1"/>
  <c r="BB25" i="3"/>
  <c r="BB26" i="3"/>
  <c r="BB27" i="3"/>
  <c r="BB28" i="3"/>
  <c r="BB29" i="3"/>
  <c r="BB30" i="3"/>
  <c r="BB31" i="3"/>
  <c r="BB33" i="3"/>
  <c r="BB34" i="3"/>
  <c r="BB35" i="3"/>
  <c r="BB36" i="3"/>
  <c r="BB37" i="3"/>
  <c r="BC25" i="3"/>
  <c r="BE25" i="3" s="1"/>
  <c r="BC26" i="3"/>
  <c r="BE26" i="3" s="1"/>
  <c r="BC27" i="3"/>
  <c r="BE27" i="3" s="1"/>
  <c r="BC28" i="3"/>
  <c r="BE28" i="3" s="1"/>
  <c r="BC29" i="3"/>
  <c r="BE29" i="3" s="1"/>
  <c r="BC30" i="3"/>
  <c r="BE30" i="3" s="1"/>
  <c r="BC31" i="3"/>
  <c r="BE31" i="3" s="1"/>
  <c r="BC33" i="3"/>
  <c r="BE33" i="3" s="1"/>
  <c r="BC34" i="3"/>
  <c r="BE34" i="3" s="1"/>
  <c r="BC35" i="3"/>
  <c r="BE35" i="3" s="1"/>
  <c r="BC36" i="3"/>
  <c r="BC37" i="3"/>
  <c r="BE37" i="3" s="1"/>
  <c r="BG25" i="3"/>
  <c r="BG26" i="3"/>
  <c r="BG27" i="3"/>
  <c r="BG28" i="3"/>
  <c r="BG29" i="3"/>
  <c r="BG30" i="3"/>
  <c r="BG31" i="3"/>
  <c r="BG33" i="3"/>
  <c r="BG34" i="3"/>
  <c r="BG35" i="3"/>
  <c r="BG36" i="3"/>
  <c r="BG37" i="3"/>
  <c r="BH25" i="3"/>
  <c r="BJ25" i="3" s="1"/>
  <c r="BH26" i="3"/>
  <c r="BJ26" i="3" s="1"/>
  <c r="BH27" i="3"/>
  <c r="BJ27" i="3" s="1"/>
  <c r="BH28" i="3"/>
  <c r="BJ28" i="3" s="1"/>
  <c r="BH29" i="3"/>
  <c r="BJ29" i="3" s="1"/>
  <c r="BH30" i="3"/>
  <c r="BH31" i="3"/>
  <c r="BJ31" i="3" s="1"/>
  <c r="BJ32" i="3"/>
  <c r="BH33" i="3"/>
  <c r="BJ33" i="3" s="1"/>
  <c r="BH34" i="3"/>
  <c r="BJ34" i="3" s="1"/>
  <c r="BH35" i="3"/>
  <c r="BJ35" i="3" s="1"/>
  <c r="BH36" i="3"/>
  <c r="BJ36" i="3" s="1"/>
  <c r="BH37" i="3"/>
  <c r="BJ37" i="3" s="1"/>
  <c r="BJ38" i="3"/>
  <c r="BL25" i="3"/>
  <c r="BL26" i="3"/>
  <c r="BL27" i="3"/>
  <c r="BL28" i="3"/>
  <c r="BL29" i="3"/>
  <c r="BL30" i="3"/>
  <c r="BL31" i="3"/>
  <c r="BL33" i="3"/>
  <c r="BL34" i="3"/>
  <c r="BL35" i="3"/>
  <c r="BL36" i="3"/>
  <c r="BL37" i="3"/>
  <c r="BL38" i="3"/>
  <c r="BM25" i="3"/>
  <c r="BO25" i="3" s="1"/>
  <c r="BM26" i="3"/>
  <c r="BO26" i="3" s="1"/>
  <c r="BM27" i="3"/>
  <c r="BO27" i="3" s="1"/>
  <c r="BM28" i="3"/>
  <c r="BO28" i="3" s="1"/>
  <c r="BM29" i="3"/>
  <c r="BO29" i="3" s="1"/>
  <c r="BM30" i="3"/>
  <c r="BO30" i="3" s="1"/>
  <c r="BM31" i="3"/>
  <c r="BO31" i="3" s="1"/>
  <c r="BM33" i="3"/>
  <c r="BO33" i="3" s="1"/>
  <c r="BM34" i="3"/>
  <c r="BO34" i="3" s="1"/>
  <c r="BM35" i="3"/>
  <c r="BO35" i="3" s="1"/>
  <c r="BM36" i="3"/>
  <c r="BO36" i="3" s="1"/>
  <c r="BM37" i="3"/>
  <c r="BO37" i="3" s="1"/>
  <c r="BM38" i="3"/>
  <c r="BO38" i="3" s="1"/>
  <c r="BQ25" i="3"/>
  <c r="BQ26" i="3"/>
  <c r="BQ27" i="3"/>
  <c r="BQ28" i="3"/>
  <c r="BQ29" i="3"/>
  <c r="BQ30" i="3"/>
  <c r="BQ31" i="3"/>
  <c r="BQ33" i="3"/>
  <c r="BQ34" i="3"/>
  <c r="BQ35" i="3"/>
  <c r="BQ36" i="3"/>
  <c r="BQ37" i="3"/>
  <c r="BQ38" i="3"/>
  <c r="BR25" i="3"/>
  <c r="BT25" i="3" s="1"/>
  <c r="BR26" i="3"/>
  <c r="BT26" i="3" s="1"/>
  <c r="BR27" i="3"/>
  <c r="BT27" i="3" s="1"/>
  <c r="BR28" i="3"/>
  <c r="BT28" i="3" s="1"/>
  <c r="BR29" i="3"/>
  <c r="BT29" i="3" s="1"/>
  <c r="BR30" i="3"/>
  <c r="BT30" i="3" s="1"/>
  <c r="BR31" i="3"/>
  <c r="BT31" i="3" s="1"/>
  <c r="BR33" i="3"/>
  <c r="BT33" i="3" s="1"/>
  <c r="BR34" i="3"/>
  <c r="BT34" i="3" s="1"/>
  <c r="BR35" i="3"/>
  <c r="BT35" i="3" s="1"/>
  <c r="BR36" i="3"/>
  <c r="BT36" i="3" s="1"/>
  <c r="BR37" i="3"/>
  <c r="BT37" i="3" s="1"/>
  <c r="BR38" i="3"/>
  <c r="BT38" i="3" s="1"/>
  <c r="BV25" i="3"/>
  <c r="BV26" i="3"/>
  <c r="BV27" i="3"/>
  <c r="BV28" i="3"/>
  <c r="BV29" i="3"/>
  <c r="BV30" i="3"/>
  <c r="BV31" i="3"/>
  <c r="BV33" i="3"/>
  <c r="BV34" i="3"/>
  <c r="BV35" i="3"/>
  <c r="BV36" i="3"/>
  <c r="BV37" i="3"/>
  <c r="BV38" i="3"/>
  <c r="BW25" i="3"/>
  <c r="BY25" i="3" s="1"/>
  <c r="BW26" i="3"/>
  <c r="BY26" i="3" s="1"/>
  <c r="BW27" i="3"/>
  <c r="BY27" i="3" s="1"/>
  <c r="BW28" i="3"/>
  <c r="BY28" i="3" s="1"/>
  <c r="BW29" i="3"/>
  <c r="BY29" i="3" s="1"/>
  <c r="BW30" i="3"/>
  <c r="BW31" i="3"/>
  <c r="BY31" i="3" s="1"/>
  <c r="BW33" i="3"/>
  <c r="BY33" i="3" s="1"/>
  <c r="BW34" i="3"/>
  <c r="BY34" i="3" s="1"/>
  <c r="BW35" i="3"/>
  <c r="BY35" i="3" s="1"/>
  <c r="BW36" i="3"/>
  <c r="BY36" i="3" s="1"/>
  <c r="BW37" i="3"/>
  <c r="BY37" i="3" s="1"/>
  <c r="BW38" i="3"/>
  <c r="BY38" i="3" s="1"/>
  <c r="CA25" i="3"/>
  <c r="CA26" i="3"/>
  <c r="CA27" i="3"/>
  <c r="CA28" i="3"/>
  <c r="CA29" i="3"/>
  <c r="CA30" i="3"/>
  <c r="CA31" i="3"/>
  <c r="CA32" i="3"/>
  <c r="CA33" i="3"/>
  <c r="CA34" i="3"/>
  <c r="CA35" i="3"/>
  <c r="CA36" i="3"/>
  <c r="CA37" i="3"/>
  <c r="CA38" i="3"/>
  <c r="CB25" i="3"/>
  <c r="CD25" i="3" s="1"/>
  <c r="CB26" i="3"/>
  <c r="CD26" i="3" s="1"/>
  <c r="CB27" i="3"/>
  <c r="CD27" i="3" s="1"/>
  <c r="CB28" i="3"/>
  <c r="CD28" i="3" s="1"/>
  <c r="CB29" i="3"/>
  <c r="CB30" i="3"/>
  <c r="CD30" i="3" s="1"/>
  <c r="CB31" i="3"/>
  <c r="CD31" i="3" s="1"/>
  <c r="CB32" i="3"/>
  <c r="CD32" i="3" s="1"/>
  <c r="CB33" i="3"/>
  <c r="CD33" i="3" s="1"/>
  <c r="CB34" i="3"/>
  <c r="CD34" i="3" s="1"/>
  <c r="CB35" i="3"/>
  <c r="CD35" i="3" s="1"/>
  <c r="CB36" i="3"/>
  <c r="CD36" i="3" s="1"/>
  <c r="CB37" i="3"/>
  <c r="CD37" i="3" s="1"/>
  <c r="CB38" i="3"/>
  <c r="CD38" i="3" s="1"/>
  <c r="CF25" i="3"/>
  <c r="CF26" i="3"/>
  <c r="CF27" i="3"/>
  <c r="CF28" i="3"/>
  <c r="CF29" i="3"/>
  <c r="CF30" i="3"/>
  <c r="CF31" i="3"/>
  <c r="CF32" i="3"/>
  <c r="CF33" i="3"/>
  <c r="CF34" i="3"/>
  <c r="CF35" i="3"/>
  <c r="CF36" i="3"/>
  <c r="CF37" i="3"/>
  <c r="CF38" i="3"/>
  <c r="CG25" i="3"/>
  <c r="CI25" i="3" s="1"/>
  <c r="CG26" i="3"/>
  <c r="CI26" i="3" s="1"/>
  <c r="CG27" i="3"/>
  <c r="CI27" i="3" s="1"/>
  <c r="CG28" i="3"/>
  <c r="CI28" i="3" s="1"/>
  <c r="CG29" i="3"/>
  <c r="CI29" i="3" s="1"/>
  <c r="CG30" i="3"/>
  <c r="CI30" i="3" s="1"/>
  <c r="CG31" i="3"/>
  <c r="CI31" i="3" s="1"/>
  <c r="CG32" i="3"/>
  <c r="CI32" i="3" s="1"/>
  <c r="CG33" i="3"/>
  <c r="CI33" i="3" s="1"/>
  <c r="CG34" i="3"/>
  <c r="CI34" i="3" s="1"/>
  <c r="CG35" i="3"/>
  <c r="CI35" i="3" s="1"/>
  <c r="CG36" i="3"/>
  <c r="CI36" i="3" s="1"/>
  <c r="CG37" i="3"/>
  <c r="CI37" i="3" s="1"/>
  <c r="CG38" i="3"/>
  <c r="CI38" i="3" s="1"/>
  <c r="CK25" i="3"/>
  <c r="CK26" i="3"/>
  <c r="CK27" i="3"/>
  <c r="CK28" i="3"/>
  <c r="CK29" i="3"/>
  <c r="CK30" i="3"/>
  <c r="CK31" i="3"/>
  <c r="CK32" i="3"/>
  <c r="CK33" i="3"/>
  <c r="CK34" i="3"/>
  <c r="CK35" i="3"/>
  <c r="CK36" i="3"/>
  <c r="CK37" i="3"/>
  <c r="CK38" i="3"/>
  <c r="CL25" i="3"/>
  <c r="CN25" i="3" s="1"/>
  <c r="CL26" i="3"/>
  <c r="CN26" i="3" s="1"/>
  <c r="CL27" i="3"/>
  <c r="CN27" i="3" s="1"/>
  <c r="CL28" i="3"/>
  <c r="CN28" i="3" s="1"/>
  <c r="CL29" i="3"/>
  <c r="CN29" i="3" s="1"/>
  <c r="CL30" i="3"/>
  <c r="CN30" i="3" s="1"/>
  <c r="CL31" i="3"/>
  <c r="CN31" i="3" s="1"/>
  <c r="CL32" i="3"/>
  <c r="CN32" i="3" s="1"/>
  <c r="CL33" i="3"/>
  <c r="CN33" i="3" s="1"/>
  <c r="CL34" i="3"/>
  <c r="CN34" i="3" s="1"/>
  <c r="CL35" i="3"/>
  <c r="CN35" i="3" s="1"/>
  <c r="CL36" i="3"/>
  <c r="CN36" i="3" s="1"/>
  <c r="CL37" i="3"/>
  <c r="CN37" i="3" s="1"/>
  <c r="CL38" i="3"/>
  <c r="CN38" i="3" s="1"/>
  <c r="CP25" i="3"/>
  <c r="CR25" i="3" s="1"/>
  <c r="CP26" i="3"/>
  <c r="CR26" i="3" s="1"/>
  <c r="CP27" i="3"/>
  <c r="CR27" i="3" s="1"/>
  <c r="CP28" i="3"/>
  <c r="CR28" i="3" s="1"/>
  <c r="CP29" i="3"/>
  <c r="CR29" i="3" s="1"/>
  <c r="CP30" i="3"/>
  <c r="CR30" i="3" s="1"/>
  <c r="CP31" i="3"/>
  <c r="CR31" i="3" s="1"/>
  <c r="CP32" i="3"/>
  <c r="CR32" i="3" s="1"/>
  <c r="CP33" i="3"/>
  <c r="CR33" i="3" s="1"/>
  <c r="CP34" i="3"/>
  <c r="CR34" i="3" s="1"/>
  <c r="CP35" i="3"/>
  <c r="CR35" i="3" s="1"/>
  <c r="CP36" i="3"/>
  <c r="CR36" i="3" s="1"/>
  <c r="CP37" i="3"/>
  <c r="CR37" i="3" s="1"/>
  <c r="CP38" i="3"/>
  <c r="CR38" i="3" s="1"/>
  <c r="CV25" i="3"/>
  <c r="CV26" i="3"/>
  <c r="CV27" i="3"/>
  <c r="CV28" i="3"/>
  <c r="CV29" i="3"/>
  <c r="CV30" i="3"/>
  <c r="CV31" i="3"/>
  <c r="CV32" i="3"/>
  <c r="CV33" i="3"/>
  <c r="CV34" i="3"/>
  <c r="CV35" i="3"/>
  <c r="CV36" i="3"/>
  <c r="CV37" i="3"/>
  <c r="CV38" i="3"/>
  <c r="CW25" i="3"/>
  <c r="CY25" i="3" s="1"/>
  <c r="CW26" i="3"/>
  <c r="CY26" i="3" s="1"/>
  <c r="CW27" i="3"/>
  <c r="CY27" i="3" s="1"/>
  <c r="CW28" i="3"/>
  <c r="CY28" i="3" s="1"/>
  <c r="CW29" i="3"/>
  <c r="CW30" i="3"/>
  <c r="CY30" i="3" s="1"/>
  <c r="CW31" i="3"/>
  <c r="CY31" i="3" s="1"/>
  <c r="CW32" i="3"/>
  <c r="CY32" i="3" s="1"/>
  <c r="CW33" i="3"/>
  <c r="CY33" i="3" s="1"/>
  <c r="CW34" i="3"/>
  <c r="CY34" i="3" s="1"/>
  <c r="CW35" i="3"/>
  <c r="CY35" i="3" s="1"/>
  <c r="CW36" i="3"/>
  <c r="CY36" i="3" s="1"/>
  <c r="CW37" i="3"/>
  <c r="CY37" i="3" s="1"/>
  <c r="CW38" i="3"/>
  <c r="CY38" i="3" s="1"/>
  <c r="DC25" i="3"/>
  <c r="DC26" i="3"/>
  <c r="DC27" i="3"/>
  <c r="DC28" i="3"/>
  <c r="DC29" i="3"/>
  <c r="DC30" i="3"/>
  <c r="DC31" i="3"/>
  <c r="DC32" i="3"/>
  <c r="DC33" i="3"/>
  <c r="DC34" i="3"/>
  <c r="DC35" i="3"/>
  <c r="DC36" i="3"/>
  <c r="DC37" i="3"/>
  <c r="DC38" i="3"/>
  <c r="DD25" i="3"/>
  <c r="DF25" i="3" s="1"/>
  <c r="DD26" i="3"/>
  <c r="DF26" i="3" s="1"/>
  <c r="DD27" i="3"/>
  <c r="DF27" i="3" s="1"/>
  <c r="DD28" i="3"/>
  <c r="DF28" i="3" s="1"/>
  <c r="DD29" i="3"/>
  <c r="DD30" i="3"/>
  <c r="DF30" i="3" s="1"/>
  <c r="DD31" i="3"/>
  <c r="DF31" i="3" s="1"/>
  <c r="DD32" i="3"/>
  <c r="DF32" i="3" s="1"/>
  <c r="DD33" i="3"/>
  <c r="DF33" i="3" s="1"/>
  <c r="DD34" i="3"/>
  <c r="DF34" i="3" s="1"/>
  <c r="DD35" i="3"/>
  <c r="DF35" i="3" s="1"/>
  <c r="DD36" i="3"/>
  <c r="DF36" i="3" s="1"/>
  <c r="DD37" i="3"/>
  <c r="DF37" i="3" s="1"/>
  <c r="DD38" i="3"/>
  <c r="DF38" i="3" s="1"/>
  <c r="DJ25" i="3"/>
  <c r="DJ26" i="3"/>
  <c r="DJ27" i="3"/>
  <c r="DJ28" i="3"/>
  <c r="DJ29" i="3"/>
  <c r="DJ30" i="3"/>
  <c r="DJ31" i="3"/>
  <c r="DJ32" i="3"/>
  <c r="DJ33" i="3"/>
  <c r="DJ34" i="3"/>
  <c r="DJ35" i="3"/>
  <c r="DJ36" i="3"/>
  <c r="DJ37" i="3"/>
  <c r="DJ38" i="3"/>
  <c r="DK25" i="3"/>
  <c r="DM25" i="3" s="1"/>
  <c r="DK26" i="3"/>
  <c r="DM26" i="3" s="1"/>
  <c r="DK27" i="3"/>
  <c r="DM27" i="3" s="1"/>
  <c r="DK28" i="3"/>
  <c r="DM28" i="3" s="1"/>
  <c r="DK29" i="3"/>
  <c r="DM29" i="3" s="1"/>
  <c r="DK30" i="3"/>
  <c r="DK31" i="3"/>
  <c r="DM31" i="3" s="1"/>
  <c r="DK32" i="3"/>
  <c r="DM32" i="3" s="1"/>
  <c r="DK33" i="3"/>
  <c r="DM33" i="3" s="1"/>
  <c r="DK34" i="3"/>
  <c r="DM34" i="3" s="1"/>
  <c r="DK35" i="3"/>
  <c r="DM35" i="3" s="1"/>
  <c r="DK36" i="3"/>
  <c r="DM36" i="3" s="1"/>
  <c r="DK37" i="3"/>
  <c r="DM37" i="3" s="1"/>
  <c r="DK38" i="3"/>
  <c r="DM38" i="3" s="1"/>
  <c r="DO25" i="3"/>
  <c r="DO26" i="3"/>
  <c r="DO27" i="3"/>
  <c r="DO28" i="3"/>
  <c r="DO29" i="3"/>
  <c r="DO30" i="3"/>
  <c r="DO31" i="3"/>
  <c r="DO32" i="3"/>
  <c r="DO33" i="3"/>
  <c r="DO34" i="3"/>
  <c r="DO35" i="3"/>
  <c r="DO36" i="3"/>
  <c r="DO37" i="3"/>
  <c r="DO38" i="3"/>
  <c r="DP25" i="3"/>
  <c r="DR25" i="3" s="1"/>
  <c r="DP26" i="3"/>
  <c r="DR26" i="3" s="1"/>
  <c r="DP27" i="3"/>
  <c r="DR27" i="3" s="1"/>
  <c r="DP28" i="3"/>
  <c r="DR28" i="3" s="1"/>
  <c r="DP29" i="3"/>
  <c r="DR29" i="3" s="1"/>
  <c r="DP30" i="3"/>
  <c r="DP31" i="3"/>
  <c r="DR31" i="3" s="1"/>
  <c r="DP32" i="3"/>
  <c r="DR32" i="3" s="1"/>
  <c r="DP33" i="3"/>
  <c r="DR33" i="3" s="1"/>
  <c r="DP34" i="3"/>
  <c r="DR34" i="3" s="1"/>
  <c r="DP35" i="3"/>
  <c r="DR35" i="3" s="1"/>
  <c r="DP36" i="3"/>
  <c r="DR36" i="3" s="1"/>
  <c r="DP37" i="3"/>
  <c r="DR37" i="3" s="1"/>
  <c r="DP38" i="3"/>
  <c r="DR38" i="3" s="1"/>
  <c r="DV25" i="3"/>
  <c r="DV26" i="3"/>
  <c r="DV27" i="3"/>
  <c r="DV28" i="3"/>
  <c r="DV29" i="3"/>
  <c r="DV30" i="3"/>
  <c r="DV31" i="3"/>
  <c r="DV32" i="3"/>
  <c r="DV33" i="3"/>
  <c r="DV34" i="3"/>
  <c r="DV35" i="3"/>
  <c r="DV36" i="3"/>
  <c r="DV37" i="3"/>
  <c r="DV38" i="3"/>
  <c r="DW25" i="3"/>
  <c r="DY25" i="3" s="1"/>
  <c r="DW26" i="3"/>
  <c r="DY26" i="3" s="1"/>
  <c r="DW27" i="3"/>
  <c r="DY27" i="3" s="1"/>
  <c r="DW28" i="3"/>
  <c r="DY28" i="3" s="1"/>
  <c r="DW29" i="3"/>
  <c r="DY29" i="3" s="1"/>
  <c r="DW30" i="3"/>
  <c r="DY30" i="3" s="1"/>
  <c r="DW31" i="3"/>
  <c r="DY31" i="3" s="1"/>
  <c r="DW32" i="3"/>
  <c r="DY32" i="3" s="1"/>
  <c r="DW33" i="3"/>
  <c r="DY33" i="3" s="1"/>
  <c r="DW34" i="3"/>
  <c r="DY34" i="3" s="1"/>
  <c r="DW35" i="3"/>
  <c r="DY35" i="3" s="1"/>
  <c r="DW36" i="3"/>
  <c r="DY36" i="3" s="1"/>
  <c r="DW37" i="3"/>
  <c r="DY37" i="3" s="1"/>
  <c r="DW38" i="3"/>
  <c r="DY38" i="3" s="1"/>
  <c r="EC25" i="3"/>
  <c r="EC26" i="3"/>
  <c r="EC27" i="3"/>
  <c r="EC28" i="3"/>
  <c r="EC29" i="3"/>
  <c r="EC30" i="3"/>
  <c r="EC31" i="3"/>
  <c r="EC32" i="3"/>
  <c r="EC33" i="3"/>
  <c r="EC34" i="3"/>
  <c r="EC35" i="3"/>
  <c r="EC36" i="3"/>
  <c r="EC37" i="3"/>
  <c r="EC38" i="3"/>
  <c r="ED25" i="3"/>
  <c r="EF25" i="3" s="1"/>
  <c r="ED26" i="3"/>
  <c r="EF26" i="3" s="1"/>
  <c r="ED27" i="3"/>
  <c r="EF27" i="3" s="1"/>
  <c r="ED28" i="3"/>
  <c r="EF28" i="3" s="1"/>
  <c r="ED29" i="3"/>
  <c r="EF29" i="3" s="1"/>
  <c r="ED30" i="3"/>
  <c r="EF30" i="3" s="1"/>
  <c r="ED31" i="3"/>
  <c r="EF31" i="3" s="1"/>
  <c r="ED32" i="3"/>
  <c r="EF32" i="3" s="1"/>
  <c r="ED33" i="3"/>
  <c r="EF33" i="3" s="1"/>
  <c r="ED34" i="3"/>
  <c r="EF34" i="3" s="1"/>
  <c r="ED35" i="3"/>
  <c r="EF35" i="3" s="1"/>
  <c r="ED36" i="3"/>
  <c r="EF36" i="3" s="1"/>
  <c r="ED37" i="3"/>
  <c r="EF37" i="3" s="1"/>
  <c r="ED38" i="3"/>
  <c r="EF38" i="3" s="1"/>
  <c r="EJ25" i="3"/>
  <c r="EJ26" i="3"/>
  <c r="EJ27" i="3"/>
  <c r="EJ28" i="3"/>
  <c r="EJ29" i="3"/>
  <c r="EJ30" i="3"/>
  <c r="EJ31" i="3"/>
  <c r="EJ32" i="3"/>
  <c r="EJ33" i="3"/>
  <c r="EJ34" i="3"/>
  <c r="EJ35" i="3"/>
  <c r="EJ36" i="3"/>
  <c r="EJ37" i="3"/>
  <c r="EJ38" i="3"/>
  <c r="EK25" i="3"/>
  <c r="EM25" i="3" s="1"/>
  <c r="EK26" i="3"/>
  <c r="EM26" i="3" s="1"/>
  <c r="EK27" i="3"/>
  <c r="EM27" i="3" s="1"/>
  <c r="EK28" i="3"/>
  <c r="EM28" i="3" s="1"/>
  <c r="EK29" i="3"/>
  <c r="EM29" i="3" s="1"/>
  <c r="EK30" i="3"/>
  <c r="EM30" i="3" s="1"/>
  <c r="EK31" i="3"/>
  <c r="EM31" i="3" s="1"/>
  <c r="EK32" i="3"/>
  <c r="EM32" i="3" s="1"/>
  <c r="EK33" i="3"/>
  <c r="EM33" i="3" s="1"/>
  <c r="EK34" i="3"/>
  <c r="EM34" i="3" s="1"/>
  <c r="EK35" i="3"/>
  <c r="EM35" i="3" s="1"/>
  <c r="EK36" i="3"/>
  <c r="EM36" i="3" s="1"/>
  <c r="EK37" i="3"/>
  <c r="EM37" i="3" s="1"/>
  <c r="EK38" i="3"/>
  <c r="EM38" i="3" s="1"/>
  <c r="EQ25" i="3"/>
  <c r="EQ26" i="3"/>
  <c r="EQ27" i="3"/>
  <c r="EQ28" i="3"/>
  <c r="EQ29" i="3"/>
  <c r="EQ30" i="3"/>
  <c r="EQ31" i="3"/>
  <c r="EQ32" i="3"/>
  <c r="EQ33" i="3"/>
  <c r="EQ34" i="3"/>
  <c r="EQ35" i="3"/>
  <c r="EQ36" i="3"/>
  <c r="EQ37" i="3"/>
  <c r="EQ38" i="3"/>
  <c r="ER25" i="3"/>
  <c r="ET25" i="3" s="1"/>
  <c r="ER26" i="3"/>
  <c r="ET26" i="3" s="1"/>
  <c r="ER27" i="3"/>
  <c r="ET27" i="3" s="1"/>
  <c r="ER28" i="3"/>
  <c r="ER29" i="3"/>
  <c r="ET29" i="3" s="1"/>
  <c r="ER30" i="3"/>
  <c r="ET30" i="3" s="1"/>
  <c r="ER31" i="3"/>
  <c r="ET31" i="3" s="1"/>
  <c r="ER32" i="3"/>
  <c r="ET32" i="3" s="1"/>
  <c r="ER33" i="3"/>
  <c r="ET33" i="3" s="1"/>
  <c r="ER34" i="3"/>
  <c r="ET34" i="3" s="1"/>
  <c r="ER35" i="3"/>
  <c r="ET35" i="3" s="1"/>
  <c r="ER36" i="3"/>
  <c r="ER37" i="3"/>
  <c r="ET37" i="3" s="1"/>
  <c r="ER38" i="3"/>
  <c r="ET38" i="3" s="1"/>
  <c r="R50" i="3"/>
  <c r="R51" i="3"/>
  <c r="S52" i="3"/>
  <c r="O52" i="3" s="1"/>
  <c r="S53" i="3"/>
  <c r="O53" i="3" s="1"/>
  <c r="R54" i="3"/>
  <c r="R55" i="3"/>
  <c r="R56" i="3"/>
  <c r="R57" i="3"/>
  <c r="R58" i="3"/>
  <c r="R59" i="3"/>
  <c r="R60" i="3"/>
  <c r="S61" i="3"/>
  <c r="O61" i="3" s="1"/>
  <c r="R62" i="3"/>
  <c r="S63" i="3"/>
  <c r="O63" i="3" s="1"/>
  <c r="S64" i="3"/>
  <c r="O64" i="3" s="1"/>
  <c r="R65" i="3"/>
  <c r="S66" i="3"/>
  <c r="O66" i="3" s="1"/>
  <c r="S67" i="3"/>
  <c r="O67" i="3" s="1"/>
  <c r="R68" i="3"/>
  <c r="S69" i="3"/>
  <c r="O69" i="3" s="1"/>
  <c r="S70" i="3"/>
  <c r="O70" i="3" s="1"/>
  <c r="R71" i="3"/>
  <c r="R72" i="3"/>
  <c r="S73" i="3"/>
  <c r="O73" i="3" s="1"/>
  <c r="Q50" i="3"/>
  <c r="AB50" i="3" s="1"/>
  <c r="Q51" i="3"/>
  <c r="AB51" i="3" s="1"/>
  <c r="Q52" i="3"/>
  <c r="AB52" i="3" s="1"/>
  <c r="Q53" i="3"/>
  <c r="AB53" i="3" s="1"/>
  <c r="Q54" i="3"/>
  <c r="AB54" i="3" s="1"/>
  <c r="Q55" i="3"/>
  <c r="AB55" i="3" s="1"/>
  <c r="Q56" i="3"/>
  <c r="AB56" i="3" s="1"/>
  <c r="Q57" i="3"/>
  <c r="AB57" i="3" s="1"/>
  <c r="Q58" i="3"/>
  <c r="AB58" i="3" s="1"/>
  <c r="Q59" i="3"/>
  <c r="AB59" i="3" s="1"/>
  <c r="Q60" i="3"/>
  <c r="AB60" i="3" s="1"/>
  <c r="Q61" i="3"/>
  <c r="AB61" i="3" s="1"/>
  <c r="Q62" i="3"/>
  <c r="AB62" i="3" s="1"/>
  <c r="Q63" i="3"/>
  <c r="AB63" i="3" s="1"/>
  <c r="Q64" i="3"/>
  <c r="AB64" i="3" s="1"/>
  <c r="Q65" i="3"/>
  <c r="AB65" i="3" s="1"/>
  <c r="Q66" i="3"/>
  <c r="AB66" i="3" s="1"/>
  <c r="Q67" i="3"/>
  <c r="AB67" i="3" s="1"/>
  <c r="Q68" i="3"/>
  <c r="AB68" i="3" s="1"/>
  <c r="Q69" i="3"/>
  <c r="AB69" i="3" s="1"/>
  <c r="Q70" i="3"/>
  <c r="AB70" i="3" s="1"/>
  <c r="Q71" i="3"/>
  <c r="AB71" i="3" s="1"/>
  <c r="Q72" i="3"/>
  <c r="AB72" i="3" s="1"/>
  <c r="Q73" i="3"/>
  <c r="AB73" i="3" s="1"/>
  <c r="AI50" i="3"/>
  <c r="AK50" i="3" s="1"/>
  <c r="AI51" i="3"/>
  <c r="AK51" i="3" s="1"/>
  <c r="AI52" i="3"/>
  <c r="AK52" i="3" s="1"/>
  <c r="AI53" i="3"/>
  <c r="AK53" i="3" s="1"/>
  <c r="AI54" i="3"/>
  <c r="AK54" i="3" s="1"/>
  <c r="AI55" i="3"/>
  <c r="AK55" i="3" s="1"/>
  <c r="AI56" i="3"/>
  <c r="AK56" i="3" s="1"/>
  <c r="AI57" i="3"/>
  <c r="AK57" i="3" s="1"/>
  <c r="AI58" i="3"/>
  <c r="AK58" i="3" s="1"/>
  <c r="AI59" i="3"/>
  <c r="AK59" i="3" s="1"/>
  <c r="AI60" i="3"/>
  <c r="AK60" i="3" s="1"/>
  <c r="AI61" i="3"/>
  <c r="AK61" i="3" s="1"/>
  <c r="AI62" i="3"/>
  <c r="AK62" i="3" s="1"/>
  <c r="AI63" i="3"/>
  <c r="AK63" i="3" s="1"/>
  <c r="AI64" i="3"/>
  <c r="AK64" i="3" s="1"/>
  <c r="AI65" i="3"/>
  <c r="AK65" i="3" s="1"/>
  <c r="AI66" i="3"/>
  <c r="AK66" i="3" s="1"/>
  <c r="AI67" i="3"/>
  <c r="AK67" i="3" s="1"/>
  <c r="AI68" i="3"/>
  <c r="AK68" i="3" s="1"/>
  <c r="AI69" i="3"/>
  <c r="AK69" i="3" s="1"/>
  <c r="AI70" i="3"/>
  <c r="AK70" i="3" s="1"/>
  <c r="AI71" i="3"/>
  <c r="AK71" i="3" s="1"/>
  <c r="AI72" i="3"/>
  <c r="AK72" i="3" s="1"/>
  <c r="AI73" i="3"/>
  <c r="AK73" i="3" s="1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O50" i="3"/>
  <c r="AQ50" i="3" s="1"/>
  <c r="AO51" i="3"/>
  <c r="AQ51" i="3" s="1"/>
  <c r="AO52" i="3"/>
  <c r="AQ52" i="3" s="1"/>
  <c r="AO53" i="3"/>
  <c r="AQ53" i="3" s="1"/>
  <c r="AO54" i="3"/>
  <c r="AQ54" i="3" s="1"/>
  <c r="AO55" i="3"/>
  <c r="AQ55" i="3" s="1"/>
  <c r="AO56" i="3"/>
  <c r="AQ56" i="3" s="1"/>
  <c r="AO57" i="3"/>
  <c r="AQ57" i="3" s="1"/>
  <c r="AO58" i="3"/>
  <c r="AQ58" i="3" s="1"/>
  <c r="AO59" i="3"/>
  <c r="AQ59" i="3" s="1"/>
  <c r="AO60" i="3"/>
  <c r="AQ60" i="3" s="1"/>
  <c r="AO61" i="3"/>
  <c r="AQ61" i="3" s="1"/>
  <c r="AO62" i="3"/>
  <c r="AQ62" i="3" s="1"/>
  <c r="AO63" i="3"/>
  <c r="AQ63" i="3" s="1"/>
  <c r="AO64" i="3"/>
  <c r="AQ64" i="3" s="1"/>
  <c r="AO65" i="3"/>
  <c r="AQ65" i="3" s="1"/>
  <c r="AO66" i="3"/>
  <c r="AQ66" i="3" s="1"/>
  <c r="AO67" i="3"/>
  <c r="AQ67" i="3" s="1"/>
  <c r="AO68" i="3"/>
  <c r="AQ68" i="3" s="1"/>
  <c r="AO69" i="3"/>
  <c r="AQ69" i="3" s="1"/>
  <c r="AO70" i="3"/>
  <c r="AQ70" i="3" s="1"/>
  <c r="AO71" i="3"/>
  <c r="AQ71" i="3" s="1"/>
  <c r="AO72" i="3"/>
  <c r="AQ72" i="3" s="1"/>
  <c r="AO73" i="3"/>
  <c r="AQ73" i="3" s="1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V50" i="3"/>
  <c r="AX50" i="3" s="1"/>
  <c r="AV51" i="3"/>
  <c r="AX51" i="3" s="1"/>
  <c r="AV52" i="3"/>
  <c r="AX52" i="3" s="1"/>
  <c r="AV53" i="3"/>
  <c r="AX53" i="3" s="1"/>
  <c r="AV54" i="3"/>
  <c r="AX54" i="3" s="1"/>
  <c r="AV55" i="3"/>
  <c r="AV56" i="3"/>
  <c r="AX56" i="3" s="1"/>
  <c r="AV57" i="3"/>
  <c r="AX57" i="3" s="1"/>
  <c r="AV58" i="3"/>
  <c r="AX58" i="3" s="1"/>
  <c r="AV59" i="3"/>
  <c r="AX59" i="3" s="1"/>
  <c r="AV60" i="3"/>
  <c r="AX60" i="3" s="1"/>
  <c r="AV61" i="3"/>
  <c r="AX61" i="3" s="1"/>
  <c r="AV62" i="3"/>
  <c r="AX62" i="3" s="1"/>
  <c r="AV63" i="3"/>
  <c r="AX63" i="3" s="1"/>
  <c r="AV64" i="3"/>
  <c r="AX64" i="3" s="1"/>
  <c r="AV65" i="3"/>
  <c r="AX65" i="3" s="1"/>
  <c r="AV66" i="3"/>
  <c r="AX66" i="3" s="1"/>
  <c r="AV67" i="3"/>
  <c r="AX67" i="3" s="1"/>
  <c r="AV68" i="3"/>
  <c r="AX68" i="3" s="1"/>
  <c r="AV69" i="3"/>
  <c r="AV70" i="3"/>
  <c r="AX70" i="3" s="1"/>
  <c r="AV71" i="3"/>
  <c r="AV72" i="3"/>
  <c r="AX72" i="3" s="1"/>
  <c r="AV73" i="3"/>
  <c r="AX73" i="3" s="1"/>
  <c r="BB51" i="3"/>
  <c r="BB52" i="3"/>
  <c r="BB53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B73" i="3"/>
  <c r="BC51" i="3"/>
  <c r="BE51" i="3" s="1"/>
  <c r="BC52" i="3"/>
  <c r="BE52" i="3" s="1"/>
  <c r="BC53" i="3"/>
  <c r="BC55" i="3"/>
  <c r="BC56" i="3"/>
  <c r="BE56" i="3" s="1"/>
  <c r="BC57" i="3"/>
  <c r="BE57" i="3" s="1"/>
  <c r="BC58" i="3"/>
  <c r="BE58" i="3" s="1"/>
  <c r="BC59" i="3"/>
  <c r="BE59" i="3" s="1"/>
  <c r="BC60" i="3"/>
  <c r="BE60" i="3" s="1"/>
  <c r="BC61" i="3"/>
  <c r="BE61" i="3" s="1"/>
  <c r="BC62" i="3"/>
  <c r="BE62" i="3" s="1"/>
  <c r="BC63" i="3"/>
  <c r="BE63" i="3" s="1"/>
  <c r="BC64" i="3"/>
  <c r="BE64" i="3" s="1"/>
  <c r="BC65" i="3"/>
  <c r="BE65" i="3" s="1"/>
  <c r="BC66" i="3"/>
  <c r="BE66" i="3" s="1"/>
  <c r="BC67" i="3"/>
  <c r="BE67" i="3" s="1"/>
  <c r="BC68" i="3"/>
  <c r="BE68" i="3" s="1"/>
  <c r="BC69" i="3"/>
  <c r="BE69" i="3" s="1"/>
  <c r="BC70" i="3"/>
  <c r="BE70" i="3" s="1"/>
  <c r="BC71" i="3"/>
  <c r="BE71" i="3" s="1"/>
  <c r="BC72" i="3"/>
  <c r="BE72" i="3" s="1"/>
  <c r="BC73" i="3"/>
  <c r="BE73" i="3" s="1"/>
  <c r="BG51" i="3"/>
  <c r="BG52" i="3"/>
  <c r="BG53" i="3"/>
  <c r="BG55" i="3"/>
  <c r="BG56" i="3"/>
  <c r="BG57" i="3"/>
  <c r="BG58" i="3"/>
  <c r="BG59" i="3"/>
  <c r="BG60" i="3"/>
  <c r="BG61" i="3"/>
  <c r="BG62" i="3"/>
  <c r="BG63" i="3"/>
  <c r="BG64" i="3"/>
  <c r="BG65" i="3"/>
  <c r="BG66" i="3"/>
  <c r="BG67" i="3"/>
  <c r="BG68" i="3"/>
  <c r="BG69" i="3"/>
  <c r="BG70" i="3"/>
  <c r="BG71" i="3"/>
  <c r="BG72" i="3"/>
  <c r="BG73" i="3"/>
  <c r="BJ50" i="3"/>
  <c r="BH51" i="3"/>
  <c r="BJ51" i="3" s="1"/>
  <c r="BH52" i="3"/>
  <c r="BJ52" i="3" s="1"/>
  <c r="BH53" i="3"/>
  <c r="BJ53" i="3" s="1"/>
  <c r="BH55" i="3"/>
  <c r="BH56" i="3"/>
  <c r="BJ56" i="3" s="1"/>
  <c r="BH57" i="3"/>
  <c r="BJ57" i="3" s="1"/>
  <c r="BH58" i="3"/>
  <c r="BJ58" i="3" s="1"/>
  <c r="BH59" i="3"/>
  <c r="BJ59" i="3" s="1"/>
  <c r="BH60" i="3"/>
  <c r="BJ60" i="3" s="1"/>
  <c r="BH61" i="3"/>
  <c r="BJ61" i="3" s="1"/>
  <c r="BH62" i="3"/>
  <c r="BJ62" i="3" s="1"/>
  <c r="BH63" i="3"/>
  <c r="BJ63" i="3" s="1"/>
  <c r="BH64" i="3"/>
  <c r="BJ64" i="3" s="1"/>
  <c r="BH65" i="3"/>
  <c r="BJ65" i="3" s="1"/>
  <c r="BH66" i="3"/>
  <c r="BJ66" i="3" s="1"/>
  <c r="BH67" i="3"/>
  <c r="BJ67" i="3" s="1"/>
  <c r="BH68" i="3"/>
  <c r="BJ68" i="3" s="1"/>
  <c r="BH69" i="3"/>
  <c r="BJ69" i="3" s="1"/>
  <c r="BH70" i="3"/>
  <c r="BJ70" i="3" s="1"/>
  <c r="BH71" i="3"/>
  <c r="BH72" i="3"/>
  <c r="BJ72" i="3" s="1"/>
  <c r="BH73" i="3"/>
  <c r="BJ73" i="3" s="1"/>
  <c r="BL50" i="3"/>
  <c r="BL51" i="3"/>
  <c r="BL52" i="3"/>
  <c r="BL53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9" i="3"/>
  <c r="BL70" i="3"/>
  <c r="BL71" i="3"/>
  <c r="BL72" i="3"/>
  <c r="BL73" i="3"/>
  <c r="BM50" i="3"/>
  <c r="BO50" i="3" s="1"/>
  <c r="BM51" i="3"/>
  <c r="BO51" i="3" s="1"/>
  <c r="BM52" i="3"/>
  <c r="BO52" i="3" s="1"/>
  <c r="BM53" i="3"/>
  <c r="BM55" i="3"/>
  <c r="BM56" i="3"/>
  <c r="BO56" i="3" s="1"/>
  <c r="BM57" i="3"/>
  <c r="BO57" i="3" s="1"/>
  <c r="BM58" i="3"/>
  <c r="BO58" i="3" s="1"/>
  <c r="BM59" i="3"/>
  <c r="BO59" i="3" s="1"/>
  <c r="BM60" i="3"/>
  <c r="BO60" i="3" s="1"/>
  <c r="BM61" i="3"/>
  <c r="BO61" i="3" s="1"/>
  <c r="BM62" i="3"/>
  <c r="BO62" i="3" s="1"/>
  <c r="BM63" i="3"/>
  <c r="BO63" i="3" s="1"/>
  <c r="BM64" i="3"/>
  <c r="BO64" i="3" s="1"/>
  <c r="BM65" i="3"/>
  <c r="BO65" i="3" s="1"/>
  <c r="BM66" i="3"/>
  <c r="BO66" i="3" s="1"/>
  <c r="BM67" i="3"/>
  <c r="BO67" i="3" s="1"/>
  <c r="BM69" i="3"/>
  <c r="BO69" i="3" s="1"/>
  <c r="BM70" i="3"/>
  <c r="BO70" i="3" s="1"/>
  <c r="BM71" i="3"/>
  <c r="BM72" i="3"/>
  <c r="BO72" i="3" s="1"/>
  <c r="BM73" i="3"/>
  <c r="BO73" i="3" s="1"/>
  <c r="BQ50" i="3"/>
  <c r="BQ51" i="3"/>
  <c r="BQ52" i="3"/>
  <c r="BQ53" i="3"/>
  <c r="BQ55" i="3"/>
  <c r="BQ56" i="3"/>
  <c r="BQ57" i="3"/>
  <c r="BQ58" i="3"/>
  <c r="BQ59" i="3"/>
  <c r="BQ60" i="3"/>
  <c r="BQ61" i="3"/>
  <c r="BQ62" i="3"/>
  <c r="BQ63" i="3"/>
  <c r="BQ64" i="3"/>
  <c r="BQ65" i="3"/>
  <c r="BQ66" i="3"/>
  <c r="BQ67" i="3"/>
  <c r="BQ69" i="3"/>
  <c r="BQ70" i="3"/>
  <c r="BQ71" i="3"/>
  <c r="BQ72" i="3"/>
  <c r="BQ73" i="3"/>
  <c r="BR50" i="3"/>
  <c r="BT50" i="3" s="1"/>
  <c r="BR51" i="3"/>
  <c r="BT51" i="3" s="1"/>
  <c r="BR52" i="3"/>
  <c r="BR53" i="3"/>
  <c r="BR55" i="3"/>
  <c r="BT55" i="3" s="1"/>
  <c r="BR56" i="3"/>
  <c r="BT56" i="3" s="1"/>
  <c r="BR57" i="3"/>
  <c r="BT57" i="3" s="1"/>
  <c r="BR58" i="3"/>
  <c r="BT58" i="3" s="1"/>
  <c r="BR59" i="3"/>
  <c r="BT59" i="3" s="1"/>
  <c r="BR60" i="3"/>
  <c r="BT60" i="3" s="1"/>
  <c r="BR61" i="3"/>
  <c r="BT61" i="3" s="1"/>
  <c r="BR62" i="3"/>
  <c r="BT62" i="3" s="1"/>
  <c r="BR63" i="3"/>
  <c r="BT63" i="3" s="1"/>
  <c r="BR64" i="3"/>
  <c r="BT64" i="3" s="1"/>
  <c r="BR65" i="3"/>
  <c r="BT65" i="3" s="1"/>
  <c r="BR66" i="3"/>
  <c r="BT66" i="3" s="1"/>
  <c r="BR67" i="3"/>
  <c r="BT67" i="3" s="1"/>
  <c r="BR69" i="3"/>
  <c r="BR70" i="3"/>
  <c r="BT70" i="3" s="1"/>
  <c r="BR71" i="3"/>
  <c r="BR72" i="3"/>
  <c r="BT72" i="3" s="1"/>
  <c r="BR73" i="3"/>
  <c r="BT73" i="3" s="1"/>
  <c r="BV50" i="3"/>
  <c r="BV51" i="3"/>
  <c r="BV52" i="3"/>
  <c r="BV53" i="3"/>
  <c r="BV55" i="3"/>
  <c r="BV56" i="3"/>
  <c r="BV57" i="3"/>
  <c r="BV58" i="3"/>
  <c r="BV59" i="3"/>
  <c r="BV60" i="3"/>
  <c r="BV61" i="3"/>
  <c r="BV62" i="3"/>
  <c r="BV63" i="3"/>
  <c r="BV64" i="3"/>
  <c r="BV65" i="3"/>
  <c r="BV66" i="3"/>
  <c r="BV67" i="3"/>
  <c r="BV69" i="3"/>
  <c r="BV70" i="3"/>
  <c r="BV71" i="3"/>
  <c r="BV72" i="3"/>
  <c r="BV73" i="3"/>
  <c r="BW50" i="3"/>
  <c r="BY50" i="3" s="1"/>
  <c r="BW51" i="3"/>
  <c r="BY51" i="3" s="1"/>
  <c r="BW52" i="3"/>
  <c r="BW53" i="3"/>
  <c r="BY53" i="3" s="1"/>
  <c r="BW55" i="3"/>
  <c r="BY55" i="3" s="1"/>
  <c r="BW56" i="3"/>
  <c r="BY56" i="3" s="1"/>
  <c r="BW57" i="3"/>
  <c r="BY57" i="3" s="1"/>
  <c r="BW58" i="3"/>
  <c r="BY58" i="3" s="1"/>
  <c r="BW59" i="3"/>
  <c r="BY59" i="3" s="1"/>
  <c r="BW60" i="3"/>
  <c r="BY60" i="3" s="1"/>
  <c r="BW61" i="3"/>
  <c r="BY61" i="3" s="1"/>
  <c r="BW62" i="3"/>
  <c r="BY62" i="3" s="1"/>
  <c r="BW63" i="3"/>
  <c r="BY63" i="3" s="1"/>
  <c r="BW64" i="3"/>
  <c r="BY64" i="3" s="1"/>
  <c r="BW65" i="3"/>
  <c r="BY65" i="3" s="1"/>
  <c r="BW66" i="3"/>
  <c r="BY66" i="3" s="1"/>
  <c r="BW67" i="3"/>
  <c r="BY67" i="3" s="1"/>
  <c r="BW69" i="3"/>
  <c r="BW70" i="3"/>
  <c r="BY70" i="3" s="1"/>
  <c r="BW71" i="3"/>
  <c r="BW72" i="3"/>
  <c r="BY72" i="3" s="1"/>
  <c r="BW73" i="3"/>
  <c r="BY73" i="3" s="1"/>
  <c r="CA50" i="3"/>
  <c r="CA51" i="3"/>
  <c r="CA52" i="3"/>
  <c r="CA53" i="3"/>
  <c r="CA55" i="3"/>
  <c r="CA56" i="3"/>
  <c r="CA57" i="3"/>
  <c r="CA58" i="3"/>
  <c r="CA59" i="3"/>
  <c r="CA60" i="3"/>
  <c r="CA61" i="3"/>
  <c r="CA62" i="3"/>
  <c r="CA63" i="3"/>
  <c r="CA64" i="3"/>
  <c r="CA65" i="3"/>
  <c r="CA66" i="3"/>
  <c r="CA67" i="3"/>
  <c r="CA69" i="3"/>
  <c r="CA70" i="3"/>
  <c r="CA71" i="3"/>
  <c r="CA72" i="3"/>
  <c r="CA73" i="3"/>
  <c r="CB50" i="3"/>
  <c r="CD50" i="3" s="1"/>
  <c r="CB51" i="3"/>
  <c r="CD51" i="3" s="1"/>
  <c r="CB52" i="3"/>
  <c r="CB53" i="3"/>
  <c r="CB55" i="3"/>
  <c r="CB56" i="3"/>
  <c r="CD56" i="3" s="1"/>
  <c r="CB57" i="3"/>
  <c r="CD57" i="3" s="1"/>
  <c r="CB58" i="3"/>
  <c r="CD58" i="3" s="1"/>
  <c r="CB59" i="3"/>
  <c r="CD59" i="3" s="1"/>
  <c r="CB60" i="3"/>
  <c r="CD60" i="3" s="1"/>
  <c r="CB61" i="3"/>
  <c r="CD61" i="3" s="1"/>
  <c r="CB62" i="3"/>
  <c r="CD62" i="3" s="1"/>
  <c r="CB63" i="3"/>
  <c r="CD63" i="3" s="1"/>
  <c r="CB64" i="3"/>
  <c r="CD64" i="3" s="1"/>
  <c r="CB65" i="3"/>
  <c r="CD65" i="3" s="1"/>
  <c r="CB66" i="3"/>
  <c r="CD66" i="3" s="1"/>
  <c r="CB67" i="3"/>
  <c r="CD67" i="3" s="1"/>
  <c r="CB69" i="3"/>
  <c r="CB70" i="3"/>
  <c r="CD70" i="3" s="1"/>
  <c r="CB71" i="3"/>
  <c r="CD71" i="3" s="1"/>
  <c r="CB72" i="3"/>
  <c r="CD72" i="3" s="1"/>
  <c r="CB73" i="3"/>
  <c r="CD73" i="3" s="1"/>
  <c r="CF50" i="3"/>
  <c r="CF51" i="3"/>
  <c r="CF52" i="3"/>
  <c r="CF53" i="3"/>
  <c r="CF55" i="3"/>
  <c r="CF56" i="3"/>
  <c r="CF57" i="3"/>
  <c r="CF58" i="3"/>
  <c r="CF59" i="3"/>
  <c r="CF60" i="3"/>
  <c r="CF61" i="3"/>
  <c r="CF62" i="3"/>
  <c r="CF63" i="3"/>
  <c r="CF64" i="3"/>
  <c r="CF65" i="3"/>
  <c r="CF66" i="3"/>
  <c r="CF67" i="3"/>
  <c r="CF68" i="3"/>
  <c r="CF69" i="3"/>
  <c r="CF70" i="3"/>
  <c r="CF71" i="3"/>
  <c r="CF72" i="3"/>
  <c r="CF73" i="3"/>
  <c r="CG50" i="3"/>
  <c r="CI50" i="3" s="1"/>
  <c r="CG51" i="3"/>
  <c r="CI51" i="3" s="1"/>
  <c r="CG52" i="3"/>
  <c r="CI52" i="3" s="1"/>
  <c r="CG53" i="3"/>
  <c r="CG55" i="3"/>
  <c r="CG56" i="3"/>
  <c r="CI56" i="3" s="1"/>
  <c r="CG57" i="3"/>
  <c r="CI57" i="3" s="1"/>
  <c r="CG58" i="3"/>
  <c r="CI58" i="3" s="1"/>
  <c r="CG59" i="3"/>
  <c r="CI59" i="3" s="1"/>
  <c r="CG60" i="3"/>
  <c r="CI60" i="3" s="1"/>
  <c r="CG61" i="3"/>
  <c r="CI61" i="3" s="1"/>
  <c r="CG62" i="3"/>
  <c r="CI62" i="3" s="1"/>
  <c r="CG63" i="3"/>
  <c r="CI63" i="3" s="1"/>
  <c r="CG64" i="3"/>
  <c r="CI64" i="3" s="1"/>
  <c r="CG65" i="3"/>
  <c r="CI65" i="3" s="1"/>
  <c r="CG66" i="3"/>
  <c r="CI66" i="3" s="1"/>
  <c r="CG67" i="3"/>
  <c r="CI67" i="3" s="1"/>
  <c r="CG68" i="3"/>
  <c r="CI68" i="3" s="1"/>
  <c r="CG69" i="3"/>
  <c r="CI69" i="3" s="1"/>
  <c r="CG70" i="3"/>
  <c r="CI70" i="3" s="1"/>
  <c r="CG71" i="3"/>
  <c r="CI71" i="3" s="1"/>
  <c r="CG72" i="3"/>
  <c r="CI72" i="3" s="1"/>
  <c r="CG73" i="3"/>
  <c r="CI73" i="3" s="1"/>
  <c r="CK50" i="3"/>
  <c r="CK51" i="3"/>
  <c r="CK52" i="3"/>
  <c r="CK53" i="3"/>
  <c r="CK54" i="3"/>
  <c r="CK55" i="3"/>
  <c r="CK56" i="3"/>
  <c r="CK57" i="3"/>
  <c r="CK58" i="3"/>
  <c r="CK59" i="3"/>
  <c r="CK60" i="3"/>
  <c r="CK61" i="3"/>
  <c r="CK62" i="3"/>
  <c r="CK63" i="3"/>
  <c r="CK64" i="3"/>
  <c r="CK65" i="3"/>
  <c r="CK66" i="3"/>
  <c r="CK67" i="3"/>
  <c r="CK68" i="3"/>
  <c r="CK69" i="3"/>
  <c r="CK70" i="3"/>
  <c r="CK71" i="3"/>
  <c r="CK72" i="3"/>
  <c r="CK73" i="3"/>
  <c r="CL50" i="3"/>
  <c r="CN50" i="3" s="1"/>
  <c r="CL51" i="3"/>
  <c r="CN51" i="3" s="1"/>
  <c r="CL52" i="3"/>
  <c r="CL53" i="3"/>
  <c r="CL54" i="3"/>
  <c r="CN54" i="3" s="1"/>
  <c r="CL55" i="3"/>
  <c r="CN55" i="3" s="1"/>
  <c r="CL56" i="3"/>
  <c r="CN56" i="3" s="1"/>
  <c r="CL57" i="3"/>
  <c r="CN57" i="3" s="1"/>
  <c r="CL58" i="3"/>
  <c r="CN58" i="3" s="1"/>
  <c r="CL59" i="3"/>
  <c r="CN59" i="3" s="1"/>
  <c r="CL60" i="3"/>
  <c r="CN60" i="3" s="1"/>
  <c r="CL61" i="3"/>
  <c r="CN61" i="3" s="1"/>
  <c r="CL62" i="3"/>
  <c r="CN62" i="3" s="1"/>
  <c r="CL63" i="3"/>
  <c r="CN63" i="3" s="1"/>
  <c r="CL64" i="3"/>
  <c r="CN64" i="3" s="1"/>
  <c r="CL65" i="3"/>
  <c r="CN65" i="3" s="1"/>
  <c r="CL66" i="3"/>
  <c r="CN66" i="3" s="1"/>
  <c r="CL67" i="3"/>
  <c r="CN67" i="3" s="1"/>
  <c r="CL68" i="3"/>
  <c r="CL69" i="3"/>
  <c r="CN69" i="3" s="1"/>
  <c r="CL70" i="3"/>
  <c r="CN70" i="3" s="1"/>
  <c r="CL71" i="3"/>
  <c r="CN71" i="3" s="1"/>
  <c r="CL72" i="3"/>
  <c r="CN72" i="3" s="1"/>
  <c r="CL73" i="3"/>
  <c r="CN73" i="3" s="1"/>
  <c r="CP50" i="3"/>
  <c r="CR50" i="3" s="1"/>
  <c r="CP51" i="3"/>
  <c r="CR51" i="3" s="1"/>
  <c r="CP52" i="3"/>
  <c r="CR52" i="3" s="1"/>
  <c r="CP53" i="3"/>
  <c r="CR53" i="3" s="1"/>
  <c r="CP54" i="3"/>
  <c r="CR54" i="3" s="1"/>
  <c r="CP55" i="3"/>
  <c r="CR55" i="3" s="1"/>
  <c r="CP56" i="3"/>
  <c r="CR56" i="3" s="1"/>
  <c r="CP57" i="3"/>
  <c r="CR57" i="3" s="1"/>
  <c r="CP58" i="3"/>
  <c r="CR58" i="3" s="1"/>
  <c r="CP59" i="3"/>
  <c r="CR59" i="3" s="1"/>
  <c r="CP60" i="3"/>
  <c r="CR60" i="3" s="1"/>
  <c r="CP61" i="3"/>
  <c r="CR61" i="3" s="1"/>
  <c r="CP62" i="3"/>
  <c r="CR62" i="3" s="1"/>
  <c r="CP63" i="3"/>
  <c r="CR63" i="3" s="1"/>
  <c r="CP64" i="3"/>
  <c r="CR64" i="3" s="1"/>
  <c r="CP65" i="3"/>
  <c r="CR65" i="3" s="1"/>
  <c r="CP66" i="3"/>
  <c r="CR66" i="3" s="1"/>
  <c r="CP67" i="3"/>
  <c r="CR67" i="3" s="1"/>
  <c r="CP68" i="3"/>
  <c r="CR68" i="3" s="1"/>
  <c r="CP69" i="3"/>
  <c r="CR69" i="3" s="1"/>
  <c r="CP70" i="3"/>
  <c r="CR70" i="3" s="1"/>
  <c r="CP71" i="3"/>
  <c r="CR71" i="3" s="1"/>
  <c r="CP72" i="3"/>
  <c r="CR72" i="3" s="1"/>
  <c r="CP73" i="3"/>
  <c r="CR73" i="3" s="1"/>
  <c r="CV50" i="3"/>
  <c r="CV51" i="3"/>
  <c r="CV52" i="3"/>
  <c r="CV53" i="3"/>
  <c r="CV54" i="3"/>
  <c r="CV55" i="3"/>
  <c r="CV56" i="3"/>
  <c r="CV57" i="3"/>
  <c r="CV58" i="3"/>
  <c r="CV59" i="3"/>
  <c r="CV60" i="3"/>
  <c r="CV61" i="3"/>
  <c r="CV62" i="3"/>
  <c r="CV63" i="3"/>
  <c r="CV64" i="3"/>
  <c r="CV65" i="3"/>
  <c r="CV66" i="3"/>
  <c r="CV67" i="3"/>
  <c r="CV68" i="3"/>
  <c r="CV69" i="3"/>
  <c r="CV70" i="3"/>
  <c r="CV71" i="3"/>
  <c r="CV72" i="3"/>
  <c r="CV73" i="3"/>
  <c r="CW50" i="3"/>
  <c r="CY50" i="3" s="1"/>
  <c r="CW51" i="3"/>
  <c r="CY51" i="3" s="1"/>
  <c r="CW52" i="3"/>
  <c r="CY52" i="3" s="1"/>
  <c r="CW53" i="3"/>
  <c r="CW54" i="3"/>
  <c r="CY54" i="3" s="1"/>
  <c r="CW55" i="3"/>
  <c r="CY55" i="3" s="1"/>
  <c r="CW56" i="3"/>
  <c r="CW57" i="3"/>
  <c r="CY57" i="3" s="1"/>
  <c r="CW58" i="3"/>
  <c r="CY58" i="3" s="1"/>
  <c r="CW59" i="3"/>
  <c r="CY59" i="3" s="1"/>
  <c r="CW60" i="3"/>
  <c r="CY60" i="3" s="1"/>
  <c r="CW61" i="3"/>
  <c r="CY61" i="3" s="1"/>
  <c r="CW62" i="3"/>
  <c r="CY62" i="3" s="1"/>
  <c r="CW63" i="3"/>
  <c r="CY63" i="3" s="1"/>
  <c r="CW64" i="3"/>
  <c r="CY64" i="3" s="1"/>
  <c r="CW65" i="3"/>
  <c r="CY65" i="3" s="1"/>
  <c r="CW66" i="3"/>
  <c r="CY66" i="3" s="1"/>
  <c r="CW67" i="3"/>
  <c r="CY67" i="3" s="1"/>
  <c r="CW68" i="3"/>
  <c r="CY68" i="3" s="1"/>
  <c r="CW69" i="3"/>
  <c r="CY69" i="3" s="1"/>
  <c r="CW70" i="3"/>
  <c r="CW71" i="3"/>
  <c r="CY71" i="3" s="1"/>
  <c r="CW72" i="3"/>
  <c r="CY72" i="3" s="1"/>
  <c r="CW73" i="3"/>
  <c r="CY73" i="3" s="1"/>
  <c r="DC50" i="3"/>
  <c r="DC51" i="3"/>
  <c r="DC52" i="3"/>
  <c r="DC53" i="3"/>
  <c r="DC54" i="3"/>
  <c r="DC55" i="3"/>
  <c r="DC56" i="3"/>
  <c r="DC57" i="3"/>
  <c r="DC58" i="3"/>
  <c r="DC59" i="3"/>
  <c r="DC60" i="3"/>
  <c r="DC61" i="3"/>
  <c r="DC62" i="3"/>
  <c r="DC63" i="3"/>
  <c r="DC64" i="3"/>
  <c r="DC65" i="3"/>
  <c r="DC66" i="3"/>
  <c r="DC67" i="3"/>
  <c r="DC68" i="3"/>
  <c r="DC69" i="3"/>
  <c r="DC70" i="3"/>
  <c r="DC71" i="3"/>
  <c r="DC72" i="3"/>
  <c r="DC73" i="3"/>
  <c r="DD50" i="3"/>
  <c r="DF50" i="3" s="1"/>
  <c r="DD51" i="3"/>
  <c r="DF51" i="3" s="1"/>
  <c r="DD52" i="3"/>
  <c r="DF52" i="3" s="1"/>
  <c r="DD53" i="3"/>
  <c r="DF53" i="3" s="1"/>
  <c r="DD54" i="3"/>
  <c r="DF54" i="3" s="1"/>
  <c r="DD55" i="3"/>
  <c r="DF55" i="3" s="1"/>
  <c r="DD56" i="3"/>
  <c r="DF56" i="3" s="1"/>
  <c r="DD57" i="3"/>
  <c r="DF57" i="3" s="1"/>
  <c r="DD58" i="3"/>
  <c r="DF58" i="3" s="1"/>
  <c r="DD59" i="3"/>
  <c r="DF59" i="3" s="1"/>
  <c r="DD60" i="3"/>
  <c r="DF60" i="3" s="1"/>
  <c r="DD61" i="3"/>
  <c r="DF61" i="3" s="1"/>
  <c r="DD62" i="3"/>
  <c r="DF62" i="3" s="1"/>
  <c r="DD63" i="3"/>
  <c r="DF63" i="3" s="1"/>
  <c r="DD64" i="3"/>
  <c r="DF64" i="3" s="1"/>
  <c r="DD65" i="3"/>
  <c r="DF65" i="3" s="1"/>
  <c r="DD66" i="3"/>
  <c r="DF66" i="3" s="1"/>
  <c r="DD67" i="3"/>
  <c r="DF67" i="3" s="1"/>
  <c r="DD68" i="3"/>
  <c r="DF68" i="3" s="1"/>
  <c r="DD69" i="3"/>
  <c r="DF69" i="3" s="1"/>
  <c r="DD70" i="3"/>
  <c r="DD71" i="3"/>
  <c r="DF71" i="3" s="1"/>
  <c r="DD72" i="3"/>
  <c r="DD73" i="3"/>
  <c r="DF73" i="3" s="1"/>
  <c r="DJ50" i="3"/>
  <c r="DJ51" i="3"/>
  <c r="DJ52" i="3"/>
  <c r="DJ53" i="3"/>
  <c r="DJ54" i="3"/>
  <c r="DJ55" i="3"/>
  <c r="DJ56" i="3"/>
  <c r="DJ57" i="3"/>
  <c r="DJ58" i="3"/>
  <c r="DJ59" i="3"/>
  <c r="DJ60" i="3"/>
  <c r="DJ61" i="3"/>
  <c r="DJ62" i="3"/>
  <c r="DJ63" i="3"/>
  <c r="DJ64" i="3"/>
  <c r="DJ65" i="3"/>
  <c r="DJ66" i="3"/>
  <c r="DJ67" i="3"/>
  <c r="DJ68" i="3"/>
  <c r="DJ69" i="3"/>
  <c r="DJ70" i="3"/>
  <c r="DJ71" i="3"/>
  <c r="DJ72" i="3"/>
  <c r="DJ73" i="3"/>
  <c r="DK50" i="3"/>
  <c r="DM50" i="3" s="1"/>
  <c r="DK51" i="3"/>
  <c r="DM51" i="3" s="1"/>
  <c r="DK52" i="3"/>
  <c r="DM52" i="3" s="1"/>
  <c r="DK53" i="3"/>
  <c r="DM53" i="3" s="1"/>
  <c r="DK54" i="3"/>
  <c r="DK55" i="3"/>
  <c r="DM55" i="3" s="1"/>
  <c r="DK56" i="3"/>
  <c r="DK57" i="3"/>
  <c r="DM57" i="3" s="1"/>
  <c r="DK58" i="3"/>
  <c r="DM58" i="3" s="1"/>
  <c r="DK59" i="3"/>
  <c r="DM59" i="3" s="1"/>
  <c r="DK60" i="3"/>
  <c r="DM60" i="3" s="1"/>
  <c r="DK61" i="3"/>
  <c r="DM61" i="3" s="1"/>
  <c r="DK62" i="3"/>
  <c r="DM62" i="3" s="1"/>
  <c r="DK63" i="3"/>
  <c r="DM63" i="3" s="1"/>
  <c r="DK64" i="3"/>
  <c r="DM64" i="3" s="1"/>
  <c r="DK65" i="3"/>
  <c r="DM65" i="3" s="1"/>
  <c r="DK66" i="3"/>
  <c r="DM66" i="3" s="1"/>
  <c r="DK67" i="3"/>
  <c r="DM67" i="3" s="1"/>
  <c r="DK68" i="3"/>
  <c r="DM68" i="3" s="1"/>
  <c r="DK69" i="3"/>
  <c r="DK70" i="3"/>
  <c r="DM70" i="3" s="1"/>
  <c r="DK71" i="3"/>
  <c r="DM71" i="3" s="1"/>
  <c r="DK72" i="3"/>
  <c r="DM72" i="3" s="1"/>
  <c r="DK73" i="3"/>
  <c r="DM73" i="3" s="1"/>
  <c r="DO50" i="3"/>
  <c r="DO51" i="3"/>
  <c r="DO52" i="3"/>
  <c r="DO53" i="3"/>
  <c r="DO54" i="3"/>
  <c r="DO55" i="3"/>
  <c r="DO56" i="3"/>
  <c r="DO57" i="3"/>
  <c r="DO58" i="3"/>
  <c r="DO59" i="3"/>
  <c r="DO60" i="3"/>
  <c r="DO61" i="3"/>
  <c r="DO62" i="3"/>
  <c r="DO63" i="3"/>
  <c r="DO64" i="3"/>
  <c r="DO65" i="3"/>
  <c r="DO66" i="3"/>
  <c r="DO67" i="3"/>
  <c r="DO68" i="3"/>
  <c r="DO69" i="3"/>
  <c r="DO70" i="3"/>
  <c r="DO71" i="3"/>
  <c r="DO72" i="3"/>
  <c r="DO73" i="3"/>
  <c r="DP50" i="3"/>
  <c r="DR50" i="3" s="1"/>
  <c r="DP51" i="3"/>
  <c r="DR51" i="3" s="1"/>
  <c r="DP52" i="3"/>
  <c r="DR52" i="3" s="1"/>
  <c r="DP53" i="3"/>
  <c r="DP54" i="3"/>
  <c r="DR54" i="3" s="1"/>
  <c r="DP55" i="3"/>
  <c r="DR55" i="3" s="1"/>
  <c r="DP56" i="3"/>
  <c r="DP57" i="3"/>
  <c r="DR57" i="3" s="1"/>
  <c r="DP58" i="3"/>
  <c r="DR58" i="3" s="1"/>
  <c r="DP59" i="3"/>
  <c r="DR59" i="3" s="1"/>
  <c r="DP60" i="3"/>
  <c r="DR60" i="3" s="1"/>
  <c r="DP61" i="3"/>
  <c r="DR61" i="3" s="1"/>
  <c r="DP62" i="3"/>
  <c r="DR62" i="3" s="1"/>
  <c r="DP63" i="3"/>
  <c r="DR63" i="3" s="1"/>
  <c r="DP64" i="3"/>
  <c r="DR64" i="3" s="1"/>
  <c r="DP65" i="3"/>
  <c r="DR65" i="3" s="1"/>
  <c r="DP66" i="3"/>
  <c r="DR66" i="3" s="1"/>
  <c r="DP67" i="3"/>
  <c r="DR67" i="3" s="1"/>
  <c r="DP68" i="3"/>
  <c r="DR68" i="3" s="1"/>
  <c r="DP69" i="3"/>
  <c r="DP70" i="3"/>
  <c r="DR70" i="3" s="1"/>
  <c r="DP71" i="3"/>
  <c r="DR71" i="3" s="1"/>
  <c r="DP72" i="3"/>
  <c r="DR72" i="3" s="1"/>
  <c r="DP73" i="3"/>
  <c r="DR73" i="3" s="1"/>
  <c r="DV50" i="3"/>
  <c r="DV51" i="3"/>
  <c r="DV52" i="3"/>
  <c r="DV53" i="3"/>
  <c r="DV54" i="3"/>
  <c r="DV55" i="3"/>
  <c r="DV56" i="3"/>
  <c r="DV57" i="3"/>
  <c r="DV58" i="3"/>
  <c r="DV59" i="3"/>
  <c r="DV60" i="3"/>
  <c r="DV61" i="3"/>
  <c r="DV62" i="3"/>
  <c r="DV63" i="3"/>
  <c r="DV64" i="3"/>
  <c r="DV65" i="3"/>
  <c r="DV66" i="3"/>
  <c r="DV67" i="3"/>
  <c r="DV68" i="3"/>
  <c r="DV69" i="3"/>
  <c r="DV70" i="3"/>
  <c r="DV71" i="3"/>
  <c r="DV72" i="3"/>
  <c r="DV73" i="3"/>
  <c r="DW50" i="3"/>
  <c r="DY50" i="3" s="1"/>
  <c r="DW51" i="3"/>
  <c r="DY51" i="3" s="1"/>
  <c r="DW52" i="3"/>
  <c r="DY52" i="3" s="1"/>
  <c r="DW53" i="3"/>
  <c r="DW54" i="3"/>
  <c r="DY54" i="3" s="1"/>
  <c r="DW55" i="3"/>
  <c r="DY55" i="3" s="1"/>
  <c r="DW56" i="3"/>
  <c r="DW57" i="3"/>
  <c r="DY57" i="3" s="1"/>
  <c r="DW58" i="3"/>
  <c r="DY58" i="3" s="1"/>
  <c r="DW59" i="3"/>
  <c r="DY59" i="3" s="1"/>
  <c r="DW60" i="3"/>
  <c r="DY60" i="3" s="1"/>
  <c r="DW61" i="3"/>
  <c r="DY61" i="3" s="1"/>
  <c r="DW62" i="3"/>
  <c r="DY62" i="3" s="1"/>
  <c r="DW63" i="3"/>
  <c r="DY63" i="3" s="1"/>
  <c r="DW64" i="3"/>
  <c r="DY64" i="3" s="1"/>
  <c r="DW65" i="3"/>
  <c r="DY65" i="3" s="1"/>
  <c r="DW66" i="3"/>
  <c r="DY66" i="3" s="1"/>
  <c r="DW67" i="3"/>
  <c r="DY67" i="3" s="1"/>
  <c r="DW68" i="3"/>
  <c r="DY68" i="3" s="1"/>
  <c r="DW69" i="3"/>
  <c r="DY69" i="3" s="1"/>
  <c r="DW70" i="3"/>
  <c r="DY70" i="3" s="1"/>
  <c r="DW71" i="3"/>
  <c r="DY71" i="3" s="1"/>
  <c r="DW72" i="3"/>
  <c r="DW73" i="3"/>
  <c r="DY73" i="3" s="1"/>
  <c r="EC50" i="3"/>
  <c r="EC51" i="3"/>
  <c r="EC52" i="3"/>
  <c r="EC53" i="3"/>
  <c r="EC54" i="3"/>
  <c r="EC55" i="3"/>
  <c r="EC56" i="3"/>
  <c r="EC57" i="3"/>
  <c r="EC58" i="3"/>
  <c r="EC59" i="3"/>
  <c r="EC60" i="3"/>
  <c r="EC61" i="3"/>
  <c r="EC62" i="3"/>
  <c r="EC63" i="3"/>
  <c r="EC64" i="3"/>
  <c r="EC65" i="3"/>
  <c r="EC66" i="3"/>
  <c r="EC67" i="3"/>
  <c r="EC68" i="3"/>
  <c r="EC69" i="3"/>
  <c r="EC70" i="3"/>
  <c r="EC71" i="3"/>
  <c r="EC72" i="3"/>
  <c r="EC73" i="3"/>
  <c r="ED50" i="3"/>
  <c r="EF50" i="3" s="1"/>
  <c r="ED51" i="3"/>
  <c r="EF51" i="3" s="1"/>
  <c r="ED52" i="3"/>
  <c r="EF52" i="3" s="1"/>
  <c r="ED53" i="3"/>
  <c r="ED54" i="3"/>
  <c r="ED55" i="3"/>
  <c r="ED56" i="3"/>
  <c r="ED57" i="3"/>
  <c r="EF57" i="3" s="1"/>
  <c r="ED58" i="3"/>
  <c r="EF58" i="3" s="1"/>
  <c r="ED59" i="3"/>
  <c r="EF59" i="3" s="1"/>
  <c r="ED60" i="3"/>
  <c r="EF60" i="3" s="1"/>
  <c r="ED61" i="3"/>
  <c r="EF61" i="3" s="1"/>
  <c r="ED62" i="3"/>
  <c r="EF62" i="3" s="1"/>
  <c r="ED63" i="3"/>
  <c r="EF63" i="3" s="1"/>
  <c r="ED64" i="3"/>
  <c r="EF64" i="3" s="1"/>
  <c r="ED65" i="3"/>
  <c r="EF65" i="3" s="1"/>
  <c r="ED66" i="3"/>
  <c r="EF66" i="3" s="1"/>
  <c r="ED67" i="3"/>
  <c r="ED68" i="3"/>
  <c r="EF68" i="3" s="1"/>
  <c r="ED69" i="3"/>
  <c r="ED70" i="3"/>
  <c r="ED71" i="3"/>
  <c r="ED72" i="3"/>
  <c r="ED73" i="3"/>
  <c r="EF73" i="3" s="1"/>
  <c r="EJ50" i="3"/>
  <c r="EJ51" i="3"/>
  <c r="EJ52" i="3"/>
  <c r="EJ53" i="3"/>
  <c r="EJ54" i="3"/>
  <c r="EJ55" i="3"/>
  <c r="EJ56" i="3"/>
  <c r="EJ57" i="3"/>
  <c r="EJ58" i="3"/>
  <c r="EJ59" i="3"/>
  <c r="EJ60" i="3"/>
  <c r="EJ61" i="3"/>
  <c r="EJ62" i="3"/>
  <c r="EJ63" i="3"/>
  <c r="EJ64" i="3"/>
  <c r="EJ65" i="3"/>
  <c r="EJ66" i="3"/>
  <c r="EJ67" i="3"/>
  <c r="EJ68" i="3"/>
  <c r="EJ69" i="3"/>
  <c r="EJ70" i="3"/>
  <c r="EJ71" i="3"/>
  <c r="EJ72" i="3"/>
  <c r="EJ73" i="3"/>
  <c r="EK50" i="3"/>
  <c r="EM50" i="3" s="1"/>
  <c r="EK51" i="3"/>
  <c r="EK52" i="3"/>
  <c r="EK53" i="3"/>
  <c r="EK54" i="3"/>
  <c r="EK55" i="3"/>
  <c r="EK56" i="3"/>
  <c r="EK57" i="3"/>
  <c r="EM57" i="3" s="1"/>
  <c r="EK58" i="3"/>
  <c r="EM58" i="3" s="1"/>
  <c r="EK59" i="3"/>
  <c r="EM59" i="3" s="1"/>
  <c r="EK60" i="3"/>
  <c r="EM60" i="3" s="1"/>
  <c r="EK61" i="3"/>
  <c r="EM61" i="3" s="1"/>
  <c r="EK62" i="3"/>
  <c r="EM62" i="3" s="1"/>
  <c r="EK63" i="3"/>
  <c r="EM63" i="3" s="1"/>
  <c r="EK64" i="3"/>
  <c r="EM64" i="3" s="1"/>
  <c r="EK65" i="3"/>
  <c r="EM65" i="3" s="1"/>
  <c r="EK66" i="3"/>
  <c r="EM66" i="3" s="1"/>
  <c r="EK67" i="3"/>
  <c r="EK68" i="3"/>
  <c r="EK69" i="3"/>
  <c r="EK70" i="3"/>
  <c r="EM70" i="3" s="1"/>
  <c r="EK71" i="3"/>
  <c r="EM71" i="3" s="1"/>
  <c r="EK72" i="3"/>
  <c r="EK73" i="3"/>
  <c r="EM73" i="3" s="1"/>
  <c r="EQ50" i="3"/>
  <c r="EQ51" i="3"/>
  <c r="EQ52" i="3"/>
  <c r="EQ53" i="3"/>
  <c r="EQ54" i="3"/>
  <c r="EQ55" i="3"/>
  <c r="EQ56" i="3"/>
  <c r="EQ57" i="3"/>
  <c r="EQ58" i="3"/>
  <c r="EQ59" i="3"/>
  <c r="EQ60" i="3"/>
  <c r="EQ61" i="3"/>
  <c r="EQ62" i="3"/>
  <c r="EQ63" i="3"/>
  <c r="EQ64" i="3"/>
  <c r="EQ65" i="3"/>
  <c r="EQ66" i="3"/>
  <c r="EQ67" i="3"/>
  <c r="EQ68" i="3"/>
  <c r="EQ69" i="3"/>
  <c r="EQ70" i="3"/>
  <c r="EQ71" i="3"/>
  <c r="EQ72" i="3"/>
  <c r="EQ73" i="3"/>
  <c r="ER50" i="3"/>
  <c r="ET50" i="3" s="1"/>
  <c r="ER51" i="3"/>
  <c r="ER52" i="3"/>
  <c r="ER53" i="3"/>
  <c r="ER54" i="3"/>
  <c r="ER55" i="3"/>
  <c r="ET55" i="3" s="1"/>
  <c r="ER56" i="3"/>
  <c r="ER57" i="3"/>
  <c r="ET57" i="3" s="1"/>
  <c r="ER58" i="3"/>
  <c r="ET58" i="3" s="1"/>
  <c r="ER59" i="3"/>
  <c r="ET59" i="3" s="1"/>
  <c r="ER60" i="3"/>
  <c r="ET60" i="3" s="1"/>
  <c r="ER61" i="3"/>
  <c r="ET61" i="3" s="1"/>
  <c r="ER62" i="3"/>
  <c r="ET62" i="3" s="1"/>
  <c r="ER63" i="3"/>
  <c r="ET63" i="3" s="1"/>
  <c r="ER64" i="3"/>
  <c r="ET64" i="3" s="1"/>
  <c r="ER65" i="3"/>
  <c r="ET65" i="3" s="1"/>
  <c r="ER66" i="3"/>
  <c r="ET66" i="3" s="1"/>
  <c r="ER67" i="3"/>
  <c r="ER68" i="3"/>
  <c r="ER69" i="3"/>
  <c r="ER70" i="3"/>
  <c r="ET70" i="3" s="1"/>
  <c r="ER71" i="3"/>
  <c r="ER72" i="3"/>
  <c r="ET72" i="3" s="1"/>
  <c r="ER73" i="3"/>
  <c r="ET73" i="3" s="1"/>
  <c r="AC50" i="3" l="1"/>
  <c r="EU65" i="3"/>
  <c r="EU58" i="3"/>
  <c r="EU27" i="3"/>
  <c r="EU50" i="3"/>
  <c r="EU57" i="3"/>
  <c r="EU64" i="3"/>
  <c r="EU35" i="3"/>
  <c r="EU66" i="3"/>
  <c r="EU73" i="3"/>
  <c r="EU62" i="3"/>
  <c r="EU60" i="3"/>
  <c r="EU59" i="3"/>
  <c r="EU63" i="3"/>
  <c r="EU61" i="3"/>
  <c r="N6" i="3"/>
  <c r="CS6" i="3"/>
  <c r="CT6" i="3" s="1"/>
  <c r="N7" i="3"/>
  <c r="CS7" i="3"/>
  <c r="CT7" i="3" s="1"/>
  <c r="AC62" i="3"/>
  <c r="AC51" i="3"/>
  <c r="AC59" i="3"/>
  <c r="AC65" i="3"/>
  <c r="AC31" i="3"/>
  <c r="AC55" i="3"/>
  <c r="AC38" i="3"/>
  <c r="AC68" i="3"/>
  <c r="AC34" i="3"/>
  <c r="AC58" i="3"/>
  <c r="AC57" i="3"/>
  <c r="AC75" i="3"/>
  <c r="AC74" i="3"/>
  <c r="AC60" i="3"/>
  <c r="AC26" i="3"/>
  <c r="AC72" i="3"/>
  <c r="AC56" i="3"/>
  <c r="AC71" i="3"/>
  <c r="AC54" i="3"/>
  <c r="AF38" i="3"/>
  <c r="AF34" i="3"/>
  <c r="AF60" i="3"/>
  <c r="AF59" i="3"/>
  <c r="AF58" i="3"/>
  <c r="AF31" i="3"/>
  <c r="AF65" i="3"/>
  <c r="AF57" i="3"/>
  <c r="AF72" i="3"/>
  <c r="AF56" i="3"/>
  <c r="AF71" i="3"/>
  <c r="AF55" i="3"/>
  <c r="AF54" i="3"/>
  <c r="AF26" i="3"/>
  <c r="AF75" i="3"/>
  <c r="AF62" i="3"/>
  <c r="AF68" i="3"/>
  <c r="AF74" i="3"/>
  <c r="AF51" i="3"/>
  <c r="AF50" i="3"/>
  <c r="DQ65" i="3"/>
  <c r="BD72" i="3"/>
  <c r="BD56" i="3"/>
  <c r="ES30" i="3"/>
  <c r="EL27" i="3"/>
  <c r="EE27" i="3"/>
  <c r="DQ35" i="3"/>
  <c r="DQ31" i="3"/>
  <c r="DE38" i="3"/>
  <c r="DE30" i="3"/>
  <c r="CX30" i="3"/>
  <c r="CM30" i="3"/>
  <c r="CH25" i="3"/>
  <c r="BX35" i="3"/>
  <c r="BN26" i="3"/>
  <c r="BI38" i="3"/>
  <c r="BD31" i="3"/>
  <c r="AW27" i="3"/>
  <c r="AP31" i="3"/>
  <c r="ES75" i="3"/>
  <c r="DQ75" i="3"/>
  <c r="DE75" i="3"/>
  <c r="CM75" i="3"/>
  <c r="BS75" i="3"/>
  <c r="AW75" i="3"/>
  <c r="DL38" i="3"/>
  <c r="BN27" i="3"/>
  <c r="BX58" i="3"/>
  <c r="BD57" i="3"/>
  <c r="EL30" i="3"/>
  <c r="DQ38" i="3"/>
  <c r="CM25" i="3"/>
  <c r="BS28" i="3"/>
  <c r="BI50" i="3"/>
  <c r="EL65" i="3"/>
  <c r="CX27" i="3"/>
  <c r="CX26" i="3"/>
  <c r="CH34" i="3"/>
  <c r="BI63" i="3"/>
  <c r="ES27" i="3"/>
  <c r="DE27" i="3"/>
  <c r="CM35" i="3"/>
  <c r="CC60" i="3"/>
  <c r="CX38" i="3"/>
  <c r="CC25" i="3"/>
  <c r="DX63" i="3"/>
  <c r="CM34" i="3"/>
  <c r="BI32" i="3"/>
  <c r="ES26" i="3"/>
  <c r="EL25" i="3"/>
  <c r="DQ34" i="3"/>
  <c r="DL34" i="3"/>
  <c r="CX33" i="3"/>
  <c r="CM31" i="3"/>
  <c r="CC31" i="3"/>
  <c r="BS30" i="3"/>
  <c r="CH75" i="3"/>
  <c r="BN75" i="3"/>
  <c r="AP75" i="3"/>
  <c r="DE63" i="3"/>
  <c r="CC67" i="3"/>
  <c r="CC51" i="3"/>
  <c r="AP66" i="3"/>
  <c r="AP50" i="3"/>
  <c r="DE74" i="3"/>
  <c r="EL59" i="3"/>
  <c r="DL59" i="3"/>
  <c r="CC27" i="3"/>
  <c r="BS26" i="3"/>
  <c r="CC75" i="3"/>
  <c r="BI75" i="3"/>
  <c r="BS61" i="3"/>
  <c r="AW58" i="3"/>
  <c r="EE34" i="3"/>
  <c r="CH27" i="3"/>
  <c r="BX25" i="3"/>
  <c r="AW37" i="3"/>
  <c r="AP37" i="3"/>
  <c r="CC74" i="3"/>
  <c r="BI74" i="3"/>
  <c r="DE60" i="3"/>
  <c r="BN65" i="3"/>
  <c r="DX66" i="3"/>
  <c r="DX50" i="3"/>
  <c r="EE63" i="3"/>
  <c r="CM65" i="3"/>
  <c r="EE31" i="3"/>
  <c r="CX25" i="3"/>
  <c r="BX38" i="3"/>
  <c r="BS38" i="3"/>
  <c r="BD35" i="3"/>
  <c r="BX75" i="3"/>
  <c r="BD75" i="3"/>
  <c r="ES33" i="3"/>
  <c r="DQ25" i="3"/>
  <c r="DL25" i="3"/>
  <c r="CM38" i="3"/>
  <c r="BN36" i="3"/>
  <c r="BX74" i="3"/>
  <c r="BD74" i="3"/>
  <c r="EL31" i="3"/>
  <c r="CH38" i="3"/>
  <c r="BX36" i="3"/>
  <c r="BN35" i="3"/>
  <c r="DL74" i="3"/>
  <c r="DX34" i="3"/>
  <c r="DX31" i="3"/>
  <c r="DX30" i="3"/>
  <c r="DX27" i="3"/>
  <c r="DX75" i="3"/>
  <c r="BD36" i="3"/>
  <c r="BX37" i="3"/>
  <c r="EE37" i="3"/>
  <c r="BX30" i="3"/>
  <c r="DL29" i="3"/>
  <c r="CC29" i="3"/>
  <c r="DQ30" i="3"/>
  <c r="DL30" i="3"/>
  <c r="DE29" i="3"/>
  <c r="BN29" i="3"/>
  <c r="BI30" i="3"/>
  <c r="CX29" i="3"/>
  <c r="S58" i="3"/>
  <c r="O58" i="3" s="1"/>
  <c r="S34" i="3"/>
  <c r="O34" i="3" s="1"/>
  <c r="EE64" i="3"/>
  <c r="BD67" i="3"/>
  <c r="BD51" i="3"/>
  <c r="ES38" i="3"/>
  <c r="EL26" i="3"/>
  <c r="DX32" i="3"/>
  <c r="DM30" i="3"/>
  <c r="DE25" i="3"/>
  <c r="CC26" i="3"/>
  <c r="BS34" i="3"/>
  <c r="BN38" i="3"/>
  <c r="BI27" i="3"/>
  <c r="AW38" i="3"/>
  <c r="AP26" i="3"/>
  <c r="S31" i="3"/>
  <c r="O31" i="3" s="1"/>
  <c r="ES74" i="3"/>
  <c r="DQ74" i="3"/>
  <c r="ES65" i="3"/>
  <c r="CX59" i="3"/>
  <c r="CH65" i="3"/>
  <c r="BS60" i="3"/>
  <c r="AW61" i="3"/>
  <c r="BJ30" i="3"/>
  <c r="EE61" i="3"/>
  <c r="AW60" i="3"/>
  <c r="ES35" i="3"/>
  <c r="EE26" i="3"/>
  <c r="DQ33" i="3"/>
  <c r="CM33" i="3"/>
  <c r="CH36" i="3"/>
  <c r="BX27" i="3"/>
  <c r="BS31" i="3"/>
  <c r="BD30" i="3"/>
  <c r="AW35" i="3"/>
  <c r="EL75" i="3"/>
  <c r="CM74" i="3"/>
  <c r="BS74" i="3"/>
  <c r="AW74" i="3"/>
  <c r="DQ62" i="3"/>
  <c r="BS58" i="3"/>
  <c r="AP72" i="3"/>
  <c r="AP56" i="3"/>
  <c r="ES34" i="3"/>
  <c r="EL38" i="3"/>
  <c r="EE25" i="3"/>
  <c r="DQ32" i="3"/>
  <c r="DL35" i="3"/>
  <c r="DF29" i="3"/>
  <c r="EU29" i="3" s="1"/>
  <c r="CM32" i="3"/>
  <c r="CH37" i="3"/>
  <c r="CH35" i="3"/>
  <c r="CD29" i="3"/>
  <c r="CC38" i="3"/>
  <c r="BX26" i="3"/>
  <c r="BD29" i="3"/>
  <c r="AW34" i="3"/>
  <c r="AP38" i="3"/>
  <c r="EL74" i="3"/>
  <c r="DL75" i="3"/>
  <c r="BE36" i="3"/>
  <c r="ES32" i="3"/>
  <c r="DX26" i="3"/>
  <c r="DL33" i="3"/>
  <c r="DE35" i="3"/>
  <c r="CY29" i="3"/>
  <c r="CH33" i="3"/>
  <c r="BY30" i="3"/>
  <c r="BI37" i="3"/>
  <c r="BD27" i="3"/>
  <c r="AW32" i="3"/>
  <c r="AP36" i="3"/>
  <c r="EL64" i="3"/>
  <c r="DE61" i="3"/>
  <c r="BX62" i="3"/>
  <c r="BN64" i="3"/>
  <c r="BD60" i="3"/>
  <c r="ES31" i="3"/>
  <c r="EL35" i="3"/>
  <c r="EE38" i="3"/>
  <c r="DX25" i="3"/>
  <c r="DL32" i="3"/>
  <c r="DE34" i="3"/>
  <c r="CH32" i="3"/>
  <c r="CC35" i="3"/>
  <c r="BS27" i="3"/>
  <c r="BN31" i="3"/>
  <c r="BD26" i="3"/>
  <c r="AW31" i="3"/>
  <c r="AP35" i="3"/>
  <c r="EE75" i="3"/>
  <c r="CH74" i="3"/>
  <c r="BN74" i="3"/>
  <c r="AP74" i="3"/>
  <c r="EL34" i="3"/>
  <c r="DL31" i="3"/>
  <c r="DE33" i="3"/>
  <c r="CH31" i="3"/>
  <c r="CC34" i="3"/>
  <c r="BN30" i="3"/>
  <c r="BI35" i="3"/>
  <c r="AW30" i="3"/>
  <c r="AP34" i="3"/>
  <c r="EE74" i="3"/>
  <c r="EL62" i="3"/>
  <c r="DX65" i="3"/>
  <c r="CH58" i="3"/>
  <c r="BN62" i="3"/>
  <c r="AP51" i="3"/>
  <c r="EL33" i="3"/>
  <c r="DE32" i="3"/>
  <c r="CX35" i="3"/>
  <c r="CM27" i="3"/>
  <c r="CH30" i="3"/>
  <c r="CC33" i="3"/>
  <c r="BI34" i="3"/>
  <c r="AW29" i="3"/>
  <c r="EL32" i="3"/>
  <c r="EE35" i="3"/>
  <c r="DX38" i="3"/>
  <c r="DQ26" i="3"/>
  <c r="DE31" i="3"/>
  <c r="CX34" i="3"/>
  <c r="CM26" i="3"/>
  <c r="CC32" i="3"/>
  <c r="AW28" i="3"/>
  <c r="AP32" i="3"/>
  <c r="DL65" i="3"/>
  <c r="CM62" i="3"/>
  <c r="DX35" i="3"/>
  <c r="EE33" i="3"/>
  <c r="DR30" i="3"/>
  <c r="DL27" i="3"/>
  <c r="CX32" i="3"/>
  <c r="CC30" i="3"/>
  <c r="BX34" i="3"/>
  <c r="BI31" i="3"/>
  <c r="BD37" i="3"/>
  <c r="AW26" i="3"/>
  <c r="AP30" i="3"/>
  <c r="DX74" i="3"/>
  <c r="CX75" i="3"/>
  <c r="BX56" i="3"/>
  <c r="AP63" i="3"/>
  <c r="ES25" i="3"/>
  <c r="EE32" i="3"/>
  <c r="DX37" i="3"/>
  <c r="DL26" i="3"/>
  <c r="CX31" i="3"/>
  <c r="CH26" i="3"/>
  <c r="AP29" i="3"/>
  <c r="CX74" i="3"/>
  <c r="DX60" i="3"/>
  <c r="BS64" i="3"/>
  <c r="DL61" i="3"/>
  <c r="CX62" i="3"/>
  <c r="BI72" i="3"/>
  <c r="BI56" i="3"/>
  <c r="EE30" i="3"/>
  <c r="DX33" i="3"/>
  <c r="DQ27" i="3"/>
  <c r="DE26" i="3"/>
  <c r="BX31" i="3"/>
  <c r="BS35" i="3"/>
  <c r="BD34" i="3"/>
  <c r="AP27" i="3"/>
  <c r="S75" i="3"/>
  <c r="O75" i="3" s="1"/>
  <c r="S74" i="3"/>
  <c r="O74" i="3" s="1"/>
  <c r="CR75" i="3"/>
  <c r="CR74" i="3"/>
  <c r="S38" i="3"/>
  <c r="O38" i="3" s="1"/>
  <c r="R33" i="3"/>
  <c r="AC33" i="3" s="1"/>
  <c r="R29" i="3"/>
  <c r="AC29" i="3" s="1"/>
  <c r="EL37" i="3"/>
  <c r="DL37" i="3"/>
  <c r="CM29" i="3"/>
  <c r="BS29" i="3"/>
  <c r="BS37" i="3"/>
  <c r="BI29" i="3"/>
  <c r="ES36" i="3"/>
  <c r="DQ29" i="3"/>
  <c r="BX29" i="3"/>
  <c r="R30" i="3"/>
  <c r="AC30" i="3" s="1"/>
  <c r="CC37" i="3"/>
  <c r="CH29" i="3"/>
  <c r="EE29" i="3"/>
  <c r="DE37" i="3"/>
  <c r="CM37" i="3"/>
  <c r="BN37" i="3"/>
  <c r="ES28" i="3"/>
  <c r="DQ37" i="3"/>
  <c r="DX29" i="3"/>
  <c r="CX37" i="3"/>
  <c r="EL29" i="3"/>
  <c r="R35" i="3"/>
  <c r="AC35" i="3" s="1"/>
  <c r="R32" i="3"/>
  <c r="AC32" i="3" s="1"/>
  <c r="R27" i="3"/>
  <c r="AC27" i="3" s="1"/>
  <c r="R36" i="3"/>
  <c r="AC36" i="3" s="1"/>
  <c r="S26" i="3"/>
  <c r="O26" i="3" s="1"/>
  <c r="R37" i="3"/>
  <c r="AC37" i="3" s="1"/>
  <c r="R25" i="3"/>
  <c r="AC25" i="3" s="1"/>
  <c r="ES29" i="3"/>
  <c r="EL36" i="3"/>
  <c r="EE28" i="3"/>
  <c r="DX36" i="3"/>
  <c r="DQ28" i="3"/>
  <c r="DL36" i="3"/>
  <c r="DE28" i="3"/>
  <c r="CX36" i="3"/>
  <c r="CM36" i="3"/>
  <c r="CH28" i="3"/>
  <c r="CC36" i="3"/>
  <c r="BX28" i="3"/>
  <c r="BS36" i="3"/>
  <c r="BN28" i="3"/>
  <c r="BI36" i="3"/>
  <c r="BD28" i="3"/>
  <c r="AW36" i="3"/>
  <c r="AP28" i="3"/>
  <c r="ET28" i="3"/>
  <c r="EU28" i="3" s="1"/>
  <c r="R28" i="3"/>
  <c r="AC28" i="3" s="1"/>
  <c r="BS33" i="3"/>
  <c r="BN25" i="3"/>
  <c r="BI33" i="3"/>
  <c r="BD25" i="3"/>
  <c r="AW33" i="3"/>
  <c r="AP25" i="3"/>
  <c r="ES37" i="3"/>
  <c r="EL28" i="3"/>
  <c r="EE36" i="3"/>
  <c r="DX28" i="3"/>
  <c r="DQ36" i="3"/>
  <c r="DL28" i="3"/>
  <c r="DE36" i="3"/>
  <c r="CX28" i="3"/>
  <c r="CM28" i="3"/>
  <c r="CC28" i="3"/>
  <c r="BI28" i="3"/>
  <c r="ET36" i="3"/>
  <c r="BN34" i="3"/>
  <c r="BI26" i="3"/>
  <c r="BX33" i="3"/>
  <c r="BS25" i="3"/>
  <c r="BN33" i="3"/>
  <c r="BI25" i="3"/>
  <c r="BD33" i="3"/>
  <c r="AW25" i="3"/>
  <c r="AP33" i="3"/>
  <c r="ES66" i="3"/>
  <c r="ES50" i="3"/>
  <c r="EL60" i="3"/>
  <c r="EE59" i="3"/>
  <c r="DX61" i="3"/>
  <c r="DQ63" i="3"/>
  <c r="DL50" i="3"/>
  <c r="DL66" i="3"/>
  <c r="CM63" i="3"/>
  <c r="BS56" i="3"/>
  <c r="BN60" i="3"/>
  <c r="BI64" i="3"/>
  <c r="AW72" i="3"/>
  <c r="AW56" i="3"/>
  <c r="ES64" i="3"/>
  <c r="DX59" i="3"/>
  <c r="DQ61" i="3"/>
  <c r="DL64" i="3"/>
  <c r="DE66" i="3"/>
  <c r="DE50" i="3"/>
  <c r="CM61" i="3"/>
  <c r="CH64" i="3"/>
  <c r="BN58" i="3"/>
  <c r="BI62" i="3"/>
  <c r="AP62" i="3"/>
  <c r="ES63" i="3"/>
  <c r="DQ60" i="3"/>
  <c r="DL63" i="3"/>
  <c r="DE65" i="3"/>
  <c r="CM60" i="3"/>
  <c r="CH63" i="3"/>
  <c r="CC65" i="3"/>
  <c r="BX67" i="3"/>
  <c r="BX51" i="3"/>
  <c r="BI61" i="3"/>
  <c r="BD65" i="3"/>
  <c r="AP61" i="3"/>
  <c r="ES62" i="3"/>
  <c r="DQ59" i="3"/>
  <c r="DL62" i="3"/>
  <c r="DE64" i="3"/>
  <c r="CX66" i="3"/>
  <c r="CX50" i="3"/>
  <c r="CM59" i="3"/>
  <c r="CH62" i="3"/>
  <c r="CC64" i="3"/>
  <c r="BN56" i="3"/>
  <c r="BI60" i="3"/>
  <c r="BD64" i="3"/>
  <c r="AP60" i="3"/>
  <c r="ES61" i="3"/>
  <c r="CX65" i="3"/>
  <c r="CM58" i="3"/>
  <c r="CH61" i="3"/>
  <c r="CC63" i="3"/>
  <c r="BX65" i="3"/>
  <c r="BS67" i="3"/>
  <c r="BS51" i="3"/>
  <c r="BD63" i="3"/>
  <c r="AW67" i="3"/>
  <c r="AW51" i="3"/>
  <c r="ES60" i="3"/>
  <c r="DL60" i="3"/>
  <c r="DE62" i="3"/>
  <c r="CX64" i="3"/>
  <c r="CH60" i="3"/>
  <c r="CC62" i="3"/>
  <c r="BX64" i="3"/>
  <c r="BI58" i="3"/>
  <c r="BD62" i="3"/>
  <c r="AW66" i="3"/>
  <c r="AW50" i="3"/>
  <c r="AP58" i="3"/>
  <c r="ES59" i="3"/>
  <c r="CX63" i="3"/>
  <c r="CH59" i="3"/>
  <c r="CC61" i="3"/>
  <c r="BX63" i="3"/>
  <c r="BS65" i="3"/>
  <c r="BI57" i="3"/>
  <c r="BD61" i="3"/>
  <c r="AW65" i="3"/>
  <c r="ES58" i="3"/>
  <c r="EE66" i="3"/>
  <c r="EE50" i="3"/>
  <c r="DE59" i="3"/>
  <c r="CX61" i="3"/>
  <c r="BX61" i="3"/>
  <c r="BS63" i="3"/>
  <c r="BN67" i="3"/>
  <c r="BN51" i="3"/>
  <c r="AW63" i="3"/>
  <c r="EL66" i="3"/>
  <c r="EL50" i="3"/>
  <c r="EE65" i="3"/>
  <c r="CX60" i="3"/>
  <c r="CC58" i="3"/>
  <c r="BX60" i="3"/>
  <c r="BS62" i="3"/>
  <c r="BD58" i="3"/>
  <c r="AW62" i="3"/>
  <c r="EL63" i="3"/>
  <c r="EE62" i="3"/>
  <c r="DX64" i="3"/>
  <c r="DQ66" i="3"/>
  <c r="DQ50" i="3"/>
  <c r="BN63" i="3"/>
  <c r="BI67" i="3"/>
  <c r="BI51" i="3"/>
  <c r="AP67" i="3"/>
  <c r="EL61" i="3"/>
  <c r="EE60" i="3"/>
  <c r="DX62" i="3"/>
  <c r="DQ64" i="3"/>
  <c r="CM64" i="3"/>
  <c r="CH67" i="3"/>
  <c r="CH51" i="3"/>
  <c r="BN61" i="3"/>
  <c r="BI65" i="3"/>
  <c r="AP65" i="3"/>
  <c r="S56" i="3"/>
  <c r="O56" i="3" s="1"/>
  <c r="CC59" i="3"/>
  <c r="CM53" i="3"/>
  <c r="CH56" i="3"/>
  <c r="EE52" i="3"/>
  <c r="S54" i="3"/>
  <c r="O54" i="3" s="1"/>
  <c r="AW59" i="3"/>
  <c r="BI68" i="3"/>
  <c r="BD53" i="3"/>
  <c r="BN59" i="3"/>
  <c r="BD52" i="3"/>
  <c r="BS53" i="3"/>
  <c r="BN72" i="3"/>
  <c r="DL52" i="3"/>
  <c r="CM51" i="3"/>
  <c r="CH55" i="3"/>
  <c r="DQ58" i="3"/>
  <c r="DX53" i="3"/>
  <c r="DQ57" i="3"/>
  <c r="BX59" i="3"/>
  <c r="ES67" i="3"/>
  <c r="DX52" i="3"/>
  <c r="DQ56" i="3"/>
  <c r="BN66" i="3"/>
  <c r="ES51" i="3"/>
  <c r="AW64" i="3"/>
  <c r="DQ52" i="3"/>
  <c r="CM57" i="3"/>
  <c r="DL56" i="3"/>
  <c r="BI66" i="3"/>
  <c r="AP73" i="3"/>
  <c r="AP57" i="3"/>
  <c r="EE54" i="3"/>
  <c r="EL54" i="3"/>
  <c r="CH72" i="3"/>
  <c r="CM66" i="3"/>
  <c r="DL51" i="3"/>
  <c r="CX58" i="3"/>
  <c r="CM52" i="3"/>
  <c r="CH57" i="3"/>
  <c r="DQ73" i="3"/>
  <c r="BD68" i="3"/>
  <c r="CX53" i="3"/>
  <c r="BN53" i="3"/>
  <c r="CH66" i="3"/>
  <c r="BS59" i="3"/>
  <c r="EE55" i="3"/>
  <c r="BI70" i="3"/>
  <c r="S59" i="3"/>
  <c r="O59" i="3" s="1"/>
  <c r="EE53" i="3"/>
  <c r="CM56" i="3"/>
  <c r="EL51" i="3"/>
  <c r="EE51" i="3"/>
  <c r="DX58" i="3"/>
  <c r="BS69" i="3"/>
  <c r="R73" i="3"/>
  <c r="AC73" i="3" s="1"/>
  <c r="ES68" i="3"/>
  <c r="ES52" i="3"/>
  <c r="ES56" i="3"/>
  <c r="ES71" i="3"/>
  <c r="EL55" i="3"/>
  <c r="EL67" i="3"/>
  <c r="EE72" i="3"/>
  <c r="EE56" i="3"/>
  <c r="EE71" i="3"/>
  <c r="EE70" i="3"/>
  <c r="EE69" i="3"/>
  <c r="EE68" i="3"/>
  <c r="DX68" i="3"/>
  <c r="DQ55" i="3"/>
  <c r="DQ69" i="3"/>
  <c r="DQ53" i="3"/>
  <c r="DQ68" i="3"/>
  <c r="DL73" i="3"/>
  <c r="DL57" i="3"/>
  <c r="DL69" i="3"/>
  <c r="DL68" i="3"/>
  <c r="DL67" i="3"/>
  <c r="DE55" i="3"/>
  <c r="DE72" i="3"/>
  <c r="DE71" i="3"/>
  <c r="CX71" i="3"/>
  <c r="CX55" i="3"/>
  <c r="CX70" i="3"/>
  <c r="CX68" i="3"/>
  <c r="CX52" i="3"/>
  <c r="CM67" i="3"/>
  <c r="CM73" i="3"/>
  <c r="CM72" i="3"/>
  <c r="CM68" i="3"/>
  <c r="CM50" i="3"/>
  <c r="CH73" i="3"/>
  <c r="CH50" i="3"/>
  <c r="CC55" i="3"/>
  <c r="CC52" i="3"/>
  <c r="CC70" i="3"/>
  <c r="CC69" i="3"/>
  <c r="CC53" i="3"/>
  <c r="BX52" i="3"/>
  <c r="BS73" i="3"/>
  <c r="BS57" i="3"/>
  <c r="BS72" i="3"/>
  <c r="BS70" i="3"/>
  <c r="BN55" i="3"/>
  <c r="BN71" i="3"/>
  <c r="BN70" i="3"/>
  <c r="BN52" i="3"/>
  <c r="BN50" i="3"/>
  <c r="BI52" i="3"/>
  <c r="BI71" i="3"/>
  <c r="BI55" i="3"/>
  <c r="BD55" i="3"/>
  <c r="BD66" i="3"/>
  <c r="BD70" i="3"/>
  <c r="EE67" i="3"/>
  <c r="DE73" i="3"/>
  <c r="DE57" i="3"/>
  <c r="CC66" i="3"/>
  <c r="CC50" i="3"/>
  <c r="BS71" i="3"/>
  <c r="DX73" i="3"/>
  <c r="DX57" i="3"/>
  <c r="DQ67" i="3"/>
  <c r="DQ51" i="3"/>
  <c r="DE70" i="3"/>
  <c r="CH70" i="3"/>
  <c r="BX73" i="3"/>
  <c r="BX57" i="3"/>
  <c r="BS52" i="3"/>
  <c r="AW73" i="3"/>
  <c r="AW57" i="3"/>
  <c r="AP71" i="3"/>
  <c r="AP55" i="3"/>
  <c r="EL58" i="3"/>
  <c r="DX72" i="3"/>
  <c r="DX56" i="3"/>
  <c r="CH53" i="3"/>
  <c r="BX72" i="3"/>
  <c r="EL73" i="3"/>
  <c r="EL57" i="3"/>
  <c r="DX71" i="3"/>
  <c r="DX55" i="3"/>
  <c r="DE68" i="3"/>
  <c r="DE52" i="3"/>
  <c r="BX71" i="3"/>
  <c r="BS66" i="3"/>
  <c r="BS50" i="3"/>
  <c r="ES73" i="3"/>
  <c r="ES57" i="3"/>
  <c r="EL72" i="3"/>
  <c r="EL56" i="3"/>
  <c r="DL58" i="3"/>
  <c r="DE67" i="3"/>
  <c r="DE51" i="3"/>
  <c r="BX70" i="3"/>
  <c r="BX69" i="3"/>
  <c r="BI59" i="3"/>
  <c r="BD59" i="3"/>
  <c r="AW68" i="3"/>
  <c r="AW52" i="3"/>
  <c r="EL69" i="3"/>
  <c r="EE58" i="3"/>
  <c r="DX67" i="3"/>
  <c r="DX51" i="3"/>
  <c r="DL71" i="3"/>
  <c r="DL55" i="3"/>
  <c r="CX73" i="3"/>
  <c r="CX57" i="3"/>
  <c r="CC73" i="3"/>
  <c r="CC57" i="3"/>
  <c r="BI73" i="3"/>
  <c r="BD73" i="3"/>
  <c r="ES54" i="3"/>
  <c r="EL53" i="3"/>
  <c r="ES69" i="3"/>
  <c r="ES53" i="3"/>
  <c r="EL68" i="3"/>
  <c r="EL52" i="3"/>
  <c r="EE73" i="3"/>
  <c r="EE57" i="3"/>
  <c r="DL54" i="3"/>
  <c r="CX56" i="3"/>
  <c r="CM70" i="3"/>
  <c r="CM54" i="3"/>
  <c r="CC72" i="3"/>
  <c r="CC56" i="3"/>
  <c r="BX66" i="3"/>
  <c r="BX50" i="3"/>
  <c r="BN73" i="3"/>
  <c r="BN57" i="3"/>
  <c r="AP64" i="3"/>
  <c r="DQ71" i="3"/>
  <c r="DE58" i="3"/>
  <c r="CX67" i="3"/>
  <c r="CX51" i="3"/>
  <c r="AW71" i="3"/>
  <c r="AW55" i="3"/>
  <c r="AW70" i="3"/>
  <c r="AW54" i="3"/>
  <c r="AW69" i="3"/>
  <c r="AP70" i="3"/>
  <c r="AP54" i="3"/>
  <c r="AP68" i="3"/>
  <c r="AP52" i="3"/>
  <c r="AP59" i="3"/>
  <c r="BY71" i="3"/>
  <c r="BO55" i="3"/>
  <c r="BT53" i="3"/>
  <c r="BE53" i="3"/>
  <c r="AX69" i="3"/>
  <c r="EM69" i="3"/>
  <c r="EF53" i="3"/>
  <c r="DY53" i="3"/>
  <c r="EF56" i="3"/>
  <c r="BJ71" i="3"/>
  <c r="BE55" i="3"/>
  <c r="AX71" i="3"/>
  <c r="ET56" i="3"/>
  <c r="EM72" i="3"/>
  <c r="DY56" i="3"/>
  <c r="BT71" i="3"/>
  <c r="BJ55" i="3"/>
  <c r="EF71" i="3"/>
  <c r="ET69" i="3"/>
  <c r="EF69" i="3"/>
  <c r="CN52" i="3"/>
  <c r="BT52" i="3"/>
  <c r="DM56" i="3"/>
  <c r="DF72" i="3"/>
  <c r="CD55" i="3"/>
  <c r="BO71" i="3"/>
  <c r="BT69" i="3"/>
  <c r="BO53" i="3"/>
  <c r="DR53" i="3"/>
  <c r="DM69" i="3"/>
  <c r="EM56" i="3"/>
  <c r="AX55" i="3"/>
  <c r="EF55" i="3"/>
  <c r="EM54" i="3"/>
  <c r="EM53" i="3"/>
  <c r="ET67" i="3"/>
  <c r="ET51" i="3"/>
  <c r="EM51" i="3"/>
  <c r="EF72" i="3"/>
  <c r="DY72" i="3"/>
  <c r="DR56" i="3"/>
  <c r="CY56" i="3"/>
  <c r="CI55" i="3"/>
  <c r="EM55" i="3"/>
  <c r="EF54" i="3"/>
  <c r="DM54" i="3"/>
  <c r="DF70" i="3"/>
  <c r="CY70" i="3"/>
  <c r="CD69" i="3"/>
  <c r="CD52" i="3"/>
  <c r="BY52" i="3"/>
  <c r="ET52" i="3"/>
  <c r="EM68" i="3"/>
  <c r="S72" i="3"/>
  <c r="O72" i="3" s="1"/>
  <c r="ET54" i="3"/>
  <c r="EF70" i="3"/>
  <c r="CD53" i="3"/>
  <c r="ET53" i="3"/>
  <c r="DQ72" i="3"/>
  <c r="DL72" i="3"/>
  <c r="DE56" i="3"/>
  <c r="CX72" i="3"/>
  <c r="CM71" i="3"/>
  <c r="CM55" i="3"/>
  <c r="CH71" i="3"/>
  <c r="CC71" i="3"/>
  <c r="BX55" i="3"/>
  <c r="BS55" i="3"/>
  <c r="BD71" i="3"/>
  <c r="EL71" i="3"/>
  <c r="ET71" i="3"/>
  <c r="CN53" i="3"/>
  <c r="CI53" i="3"/>
  <c r="BY69" i="3"/>
  <c r="DR69" i="3"/>
  <c r="CY53" i="3"/>
  <c r="CN68" i="3"/>
  <c r="EM52" i="3"/>
  <c r="EF67" i="3"/>
  <c r="ES72" i="3"/>
  <c r="ES55" i="3"/>
  <c r="ES70" i="3"/>
  <c r="EL70" i="3"/>
  <c r="DX70" i="3"/>
  <c r="DX54" i="3"/>
  <c r="DQ70" i="3"/>
  <c r="DQ54" i="3"/>
  <c r="DL70" i="3"/>
  <c r="DE54" i="3"/>
  <c r="CX54" i="3"/>
  <c r="CM69" i="3"/>
  <c r="CH69" i="3"/>
  <c r="BX53" i="3"/>
  <c r="BN69" i="3"/>
  <c r="BI69" i="3"/>
  <c r="BI53" i="3"/>
  <c r="BD69" i="3"/>
  <c r="AW53" i="3"/>
  <c r="AP69" i="3"/>
  <c r="AP53" i="3"/>
  <c r="DX69" i="3"/>
  <c r="DL53" i="3"/>
  <c r="DE69" i="3"/>
  <c r="DE53" i="3"/>
  <c r="CX69" i="3"/>
  <c r="CH68" i="3"/>
  <c r="CH52" i="3"/>
  <c r="ET68" i="3"/>
  <c r="EM67" i="3"/>
  <c r="R61" i="3"/>
  <c r="AC61" i="3" s="1"/>
  <c r="R66" i="3"/>
  <c r="AC66" i="3" s="1"/>
  <c r="R63" i="3"/>
  <c r="AC63" i="3" s="1"/>
  <c r="S57" i="3"/>
  <c r="O57" i="3" s="1"/>
  <c r="R67" i="3"/>
  <c r="AC67" i="3" s="1"/>
  <c r="S68" i="3"/>
  <c r="O68" i="3" s="1"/>
  <c r="S62" i="3"/>
  <c r="O62" i="3" s="1"/>
  <c r="R53" i="3"/>
  <c r="AC53" i="3" s="1"/>
  <c r="R69" i="3"/>
  <c r="AC69" i="3" s="1"/>
  <c r="S65" i="3"/>
  <c r="O65" i="3" s="1"/>
  <c r="S60" i="3"/>
  <c r="O60" i="3" s="1"/>
  <c r="R70" i="3"/>
  <c r="AC70" i="3" s="1"/>
  <c r="R64" i="3"/>
  <c r="AC64" i="3" s="1"/>
  <c r="S71" i="3"/>
  <c r="O71" i="3" s="1"/>
  <c r="S55" i="3"/>
  <c r="O55" i="3" s="1"/>
  <c r="R52" i="3"/>
  <c r="AC52" i="3" s="1"/>
  <c r="S51" i="3"/>
  <c r="O51" i="3" s="1"/>
  <c r="S50" i="3"/>
  <c r="O50" i="3" s="1"/>
  <c r="S45" i="3"/>
  <c r="O45" i="3" s="1"/>
  <c r="Q45" i="3"/>
  <c r="AB45" i="3" s="1"/>
  <c r="AI45" i="3"/>
  <c r="AK45" i="3" s="1"/>
  <c r="AL45" i="3"/>
  <c r="AN45" i="3"/>
  <c r="AO45" i="3"/>
  <c r="AU45" i="3"/>
  <c r="AV45" i="3"/>
  <c r="AX45" i="3" s="1"/>
  <c r="BB45" i="3"/>
  <c r="BC45" i="3"/>
  <c r="BE45" i="3" s="1"/>
  <c r="BG45" i="3"/>
  <c r="BH45" i="3"/>
  <c r="BJ45" i="3" s="1"/>
  <c r="BL45" i="3"/>
  <c r="BM45" i="3"/>
  <c r="BQ45" i="3"/>
  <c r="BR45" i="3"/>
  <c r="BT45" i="3" s="1"/>
  <c r="BV45" i="3"/>
  <c r="BW45" i="3"/>
  <c r="BY45" i="3" s="1"/>
  <c r="CA45" i="3"/>
  <c r="CB45" i="3"/>
  <c r="CD45" i="3" s="1"/>
  <c r="CF45" i="3"/>
  <c r="CG45" i="3"/>
  <c r="CK45" i="3"/>
  <c r="CL45" i="3"/>
  <c r="CN45" i="3" s="1"/>
  <c r="CP45" i="3"/>
  <c r="CR45" i="3" s="1"/>
  <c r="CV45" i="3"/>
  <c r="CW45" i="3"/>
  <c r="CY45" i="3" s="1"/>
  <c r="DC45" i="3"/>
  <c r="DD45" i="3"/>
  <c r="DJ45" i="3"/>
  <c r="DK45" i="3"/>
  <c r="DM45" i="3" s="1"/>
  <c r="DO45" i="3"/>
  <c r="DP45" i="3"/>
  <c r="DR45" i="3" s="1"/>
  <c r="DV45" i="3"/>
  <c r="DW45" i="3"/>
  <c r="DY45" i="3" s="1"/>
  <c r="EC45" i="3"/>
  <c r="ED45" i="3"/>
  <c r="EJ45" i="3"/>
  <c r="EK45" i="3"/>
  <c r="EM45" i="3" s="1"/>
  <c r="EQ45" i="3"/>
  <c r="ER45" i="3"/>
  <c r="ET45" i="3" s="1"/>
  <c r="EU45" i="3" s="1"/>
  <c r="R42" i="3"/>
  <c r="R43" i="3"/>
  <c r="S44" i="3"/>
  <c r="O44" i="3" s="1"/>
  <c r="Q42" i="3"/>
  <c r="AB42" i="3" s="1"/>
  <c r="Q43" i="3"/>
  <c r="AB43" i="3" s="1"/>
  <c r="Q44" i="3"/>
  <c r="AB44" i="3" s="1"/>
  <c r="AI42" i="3"/>
  <c r="AK42" i="3" s="1"/>
  <c r="AI43" i="3"/>
  <c r="AK43" i="3" s="1"/>
  <c r="AI44" i="3"/>
  <c r="AK44" i="3" s="1"/>
  <c r="AL42" i="3"/>
  <c r="AL43" i="3"/>
  <c r="AL44" i="3"/>
  <c r="AN42" i="3"/>
  <c r="AN43" i="3"/>
  <c r="AN44" i="3"/>
  <c r="AO42" i="3"/>
  <c r="AQ42" i="3" s="1"/>
  <c r="AO43" i="3"/>
  <c r="AQ43" i="3" s="1"/>
  <c r="AO44" i="3"/>
  <c r="AQ44" i="3" s="1"/>
  <c r="AU42" i="3"/>
  <c r="AU43" i="3"/>
  <c r="AU44" i="3"/>
  <c r="AV42" i="3"/>
  <c r="AX42" i="3" s="1"/>
  <c r="AV43" i="3"/>
  <c r="AX43" i="3" s="1"/>
  <c r="AV44" i="3"/>
  <c r="AX44" i="3" s="1"/>
  <c r="BB42" i="3"/>
  <c r="BB43" i="3"/>
  <c r="BB44" i="3"/>
  <c r="BC42" i="3"/>
  <c r="BE42" i="3" s="1"/>
  <c r="BC43" i="3"/>
  <c r="BE43" i="3" s="1"/>
  <c r="BC44" i="3"/>
  <c r="BE44" i="3" s="1"/>
  <c r="BG42" i="3"/>
  <c r="BG43" i="3"/>
  <c r="BG44" i="3"/>
  <c r="BH42" i="3"/>
  <c r="BH43" i="3"/>
  <c r="BJ43" i="3" s="1"/>
  <c r="BH44" i="3"/>
  <c r="BL42" i="3"/>
  <c r="BL43" i="3"/>
  <c r="BL44" i="3"/>
  <c r="BM42" i="3"/>
  <c r="BO42" i="3" s="1"/>
  <c r="BM43" i="3"/>
  <c r="BO43" i="3" s="1"/>
  <c r="BM44" i="3"/>
  <c r="BO44" i="3" s="1"/>
  <c r="BQ42" i="3"/>
  <c r="BQ43" i="3"/>
  <c r="BQ44" i="3"/>
  <c r="BR42" i="3"/>
  <c r="BT42" i="3" s="1"/>
  <c r="BR43" i="3"/>
  <c r="BT43" i="3" s="1"/>
  <c r="BR44" i="3"/>
  <c r="BV42" i="3"/>
  <c r="BV43" i="3"/>
  <c r="BV44" i="3"/>
  <c r="BW42" i="3"/>
  <c r="BY42" i="3" s="1"/>
  <c r="BW43" i="3"/>
  <c r="BY43" i="3" s="1"/>
  <c r="BW44" i="3"/>
  <c r="BY44" i="3" s="1"/>
  <c r="CA42" i="3"/>
  <c r="CA43" i="3"/>
  <c r="CA44" i="3"/>
  <c r="CB42" i="3"/>
  <c r="CD42" i="3" s="1"/>
  <c r="CB43" i="3"/>
  <c r="CD43" i="3" s="1"/>
  <c r="CB44" i="3"/>
  <c r="CF42" i="3"/>
  <c r="CF43" i="3"/>
  <c r="CF44" i="3"/>
  <c r="CG42" i="3"/>
  <c r="CI42" i="3" s="1"/>
  <c r="CG43" i="3"/>
  <c r="CI43" i="3" s="1"/>
  <c r="CG44" i="3"/>
  <c r="CI44" i="3" s="1"/>
  <c r="CK42" i="3"/>
  <c r="CK43" i="3"/>
  <c r="CK44" i="3"/>
  <c r="CL42" i="3"/>
  <c r="CN42" i="3" s="1"/>
  <c r="CL43" i="3"/>
  <c r="CN43" i="3" s="1"/>
  <c r="CL44" i="3"/>
  <c r="CN44" i="3" s="1"/>
  <c r="CP42" i="3"/>
  <c r="CR42" i="3" s="1"/>
  <c r="CP43" i="3"/>
  <c r="CR43" i="3" s="1"/>
  <c r="CP44" i="3"/>
  <c r="CR44" i="3" s="1"/>
  <c r="CV42" i="3"/>
  <c r="CV43" i="3"/>
  <c r="CV44" i="3"/>
  <c r="CW42" i="3"/>
  <c r="CY42" i="3" s="1"/>
  <c r="CW43" i="3"/>
  <c r="CY43" i="3" s="1"/>
  <c r="CW44" i="3"/>
  <c r="DC42" i="3"/>
  <c r="DC43" i="3"/>
  <c r="DC44" i="3"/>
  <c r="DD42" i="3"/>
  <c r="DF42" i="3" s="1"/>
  <c r="DD43" i="3"/>
  <c r="DF43" i="3" s="1"/>
  <c r="DD44" i="3"/>
  <c r="DF44" i="3" s="1"/>
  <c r="DJ42" i="3"/>
  <c r="DJ43" i="3"/>
  <c r="DJ44" i="3"/>
  <c r="DK42" i="3"/>
  <c r="DM42" i="3" s="1"/>
  <c r="DK43" i="3"/>
  <c r="DM43" i="3" s="1"/>
  <c r="DK44" i="3"/>
  <c r="DO42" i="3"/>
  <c r="DO43" i="3"/>
  <c r="DO44" i="3"/>
  <c r="DP42" i="3"/>
  <c r="DR42" i="3" s="1"/>
  <c r="DP43" i="3"/>
  <c r="DR43" i="3" s="1"/>
  <c r="DP44" i="3"/>
  <c r="DR44" i="3" s="1"/>
  <c r="DV42" i="3"/>
  <c r="DV43" i="3"/>
  <c r="DV44" i="3"/>
  <c r="DW42" i="3"/>
  <c r="DY42" i="3" s="1"/>
  <c r="DW43" i="3"/>
  <c r="DY43" i="3" s="1"/>
  <c r="DW44" i="3"/>
  <c r="EC42" i="3"/>
  <c r="EC43" i="3"/>
  <c r="EC44" i="3"/>
  <c r="ED42" i="3"/>
  <c r="EF42" i="3" s="1"/>
  <c r="ED43" i="3"/>
  <c r="ED44" i="3"/>
  <c r="EF44" i="3" s="1"/>
  <c r="EJ42" i="3"/>
  <c r="EJ43" i="3"/>
  <c r="EJ44" i="3"/>
  <c r="EK42" i="3"/>
  <c r="EM42" i="3" s="1"/>
  <c r="EK43" i="3"/>
  <c r="EM43" i="3" s="1"/>
  <c r="EK44" i="3"/>
  <c r="EM44" i="3" s="1"/>
  <c r="EQ42" i="3"/>
  <c r="EQ43" i="3"/>
  <c r="EQ44" i="3"/>
  <c r="ER42" i="3"/>
  <c r="ET42" i="3" s="1"/>
  <c r="EU42" i="3" s="1"/>
  <c r="ER43" i="3"/>
  <c r="ET43" i="3" s="1"/>
  <c r="EU43" i="3" s="1"/>
  <c r="ER44" i="3"/>
  <c r="AF42" i="3" l="1"/>
  <c r="EU68" i="3"/>
  <c r="EU55" i="3"/>
  <c r="EU67" i="3"/>
  <c r="EU52" i="3"/>
  <c r="EU69" i="3"/>
  <c r="EU72" i="3"/>
  <c r="EU71" i="3"/>
  <c r="EU56" i="3"/>
  <c r="EU51" i="3"/>
  <c r="EU54" i="3"/>
  <c r="EU53" i="3"/>
  <c r="EU30" i="3"/>
  <c r="EU70" i="3"/>
  <c r="AC43" i="3"/>
  <c r="AC42" i="3"/>
  <c r="AF37" i="3"/>
  <c r="AF43" i="3"/>
  <c r="AF64" i="3"/>
  <c r="AF36" i="3"/>
  <c r="AF30" i="3"/>
  <c r="AF32" i="3"/>
  <c r="AF35" i="3"/>
  <c r="AF70" i="3"/>
  <c r="AF69" i="3"/>
  <c r="AF53" i="3"/>
  <c r="AF67" i="3"/>
  <c r="AF73" i="3"/>
  <c r="AF28" i="3"/>
  <c r="AF29" i="3"/>
  <c r="AF63" i="3"/>
  <c r="AF33" i="3"/>
  <c r="AF27" i="3"/>
  <c r="AF66" i="3"/>
  <c r="AF61" i="3"/>
  <c r="AF52" i="3"/>
  <c r="AF25" i="3"/>
  <c r="EL42" i="3"/>
  <c r="CO75" i="3"/>
  <c r="CQ75" i="3" s="1"/>
  <c r="BX45" i="3"/>
  <c r="CO26" i="3"/>
  <c r="CQ26" i="3" s="1"/>
  <c r="CO30" i="3"/>
  <c r="CQ30" i="3" s="1"/>
  <c r="CO32" i="3"/>
  <c r="CQ32" i="3" s="1"/>
  <c r="CO38" i="3"/>
  <c r="CQ38" i="3" s="1"/>
  <c r="CO35" i="3"/>
  <c r="CQ35" i="3" s="1"/>
  <c r="CO74" i="3"/>
  <c r="CQ74" i="3" s="1"/>
  <c r="CO31" i="3"/>
  <c r="CQ31" i="3" s="1"/>
  <c r="CO29" i="3"/>
  <c r="CQ29" i="3" s="1"/>
  <c r="CO27" i="3"/>
  <c r="CQ27" i="3" s="1"/>
  <c r="CO34" i="3"/>
  <c r="CQ34" i="3" s="1"/>
  <c r="CC45" i="3"/>
  <c r="DX45" i="3"/>
  <c r="CO58" i="3"/>
  <c r="CQ58" i="3" s="1"/>
  <c r="CO37" i="3"/>
  <c r="CQ37" i="3" s="1"/>
  <c r="CO25" i="3"/>
  <c r="CQ25" i="3" s="1"/>
  <c r="CO33" i="3"/>
  <c r="CQ33" i="3" s="1"/>
  <c r="CO67" i="3"/>
  <c r="CQ67" i="3" s="1"/>
  <c r="CO64" i="3"/>
  <c r="CQ64" i="3" s="1"/>
  <c r="CO51" i="3"/>
  <c r="CQ51" i="3" s="1"/>
  <c r="CO65" i="3"/>
  <c r="CQ65" i="3" s="1"/>
  <c r="CO63" i="3"/>
  <c r="CQ63" i="3" s="1"/>
  <c r="CO60" i="3"/>
  <c r="CQ60" i="3" s="1"/>
  <c r="CO61" i="3"/>
  <c r="CQ61" i="3" s="1"/>
  <c r="CO62" i="3"/>
  <c r="CQ62" i="3" s="1"/>
  <c r="CO28" i="3"/>
  <c r="CQ28" i="3" s="1"/>
  <c r="CO36" i="3"/>
  <c r="CQ36" i="3" s="1"/>
  <c r="BS45" i="3"/>
  <c r="EL43" i="3"/>
  <c r="BN43" i="3"/>
  <c r="CM45" i="3"/>
  <c r="CO59" i="3"/>
  <c r="CQ59" i="3" s="1"/>
  <c r="CO68" i="3"/>
  <c r="CQ68" i="3" s="1"/>
  <c r="CO72" i="3"/>
  <c r="CQ72" i="3" s="1"/>
  <c r="CO57" i="3"/>
  <c r="CQ57" i="3" s="1"/>
  <c r="CO54" i="3"/>
  <c r="CQ54" i="3" s="1"/>
  <c r="CO56" i="3"/>
  <c r="CQ56" i="3" s="1"/>
  <c r="CS56" i="3" s="1"/>
  <c r="CT56" i="3" s="1"/>
  <c r="CO52" i="3"/>
  <c r="CQ52" i="3" s="1"/>
  <c r="CO70" i="3"/>
  <c r="CQ70" i="3" s="1"/>
  <c r="CO50" i="3"/>
  <c r="CQ50" i="3" s="1"/>
  <c r="CO73" i="3"/>
  <c r="CQ73" i="3" s="1"/>
  <c r="CO66" i="3"/>
  <c r="CQ66" i="3" s="1"/>
  <c r="CO71" i="3"/>
  <c r="CQ71" i="3" s="1"/>
  <c r="CO55" i="3"/>
  <c r="CQ55" i="3" s="1"/>
  <c r="CO53" i="3"/>
  <c r="CQ53" i="3" s="1"/>
  <c r="EL44" i="3"/>
  <c r="DE42" i="3"/>
  <c r="AW42" i="3"/>
  <c r="BD45" i="3"/>
  <c r="DE44" i="3"/>
  <c r="AW43" i="3"/>
  <c r="DL45" i="3"/>
  <c r="CO69" i="3"/>
  <c r="CQ69" i="3" s="1"/>
  <c r="BI45" i="3"/>
  <c r="DL42" i="3"/>
  <c r="EL45" i="3"/>
  <c r="BN44" i="3"/>
  <c r="CM42" i="3"/>
  <c r="AW45" i="3"/>
  <c r="CH44" i="3"/>
  <c r="BI43" i="3"/>
  <c r="CX45" i="3"/>
  <c r="ES44" i="3"/>
  <c r="ES45" i="3"/>
  <c r="EE43" i="3"/>
  <c r="EE45" i="3"/>
  <c r="DX44" i="3"/>
  <c r="DQ45" i="3"/>
  <c r="DE45" i="3"/>
  <c r="CX44" i="3"/>
  <c r="CH45" i="3"/>
  <c r="BN45" i="3"/>
  <c r="AP45" i="3"/>
  <c r="R45" i="3"/>
  <c r="AC45" i="3" s="1"/>
  <c r="EF45" i="3"/>
  <c r="DF45" i="3"/>
  <c r="CI45" i="3"/>
  <c r="BO45" i="3"/>
  <c r="AQ45" i="3"/>
  <c r="BX44" i="3"/>
  <c r="BX43" i="3"/>
  <c r="BI42" i="3"/>
  <c r="EE44" i="3"/>
  <c r="DL44" i="3"/>
  <c r="CH43" i="3"/>
  <c r="BS44" i="3"/>
  <c r="BS43" i="3"/>
  <c r="CC43" i="3"/>
  <c r="AP43" i="3"/>
  <c r="CC42" i="3"/>
  <c r="BD44" i="3"/>
  <c r="AP42" i="3"/>
  <c r="BD43" i="3"/>
  <c r="S43" i="3"/>
  <c r="O43" i="3" s="1"/>
  <c r="DL43" i="3"/>
  <c r="BS42" i="3"/>
  <c r="ET44" i="3"/>
  <c r="EU44" i="3" s="1"/>
  <c r="DX42" i="3"/>
  <c r="CX43" i="3"/>
  <c r="DX43" i="3"/>
  <c r="CX42" i="3"/>
  <c r="AW44" i="3"/>
  <c r="DQ44" i="3"/>
  <c r="R44" i="3"/>
  <c r="AC44" i="3" s="1"/>
  <c r="DE43" i="3"/>
  <c r="ES43" i="3"/>
  <c r="CH42" i="3"/>
  <c r="BX42" i="3"/>
  <c r="ES42" i="3"/>
  <c r="DQ42" i="3"/>
  <c r="CC44" i="3"/>
  <c r="BT44" i="3"/>
  <c r="DQ43" i="3"/>
  <c r="EE42" i="3"/>
  <c r="DM44" i="3"/>
  <c r="BN42" i="3"/>
  <c r="BD42" i="3"/>
  <c r="AP44" i="3"/>
  <c r="CM44" i="3"/>
  <c r="BI44" i="3"/>
  <c r="S42" i="3"/>
  <c r="O42" i="3" s="1"/>
  <c r="DY44" i="3"/>
  <c r="CY44" i="3"/>
  <c r="CD44" i="3"/>
  <c r="BJ44" i="3"/>
  <c r="CM43" i="3"/>
  <c r="BJ42" i="3"/>
  <c r="EF43" i="3"/>
  <c r="N56" i="3" l="1"/>
  <c r="N69" i="3"/>
  <c r="CS69" i="3"/>
  <c r="CT69" i="3" s="1"/>
  <c r="N65" i="3"/>
  <c r="CS65" i="3"/>
  <c r="CT65" i="3" s="1"/>
  <c r="N38" i="3"/>
  <c r="CS38" i="3"/>
  <c r="CT38" i="3" s="1"/>
  <c r="EU38" i="3" s="1"/>
  <c r="N64" i="3"/>
  <c r="CS64" i="3"/>
  <c r="CT64" i="3" s="1"/>
  <c r="N30" i="3"/>
  <c r="CS30" i="3"/>
  <c r="CT30" i="3" s="1"/>
  <c r="N51" i="3"/>
  <c r="CS51" i="3"/>
  <c r="CT51" i="3" s="1"/>
  <c r="N33" i="3"/>
  <c r="CS33" i="3"/>
  <c r="CT33" i="3" s="1"/>
  <c r="EU33" i="3" s="1"/>
  <c r="N37" i="3"/>
  <c r="CS37" i="3"/>
  <c r="CT37" i="3" s="1"/>
  <c r="EU37" i="3" s="1"/>
  <c r="N67" i="3"/>
  <c r="CS67" i="3"/>
  <c r="CT67" i="3" s="1"/>
  <c r="N75" i="3"/>
  <c r="CS75" i="3"/>
  <c r="CT75" i="3" s="1"/>
  <c r="EU75" i="3" s="1"/>
  <c r="N58" i="3"/>
  <c r="CS58" i="3"/>
  <c r="CT58" i="3" s="1"/>
  <c r="N54" i="3"/>
  <c r="CS54" i="3"/>
  <c r="CT54" i="3" s="1"/>
  <c r="N26" i="3"/>
  <c r="CS26" i="3"/>
  <c r="CT26" i="3" s="1"/>
  <c r="EU26" i="3" s="1"/>
  <c r="N53" i="3"/>
  <c r="CS53" i="3"/>
  <c r="CT53" i="3" s="1"/>
  <c r="N55" i="3"/>
  <c r="CS55" i="3"/>
  <c r="CT55" i="3" s="1"/>
  <c r="N25" i="3"/>
  <c r="CS25" i="3"/>
  <c r="CT25" i="3" s="1"/>
  <c r="EU25" i="3" s="1"/>
  <c r="N71" i="3"/>
  <c r="CS71" i="3"/>
  <c r="CT71" i="3" s="1"/>
  <c r="N36" i="3"/>
  <c r="CS36" i="3"/>
  <c r="CT36" i="3" s="1"/>
  <c r="EU36" i="3" s="1"/>
  <c r="N34" i="3"/>
  <c r="CS34" i="3"/>
  <c r="CT34" i="3" s="1"/>
  <c r="EU34" i="3" s="1"/>
  <c r="N32" i="3"/>
  <c r="CS32" i="3"/>
  <c r="CT32" i="3" s="1"/>
  <c r="EU32" i="3" s="1"/>
  <c r="N72" i="3"/>
  <c r="CS72" i="3"/>
  <c r="CT72" i="3" s="1"/>
  <c r="N59" i="3"/>
  <c r="CS59" i="3"/>
  <c r="CT59" i="3" s="1"/>
  <c r="N66" i="3"/>
  <c r="CS66" i="3"/>
  <c r="CT66" i="3" s="1"/>
  <c r="N28" i="3"/>
  <c r="CS28" i="3"/>
  <c r="CT28" i="3" s="1"/>
  <c r="N27" i="3"/>
  <c r="CS27" i="3"/>
  <c r="CT27" i="3" s="1"/>
  <c r="N73" i="3"/>
  <c r="CS73" i="3"/>
  <c r="CT73" i="3" s="1"/>
  <c r="N62" i="3"/>
  <c r="CS62" i="3"/>
  <c r="CT62" i="3" s="1"/>
  <c r="N29" i="3"/>
  <c r="CS29" i="3"/>
  <c r="CT29" i="3" s="1"/>
  <c r="N68" i="3"/>
  <c r="CS68" i="3"/>
  <c r="CT68" i="3" s="1"/>
  <c r="N50" i="3"/>
  <c r="CS50" i="3"/>
  <c r="CT50" i="3" s="1"/>
  <c r="N61" i="3"/>
  <c r="CS61" i="3"/>
  <c r="CT61" i="3" s="1"/>
  <c r="N31" i="3"/>
  <c r="CS31" i="3"/>
  <c r="CT31" i="3" s="1"/>
  <c r="EU31" i="3" s="1"/>
  <c r="N70" i="3"/>
  <c r="CS70" i="3"/>
  <c r="CT70" i="3" s="1"/>
  <c r="N60" i="3"/>
  <c r="CS60" i="3"/>
  <c r="CT60" i="3" s="1"/>
  <c r="N74" i="3"/>
  <c r="CS74" i="3"/>
  <c r="CT74" i="3" s="1"/>
  <c r="EU74" i="3" s="1"/>
  <c r="N57" i="3"/>
  <c r="CS57" i="3"/>
  <c r="CT57" i="3" s="1"/>
  <c r="N52" i="3"/>
  <c r="CS52" i="3"/>
  <c r="CT52" i="3" s="1"/>
  <c r="N63" i="3"/>
  <c r="CS63" i="3"/>
  <c r="CT63" i="3" s="1"/>
  <c r="N35" i="3"/>
  <c r="CS35" i="3"/>
  <c r="CT35" i="3" s="1"/>
  <c r="AF45" i="3"/>
  <c r="AF44" i="3"/>
  <c r="CO45" i="3"/>
  <c r="CQ45" i="3" s="1"/>
  <c r="CO44" i="3"/>
  <c r="CQ44" i="3" s="1"/>
  <c r="CO43" i="3"/>
  <c r="CQ43" i="3" s="1"/>
  <c r="CO42" i="3"/>
  <c r="CQ42" i="3" s="1"/>
  <c r="AV46" i="3"/>
  <c r="EQ47" i="3"/>
  <c r="ER47" i="3"/>
  <c r="ET47" i="3" s="1"/>
  <c r="EQ48" i="3"/>
  <c r="ER48" i="3"/>
  <c r="ET48" i="3" s="1"/>
  <c r="EQ49" i="3"/>
  <c r="ER49" i="3"/>
  <c r="EJ47" i="3"/>
  <c r="EK47" i="3"/>
  <c r="EM47" i="3" s="1"/>
  <c r="EJ48" i="3"/>
  <c r="EK48" i="3"/>
  <c r="EM48" i="3" s="1"/>
  <c r="EJ49" i="3"/>
  <c r="EK49" i="3"/>
  <c r="EC47" i="3"/>
  <c r="ED47" i="3"/>
  <c r="EC48" i="3"/>
  <c r="ED48" i="3"/>
  <c r="EF48" i="3" s="1"/>
  <c r="EC49" i="3"/>
  <c r="ED49" i="3"/>
  <c r="EF49" i="3" s="1"/>
  <c r="DV47" i="3"/>
  <c r="DW47" i="3"/>
  <c r="DV48" i="3"/>
  <c r="DW48" i="3"/>
  <c r="DY48" i="3" s="1"/>
  <c r="DV49" i="3"/>
  <c r="DW49" i="3"/>
  <c r="DY49" i="3" s="1"/>
  <c r="DO47" i="3"/>
  <c r="DP47" i="3"/>
  <c r="DR47" i="3" s="1"/>
  <c r="DO48" i="3"/>
  <c r="DP48" i="3"/>
  <c r="DR48" i="3" s="1"/>
  <c r="DO49" i="3"/>
  <c r="DP49" i="3"/>
  <c r="DR49" i="3" s="1"/>
  <c r="DJ47" i="3"/>
  <c r="DK47" i="3"/>
  <c r="DJ48" i="3"/>
  <c r="DK48" i="3"/>
  <c r="DM48" i="3" s="1"/>
  <c r="DJ49" i="3"/>
  <c r="DK49" i="3"/>
  <c r="DM49" i="3" s="1"/>
  <c r="DC47" i="3"/>
  <c r="DD47" i="3"/>
  <c r="DF47" i="3" s="1"/>
  <c r="DC48" i="3"/>
  <c r="DD48" i="3"/>
  <c r="DF48" i="3" s="1"/>
  <c r="DC49" i="3"/>
  <c r="DD49" i="3"/>
  <c r="DF49" i="3" s="1"/>
  <c r="CV47" i="3"/>
  <c r="CW47" i="3"/>
  <c r="CY47" i="3" s="1"/>
  <c r="CV48" i="3"/>
  <c r="CW48" i="3"/>
  <c r="CY48" i="3" s="1"/>
  <c r="CV49" i="3"/>
  <c r="CW49" i="3"/>
  <c r="CY49" i="3" s="1"/>
  <c r="CP47" i="3"/>
  <c r="CR47" i="3" s="1"/>
  <c r="CP48" i="3"/>
  <c r="CP49" i="3"/>
  <c r="CK47" i="3"/>
  <c r="CL47" i="3"/>
  <c r="CK48" i="3"/>
  <c r="CL48" i="3"/>
  <c r="CK49" i="3"/>
  <c r="CL49" i="3"/>
  <c r="CN49" i="3" s="1"/>
  <c r="CG47" i="3"/>
  <c r="CI47" i="3" s="1"/>
  <c r="CG48" i="3"/>
  <c r="CI48" i="3" s="1"/>
  <c r="CG49" i="3"/>
  <c r="CI49" i="3" s="1"/>
  <c r="CF47" i="3"/>
  <c r="CF48" i="3"/>
  <c r="CF49" i="3"/>
  <c r="CB47" i="3"/>
  <c r="CD47" i="3" s="1"/>
  <c r="CB48" i="3"/>
  <c r="CD48" i="3" s="1"/>
  <c r="CB49" i="3"/>
  <c r="CD49" i="3" s="1"/>
  <c r="CA47" i="3"/>
  <c r="CA48" i="3"/>
  <c r="CA49" i="3"/>
  <c r="BW47" i="3"/>
  <c r="BY47" i="3" s="1"/>
  <c r="BW48" i="3"/>
  <c r="BY48" i="3" s="1"/>
  <c r="BW49" i="3"/>
  <c r="BY49" i="3" s="1"/>
  <c r="BV47" i="3"/>
  <c r="BV48" i="3"/>
  <c r="BV49" i="3"/>
  <c r="BR47" i="3"/>
  <c r="BR48" i="3"/>
  <c r="BR49" i="3"/>
  <c r="BQ47" i="3"/>
  <c r="BQ48" i="3"/>
  <c r="BQ49" i="3"/>
  <c r="BM47" i="3"/>
  <c r="BO47" i="3" s="1"/>
  <c r="BM48" i="3"/>
  <c r="BO48" i="3" s="1"/>
  <c r="BM49" i="3"/>
  <c r="BO49" i="3" s="1"/>
  <c r="BL47" i="3"/>
  <c r="BL48" i="3"/>
  <c r="BL49" i="3"/>
  <c r="AV47" i="3"/>
  <c r="AX47" i="3" s="1"/>
  <c r="AV48" i="3"/>
  <c r="AX48" i="3" s="1"/>
  <c r="AV49" i="3"/>
  <c r="AX49" i="3" s="1"/>
  <c r="AU47" i="3"/>
  <c r="AU48" i="3"/>
  <c r="AU49" i="3"/>
  <c r="BH47" i="3"/>
  <c r="BJ47" i="3" s="1"/>
  <c r="BH48" i="3"/>
  <c r="BJ48" i="3" s="1"/>
  <c r="BH49" i="3"/>
  <c r="BJ49" i="3" s="1"/>
  <c r="BG47" i="3"/>
  <c r="BG48" i="3"/>
  <c r="BG49" i="3"/>
  <c r="BC47" i="3"/>
  <c r="BE47" i="3" s="1"/>
  <c r="BC48" i="3"/>
  <c r="BC49" i="3"/>
  <c r="BB47" i="3"/>
  <c r="BB48" i="3"/>
  <c r="BB49" i="3"/>
  <c r="ER46" i="3"/>
  <c r="ET46" i="3" s="1"/>
  <c r="EQ46" i="3"/>
  <c r="EK46" i="3"/>
  <c r="EJ46" i="3"/>
  <c r="ED46" i="3"/>
  <c r="EF46" i="3" s="1"/>
  <c r="EC46" i="3"/>
  <c r="DW46" i="3"/>
  <c r="DY46" i="3" s="1"/>
  <c r="DV46" i="3"/>
  <c r="DP46" i="3"/>
  <c r="DO46" i="3"/>
  <c r="EU48" i="3" l="1"/>
  <c r="N42" i="3"/>
  <c r="CS42" i="3"/>
  <c r="CT42" i="3" s="1"/>
  <c r="N43" i="3"/>
  <c r="CS43" i="3"/>
  <c r="CT43" i="3" s="1"/>
  <c r="N44" i="3"/>
  <c r="CS44" i="3"/>
  <c r="CT44" i="3" s="1"/>
  <c r="N45" i="3"/>
  <c r="CS45" i="3"/>
  <c r="CT45" i="3" s="1"/>
  <c r="CH48" i="3"/>
  <c r="BS48" i="3"/>
  <c r="ES46" i="3"/>
  <c r="BN47" i="3"/>
  <c r="BI47" i="3"/>
  <c r="BS47" i="3"/>
  <c r="AW49" i="3"/>
  <c r="AW48" i="3"/>
  <c r="CC47" i="3"/>
  <c r="EE46" i="3"/>
  <c r="BX49" i="3"/>
  <c r="EL48" i="3"/>
  <c r="DL49" i="3"/>
  <c r="DE47" i="3"/>
  <c r="CC49" i="3"/>
  <c r="DE49" i="3"/>
  <c r="DE48" i="3"/>
  <c r="AW47" i="3"/>
  <c r="BS49" i="3"/>
  <c r="CC48" i="3"/>
  <c r="CX47" i="3"/>
  <c r="DQ49" i="3"/>
  <c r="CX48" i="3"/>
  <c r="DQ48" i="3"/>
  <c r="ES47" i="3"/>
  <c r="CM49" i="3"/>
  <c r="EE48" i="3"/>
  <c r="DQ47" i="3"/>
  <c r="BI49" i="3"/>
  <c r="BX48" i="3"/>
  <c r="EL47" i="3"/>
  <c r="CH47" i="3"/>
  <c r="BN49" i="3"/>
  <c r="BI48" i="3"/>
  <c r="BN48" i="3"/>
  <c r="BX47" i="3"/>
  <c r="CH49" i="3"/>
  <c r="DX48" i="3"/>
  <c r="ES48" i="3"/>
  <c r="CX49" i="3"/>
  <c r="DL48" i="3"/>
  <c r="EE49" i="3"/>
  <c r="DX47" i="3"/>
  <c r="ES49" i="3"/>
  <c r="EL49" i="3"/>
  <c r="EE47" i="3"/>
  <c r="DL47" i="3"/>
  <c r="CM48" i="3"/>
  <c r="CM47" i="3"/>
  <c r="BD48" i="3"/>
  <c r="ET49" i="3"/>
  <c r="EM49" i="3"/>
  <c r="EF47" i="3"/>
  <c r="EU47" i="3" s="1"/>
  <c r="DY47" i="3"/>
  <c r="DX49" i="3"/>
  <c r="DM47" i="3"/>
  <c r="CR49" i="3"/>
  <c r="CR48" i="3"/>
  <c r="CN48" i="3"/>
  <c r="CN47" i="3"/>
  <c r="BD49" i="3"/>
  <c r="BD47" i="3"/>
  <c r="BE49" i="3"/>
  <c r="BE48" i="3"/>
  <c r="EL46" i="3"/>
  <c r="EM46" i="3"/>
  <c r="EU46" i="3" s="1"/>
  <c r="DX46" i="3"/>
  <c r="DQ46" i="3"/>
  <c r="DR46" i="3"/>
  <c r="EU49" i="3" l="1"/>
  <c r="CO48" i="3"/>
  <c r="CQ48" i="3" s="1"/>
  <c r="CS48" i="3" s="1"/>
  <c r="CT48" i="3" s="1"/>
  <c r="CO49" i="3"/>
  <c r="CQ49" i="3" s="1"/>
  <c r="CS49" i="3" s="1"/>
  <c r="CT49" i="3" s="1"/>
  <c r="CO47" i="3"/>
  <c r="CQ47" i="3" s="1"/>
  <c r="CS47" i="3" s="1"/>
  <c r="CT47" i="3" s="1"/>
  <c r="DK46" i="3"/>
  <c r="DM46" i="3" s="1"/>
  <c r="DJ46" i="3"/>
  <c r="DD46" i="3"/>
  <c r="DF46" i="3" s="1"/>
  <c r="DC46" i="3"/>
  <c r="CW46" i="3"/>
  <c r="CY46" i="3" s="1"/>
  <c r="CV46" i="3"/>
  <c r="CR46" i="3"/>
  <c r="CL46" i="3"/>
  <c r="CN46" i="3" s="1"/>
  <c r="CK46" i="3"/>
  <c r="CG46" i="3"/>
  <c r="CI46" i="3" s="1"/>
  <c r="CF46" i="3"/>
  <c r="CB46" i="3"/>
  <c r="CD46" i="3" s="1"/>
  <c r="CA46" i="3"/>
  <c r="BW46" i="3"/>
  <c r="BY46" i="3" s="1"/>
  <c r="BV46" i="3"/>
  <c r="BR46" i="3"/>
  <c r="BT46" i="3" s="1"/>
  <c r="BT47" i="3"/>
  <c r="BT48" i="3"/>
  <c r="BT49" i="3"/>
  <c r="BQ46" i="3"/>
  <c r="BM46" i="3"/>
  <c r="BO46" i="3" s="1"/>
  <c r="BL46" i="3"/>
  <c r="BH46" i="3"/>
  <c r="BJ46" i="3" s="1"/>
  <c r="BG46" i="3"/>
  <c r="BC46" i="3"/>
  <c r="BE46" i="3" s="1"/>
  <c r="BB46" i="3"/>
  <c r="AX46" i="3"/>
  <c r="AU46" i="3"/>
  <c r="AN47" i="3"/>
  <c r="AO47" i="3"/>
  <c r="AQ47" i="3" s="1"/>
  <c r="AN48" i="3"/>
  <c r="AO48" i="3"/>
  <c r="AQ48" i="3" s="1"/>
  <c r="AN49" i="3"/>
  <c r="AO49" i="3"/>
  <c r="AQ49" i="3" s="1"/>
  <c r="AO46" i="3"/>
  <c r="AQ46" i="3" s="1"/>
  <c r="AN46" i="3"/>
  <c r="AJ47" i="3"/>
  <c r="AL47" i="3" s="1"/>
  <c r="AJ48" i="3"/>
  <c r="AL48" i="3" s="1"/>
  <c r="AJ49" i="3"/>
  <c r="AL49" i="3" s="1"/>
  <c r="AJ46" i="3"/>
  <c r="AL46" i="3" s="1"/>
  <c r="DL46" i="3" l="1"/>
  <c r="DE46" i="3"/>
  <c r="CM46" i="3"/>
  <c r="CX46" i="3"/>
  <c r="BS46" i="3"/>
  <c r="BX46" i="3"/>
  <c r="CH46" i="3"/>
  <c r="CC46" i="3"/>
  <c r="BI46" i="3"/>
  <c r="BN46" i="3"/>
  <c r="BD46" i="3"/>
  <c r="AW46" i="3"/>
  <c r="AP49" i="3"/>
  <c r="AP46" i="3"/>
  <c r="AP48" i="3"/>
  <c r="AP47" i="3"/>
  <c r="CO46" i="3" l="1"/>
  <c r="CQ46" i="3" s="1"/>
  <c r="CS46" i="3" s="1"/>
  <c r="CT46" i="3" s="1"/>
  <c r="AI46" i="3" l="1"/>
  <c r="AI47" i="3"/>
  <c r="AI48" i="3"/>
  <c r="AI49" i="3"/>
  <c r="AK49" i="3" l="1"/>
  <c r="N49" i="3" s="1"/>
  <c r="AK48" i="3"/>
  <c r="N48" i="3" s="1"/>
  <c r="AK47" i="3"/>
  <c r="N47" i="3" s="1"/>
  <c r="AK46" i="3"/>
  <c r="N46" i="3" s="1"/>
  <c r="S46" i="3"/>
  <c r="R48" i="3"/>
  <c r="R47" i="3" l="1"/>
  <c r="R49" i="3"/>
  <c r="Q47" i="3"/>
  <c r="AB47" i="3" s="1"/>
  <c r="Q48" i="3"/>
  <c r="Q49" i="3"/>
  <c r="AB49" i="3" s="1"/>
  <c r="AB48" i="3" l="1"/>
  <c r="AC48" i="3" s="1"/>
  <c r="AC49" i="3"/>
  <c r="AC47" i="3"/>
  <c r="AF47" i="3"/>
  <c r="AF49" i="3"/>
  <c r="S48" i="3"/>
  <c r="O48" i="3" s="1"/>
  <c r="S47" i="3"/>
  <c r="O47" i="3" s="1"/>
  <c r="O46" i="3"/>
  <c r="S49" i="3"/>
  <c r="O49" i="3" l="1"/>
  <c r="AF4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Adame</author>
    <author>tc={FF223812-EF55-429D-93B8-6FAF9966C3E8}</author>
    <author>tc={F6B91C34-0FEF-46E6-876A-0DDEFAD11A95}</author>
  </authors>
  <commentList>
    <comment ref="BY4" authorId="0" shapeId="0" xr:uid="{24215FB5-ECC3-43A0-A60D-5259D92F08C4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Redlines. En espera de confirmación de que se quedará la conexión de scanners manuales PoE para hacer todo de una sola vez.</t>
        </r>
      </text>
    </comment>
    <comment ref="CB5" authorId="0" shapeId="0" xr:uid="{4FA02056-1DD6-443A-AC88-E7D994ADA44B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Redlines. En espera de confirmación de que se quedará la conexión de scanners manuales PoE para hacer todo de una sola vez.</t>
        </r>
      </text>
    </comment>
    <comment ref="N10" authorId="0" shapeId="0" xr:uid="{9CD40D95-1AFD-4984-A2E4-CB1A7430A022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Documentación</t>
        </r>
      </text>
    </comment>
    <comment ref="R12" authorId="0" shapeId="0" xr:uid="{9F28C2BD-F26F-4B98-86ED-8A16F6E21D64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Documentación</t>
        </r>
      </text>
    </comment>
    <comment ref="X17" authorId="1" shapeId="0" xr:uid="{FF223812-EF55-429D-93B8-6FAF9966C3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revisiones</t>
      </text>
    </comment>
    <comment ref="M36" authorId="2" shapeId="0" xr:uid="{F6B91C34-0FEF-46E6-876A-0DDEFAD11A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Documentación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Adame</author>
    <author>tc={C7C62D30-62D8-46B3-98C1-0DBF66B2C118}</author>
    <author>tc={E279C7D0-A3DF-4F07-9008-C74F56E099F2}</author>
    <author>tc={8AFF67BE-7E62-48EB-A832-E249A0DB1F49}</author>
  </authors>
  <commentList>
    <comment ref="N4" authorId="0" shapeId="0" xr:uid="{DD034814-1B01-4217-B332-4A243DA7C45F}">
      <text>
        <r>
          <rPr>
            <sz val="11"/>
            <color theme="1"/>
            <rFont val="Calibri"/>
            <family val="2"/>
            <scheme val="minor"/>
          </rPr>
          <t>Juan Adame:
redlines</t>
        </r>
      </text>
    </comment>
    <comment ref="N5" authorId="0" shapeId="0" xr:uid="{F01A11D9-C287-4507-9BDA-9C98F8AB14A0}">
      <text>
        <r>
          <rPr>
            <sz val="11"/>
            <color theme="1"/>
            <rFont val="Calibri"/>
            <family val="2"/>
            <scheme val="minor"/>
          </rPr>
          <t>Juan Adame:
redlines</t>
        </r>
      </text>
    </comment>
    <comment ref="X7" authorId="0" shapeId="0" xr:uid="{84A3D111-F2BF-43DD-BE02-F7CD609A82B3}">
      <text>
        <r>
          <rPr>
            <sz val="11"/>
            <color theme="1"/>
            <rFont val="Calibri"/>
            <family val="2"/>
            <scheme val="minor"/>
          </rPr>
          <t>Juan Adame:
redlines</t>
        </r>
      </text>
    </comment>
    <comment ref="AF12" authorId="0" shapeId="0" xr:uid="{CBD8C308-3142-4CF7-8C68-18D252A865E9}">
      <text>
        <r>
          <rPr>
            <sz val="11"/>
            <color theme="1"/>
            <rFont val="Calibri"/>
            <family val="2"/>
            <scheme val="minor"/>
          </rPr>
          <t>Juan Adame:
redlines</t>
        </r>
      </text>
    </comment>
    <comment ref="AT12" authorId="0" shapeId="0" xr:uid="{D2E9CE64-556A-4044-88E4-AB0D7B491821}">
      <text>
        <r>
          <rPr>
            <sz val="11"/>
            <color theme="1"/>
            <rFont val="Calibri"/>
            <family val="2"/>
            <scheme val="minor"/>
          </rPr>
          <t>Juan Adame:
redlines</t>
        </r>
      </text>
    </comment>
    <comment ref="N16" authorId="1" shapeId="0" xr:uid="{C7C62D30-62D8-46B3-98C1-0DBF66B2C1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resistencia de frenado</t>
      </text>
    </comment>
    <comment ref="V16" authorId="2" shapeId="0" xr:uid="{E279C7D0-A3DF-4F07-9008-C74F56E099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actualizacion de diagramas 3335</t>
      </text>
    </comment>
    <comment ref="N17" authorId="3" shapeId="0" xr:uid="{8AFF67BE-7E62-48EB-A832-E249A0DB1F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resistencia de frenado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Adame</author>
  </authors>
  <commentList>
    <comment ref="DH50" authorId="0" shapeId="0" xr:uid="{E3F87DE5-6406-4823-85A4-DD6CBB6DB856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51" authorId="0" shapeId="0" xr:uid="{4A092EFF-92BB-40D5-A395-AA32309EDBC5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52" authorId="0" shapeId="0" xr:uid="{814B277A-B0A2-4651-BAC0-D1F2F048850C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53" authorId="0" shapeId="0" xr:uid="{DC3BA332-2735-4DA1-B05E-D059FBBF6C65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54" authorId="0" shapeId="0" xr:uid="{A9AF5F22-1A5F-49ED-A9AC-50BA12A20296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56" authorId="0" shapeId="0" xr:uid="{1EE879A7-0D09-4125-8D63-FABD1B2937AB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57" authorId="0" shapeId="0" xr:uid="{A2A41D8A-7F0E-4D76-A6AC-09DCCF2FFCC3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58" authorId="0" shapeId="0" xr:uid="{8A6D79C4-3FAE-4111-B0C9-434C93F9B01F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59" authorId="0" shapeId="0" xr:uid="{85021C61-213A-4975-9B09-CBA75C7058E7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0" authorId="0" shapeId="0" xr:uid="{0B8C9205-2074-4711-94DB-3B380C649E30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1" authorId="0" shapeId="0" xr:uid="{50A2F740-043B-4BB3-AD08-638FFB6AFA76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2" authorId="0" shapeId="0" xr:uid="{5829809F-0B70-4F9F-8F7B-D7C70CAD764B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3" authorId="0" shapeId="0" xr:uid="{A4CE691B-D456-40A5-951F-CC2FB6C41CC7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4" authorId="0" shapeId="0" xr:uid="{6200A6DA-4273-4FA0-832C-B07F211048DF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6" authorId="0" shapeId="0" xr:uid="{C7551C49-F332-466C-B5BF-C05C1567C943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7" authorId="0" shapeId="0" xr:uid="{887C88ED-9DA9-4FEE-8835-EB37D9C8D060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8" authorId="0" shapeId="0" xr:uid="{C0D44E74-9284-409C-8B87-1C380AE7526D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69" authorId="0" shapeId="0" xr:uid="{761C9BB0-67C7-44D9-BEE4-072954F7F75A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70" authorId="0" shapeId="0" xr:uid="{E0136282-0F0F-4A92-9530-8C585F48187B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71" authorId="0" shapeId="0" xr:uid="{C5CA6E59-3219-4CEE-8F32-DE14B8C104FB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72" authorId="0" shapeId="0" xr:uid="{FFB84A11-471C-4BD5-8B51-C0981E6EB25C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  <comment ref="DH73" authorId="0" shapeId="0" xr:uid="{2620F149-1452-4527-B37A-5EDA2B108781}">
      <text>
        <r>
          <rPr>
            <b/>
            <sz val="9"/>
            <color indexed="81"/>
            <rFont val="Tahoma"/>
            <family val="2"/>
          </rPr>
          <t>Juan Adame:</t>
        </r>
        <r>
          <rPr>
            <sz val="9"/>
            <color indexed="81"/>
            <rFont val="Tahoma"/>
            <family val="2"/>
          </rPr>
          <t xml:space="preserve">
Enviado a PM.
PM indicó proceder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<sst xmlns="http://schemas.openxmlformats.org/spreadsheetml/2006/main" count="5903" uniqueCount="522">
  <si>
    <t>Month</t>
  </si>
  <si>
    <t>September</t>
  </si>
  <si>
    <t>October</t>
  </si>
  <si>
    <t>November</t>
  </si>
  <si>
    <t>December</t>
  </si>
  <si>
    <t>Week</t>
  </si>
  <si>
    <t>Day</t>
  </si>
  <si>
    <t>IND</t>
  </si>
  <si>
    <t>Juan Adame</t>
  </si>
  <si>
    <t>PTO</t>
  </si>
  <si>
    <t>ASSY</t>
  </si>
  <si>
    <t>MNG</t>
  </si>
  <si>
    <t>Fidel Maldonado</t>
  </si>
  <si>
    <t>Hilda Mata</t>
  </si>
  <si>
    <t>José Wenceslao</t>
  </si>
  <si>
    <t>Adrian C</t>
  </si>
  <si>
    <t>MG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</si>
  <si>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</si>
  <si>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</si>
  <si>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</si>
  <si>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</si>
  <si>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</si>
  <si>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</si>
  <si>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</si>
  <si>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</si>
  <si>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HOL</t>
  </si>
  <si>
    <t>LOCATION</t>
  </si>
  <si>
    <t>STATUS</t>
  </si>
  <si>
    <t>Customer</t>
  </si>
  <si>
    <t>DESCRIPTION</t>
  </si>
  <si>
    <t>Project name:</t>
  </si>
  <si>
    <t>Project No</t>
  </si>
  <si>
    <t>JOB</t>
  </si>
  <si>
    <t>Budget CS</t>
  </si>
  <si>
    <t>Change Orders Budget</t>
  </si>
  <si>
    <t>Budget</t>
  </si>
  <si>
    <t>Labor
Spent</t>
  </si>
  <si>
    <t>Labor Spend on Design errors</t>
  </si>
  <si>
    <t>Labor
Spent Customer changes</t>
  </si>
  <si>
    <t>% of completion</t>
  </si>
  <si>
    <t>Weighted advance</t>
  </si>
  <si>
    <t>Labor Rate from CS</t>
  </si>
  <si>
    <t>Budget vs Rate USD</t>
  </si>
  <si>
    <t>Spent Budget vs Rate USD</t>
  </si>
  <si>
    <t>Labor
Spent %</t>
  </si>
  <si>
    <t>Sell price</t>
  </si>
  <si>
    <t>Sell price Additionals</t>
  </si>
  <si>
    <t>Additionals cost</t>
  </si>
  <si>
    <t>Elect Mat Budget USD</t>
  </si>
  <si>
    <t>Elect Mt Used
USD</t>
  </si>
  <si>
    <t>Elect Mat Used on Design errors</t>
  </si>
  <si>
    <t>Elect Mat Used on Customer changes</t>
  </si>
  <si>
    <t>COST</t>
  </si>
  <si>
    <t>Ext Budget</t>
  </si>
  <si>
    <t>Budget Total USD</t>
  </si>
  <si>
    <t>Station GP
CostSheet</t>
  </si>
  <si>
    <t>Project GP Summary</t>
  </si>
  <si>
    <t>Station GP
Calc</t>
  </si>
  <si>
    <t>Initial Date</t>
  </si>
  <si>
    <t>Read info</t>
  </si>
  <si>
    <t>Read info
Status</t>
  </si>
  <si>
    <t>Read Info  Progress</t>
  </si>
  <si>
    <t>Read Info Contribution</t>
  </si>
  <si>
    <t>Read Info
Est hrs</t>
  </si>
  <si>
    <t>Long lead items</t>
  </si>
  <si>
    <t>Long lead items Status</t>
  </si>
  <si>
    <t>Long lead items  Progress</t>
  </si>
  <si>
    <t>Long lead items Contribution</t>
  </si>
  <si>
    <t>Long lead items
Est hrs</t>
  </si>
  <si>
    <t>Long lead items Target Date</t>
  </si>
  <si>
    <t>Long lead items Real Date</t>
  </si>
  <si>
    <t>Switch Layout</t>
  </si>
  <si>
    <t>Switch Layout
Status</t>
  </si>
  <si>
    <t>Switch Layout Progress</t>
  </si>
  <si>
    <t>Switch Layout Contribution</t>
  </si>
  <si>
    <t>Switch Layout
Est hrs</t>
  </si>
  <si>
    <t>Switch Layout Target Date</t>
  </si>
  <si>
    <t>Switch Layout Real Date</t>
  </si>
  <si>
    <t>Create project</t>
  </si>
  <si>
    <t>Create porject
Status</t>
  </si>
  <si>
    <t>Create porject Progress</t>
  </si>
  <si>
    <t>Create project Contribution</t>
  </si>
  <si>
    <t>Create project
Est hrs</t>
  </si>
  <si>
    <t>Communication section</t>
  </si>
  <si>
    <t>Communication section
Status</t>
  </si>
  <si>
    <t>Communication section
Progress</t>
  </si>
  <si>
    <t>Communication section Contribution</t>
  </si>
  <si>
    <t>Communication section
Est hrs</t>
  </si>
  <si>
    <t>Power Section</t>
  </si>
  <si>
    <t>Power Section
Status</t>
  </si>
  <si>
    <t>Power Section
Progress</t>
  </si>
  <si>
    <t>Power Section Contribution</t>
  </si>
  <si>
    <t>Power Section
Est hrs</t>
  </si>
  <si>
    <t>Control Section</t>
  </si>
  <si>
    <t>Control Section
Status</t>
  </si>
  <si>
    <t>Control Section
Progress</t>
  </si>
  <si>
    <t>Control Section Contribution</t>
  </si>
  <si>
    <t>Control Section
Est hrs</t>
  </si>
  <si>
    <t>Special components</t>
  </si>
  <si>
    <t>Special components
Status</t>
  </si>
  <si>
    <t>Special components
Progress</t>
  </si>
  <si>
    <t>Special components Contribution</t>
  </si>
  <si>
    <t>Special components
Est hrs</t>
  </si>
  <si>
    <t>Pneumatic</t>
  </si>
  <si>
    <t>Pneumatic
Status</t>
  </si>
  <si>
    <t>Pneumatic
Progress</t>
  </si>
  <si>
    <t>Pneumatic Contribution</t>
  </si>
  <si>
    <t>Pneumatic
Est hrs</t>
  </si>
  <si>
    <t>Enclosure</t>
  </si>
  <si>
    <t>Eclosure
Status</t>
  </si>
  <si>
    <t>Eclosure
Progress</t>
  </si>
  <si>
    <t>Eclosure Contribution</t>
  </si>
  <si>
    <t>Eclosure
Est hrs</t>
  </si>
  <si>
    <t>Reports</t>
  </si>
  <si>
    <t>Reports
Status</t>
  </si>
  <si>
    <t>Reports
Progress</t>
  </si>
  <si>
    <t>Reports Contribution</t>
  </si>
  <si>
    <t>Reports
Est hrs</t>
  </si>
  <si>
    <t>Design</t>
  </si>
  <si>
    <t>Design Progress</t>
  </si>
  <si>
    <t>Design Contribution</t>
  </si>
  <si>
    <t>Design
Est hrs</t>
  </si>
  <si>
    <t>Desing hrs used</t>
  </si>
  <si>
    <t>Design hrs remaining</t>
  </si>
  <si>
    <t>Revision</t>
  </si>
  <si>
    <t>Revision
Status</t>
  </si>
  <si>
    <t>Revision Progress</t>
  </si>
  <si>
    <t>Revision Contribution</t>
  </si>
  <si>
    <t>Revision
Est hrs</t>
  </si>
  <si>
    <t>Revision Date</t>
  </si>
  <si>
    <t>Revision Real Date</t>
  </si>
  <si>
    <t>Costumer Aprvl</t>
  </si>
  <si>
    <t>Costumer Aprvl
Status</t>
  </si>
  <si>
    <t>Costumer Aprvl Progress</t>
  </si>
  <si>
    <t>Costumer Aprvl Contribution</t>
  </si>
  <si>
    <t>Costumer Aprvl
Est hrs</t>
  </si>
  <si>
    <t>Costumer Aprvl Date</t>
  </si>
  <si>
    <t>Costumer Aprvl Real Date</t>
  </si>
  <si>
    <t>Meetings</t>
  </si>
  <si>
    <t>Meetings
Status</t>
  </si>
  <si>
    <t>Meetings Progress</t>
  </si>
  <si>
    <t>Meetings Contribution</t>
  </si>
  <si>
    <t>Meetings
Est hrs</t>
  </si>
  <si>
    <t>Purchasing release</t>
  </si>
  <si>
    <t>Purchasing release
Status</t>
  </si>
  <si>
    <t>Purchasing release Progress</t>
  </si>
  <si>
    <t>Purchasing release Contribution</t>
  </si>
  <si>
    <t>Purchasing release
Est hrs</t>
  </si>
  <si>
    <t>Purchasing release Date</t>
  </si>
  <si>
    <t>Purchasing release Real Date</t>
  </si>
  <si>
    <t>Handoffs</t>
  </si>
  <si>
    <t>Hand offs/Meetings
Status</t>
  </si>
  <si>
    <t>Hand offs/Meetings Progress</t>
  </si>
  <si>
    <t>Hand offs/Meetings Contribution</t>
  </si>
  <si>
    <t>Hand offs/Meetings
Est hrs</t>
  </si>
  <si>
    <t>Hand offs/Meetings Date</t>
  </si>
  <si>
    <t>Hand offs/Meetings Real Date</t>
  </si>
  <si>
    <t>Support</t>
  </si>
  <si>
    <t>Support
Status</t>
  </si>
  <si>
    <t>Support Progress</t>
  </si>
  <si>
    <t>Support Contribution</t>
  </si>
  <si>
    <t>Support
Est hrs</t>
  </si>
  <si>
    <t>Support Date</t>
  </si>
  <si>
    <t>Support Real Date</t>
  </si>
  <si>
    <t>Documentation</t>
  </si>
  <si>
    <t>Documentation
Status</t>
  </si>
  <si>
    <t>Documentation Progress</t>
  </si>
  <si>
    <t>Documentation Contribution</t>
  </si>
  <si>
    <t>Documentation
Est hrs</t>
  </si>
  <si>
    <t>Documentation Date</t>
  </si>
  <si>
    <t>Documentation Real Date</t>
  </si>
  <si>
    <t>Redlines</t>
  </si>
  <si>
    <t>Redlines
Status</t>
  </si>
  <si>
    <t>Redlines Progress</t>
  </si>
  <si>
    <t>Redlines Contribution</t>
  </si>
  <si>
    <t>Redlines
Est hrs</t>
  </si>
  <si>
    <t>Hrs to Finish</t>
  </si>
  <si>
    <t>Sr. Designer</t>
  </si>
  <si>
    <t>Responsible</t>
  </si>
  <si>
    <t>Comments</t>
  </si>
  <si>
    <t>MX</t>
  </si>
  <si>
    <t>Close</t>
  </si>
  <si>
    <t>OP Mobility</t>
  </si>
  <si>
    <t>STA A Font Assembly Conveyor Line</t>
  </si>
  <si>
    <t>Font Assembly Conveyor Line</t>
  </si>
  <si>
    <t>Finished</t>
  </si>
  <si>
    <t>ADRIAN CABELLO</t>
  </si>
  <si>
    <t>JUAN ADAME</t>
  </si>
  <si>
    <t>MI</t>
  </si>
  <si>
    <t>Follow Up</t>
  </si>
  <si>
    <t>REHAU</t>
  </si>
  <si>
    <t>Punch and weld machine</t>
  </si>
  <si>
    <t>Sonic P&amp;W MX5a Front Grille</t>
  </si>
  <si>
    <t>Not started</t>
  </si>
  <si>
    <t>Open</t>
  </si>
  <si>
    <t>BAXTER</t>
  </si>
  <si>
    <t>Long Support Standalone Screw Gun Station</t>
  </si>
  <si>
    <t>HILDA MATA</t>
  </si>
  <si>
    <t>CEC</t>
  </si>
  <si>
    <t>Station 5 Automation-Part Gripper</t>
  </si>
  <si>
    <t>Toyota TMMAL Station 5 Automation</t>
  </si>
  <si>
    <t>Almost ready</t>
  </si>
  <si>
    <t>Inteva</t>
  </si>
  <si>
    <t>Robotic Welding Cell</t>
  </si>
  <si>
    <t>Inteva GM L234 Welding Flex Line</t>
  </si>
  <si>
    <t>3268-A</t>
  </si>
  <si>
    <t>Rework Station</t>
  </si>
  <si>
    <t>3268-C</t>
  </si>
  <si>
    <t>Rocker Panel Assembly Station LH - H50</t>
  </si>
  <si>
    <t>3272-A</t>
  </si>
  <si>
    <t>Rocker Panel Assembly Station RH - H50</t>
  </si>
  <si>
    <t>3272-B</t>
  </si>
  <si>
    <t>Brackets Assembly Station - H50</t>
  </si>
  <si>
    <t>3272-C</t>
  </si>
  <si>
    <t>CO06 - Scan to Pack</t>
  </si>
  <si>
    <t>G65 &amp; G67 Scan to Pack</t>
  </si>
  <si>
    <t>3272-CO06</t>
  </si>
  <si>
    <t xml:space="preserve">Rocker Panel Assembly Station LH - H52 </t>
  </si>
  <si>
    <t>BMW Rockers Assembly Stations</t>
  </si>
  <si>
    <t>3272-H</t>
  </si>
  <si>
    <t>In process</t>
  </si>
  <si>
    <t>Rocker Panel Assembly Station RH - H52</t>
  </si>
  <si>
    <t>3272-I</t>
  </si>
  <si>
    <t>Brackets Assembly Station - H52</t>
  </si>
  <si>
    <t>3272-J</t>
  </si>
  <si>
    <t>Continental</t>
  </si>
  <si>
    <t>ID917 Automatic Screw Driving Station KW &amp; PB</t>
  </si>
  <si>
    <t>3278-A</t>
  </si>
  <si>
    <t>ID925 Automatic Screw Driving Station Silver Box</t>
  </si>
  <si>
    <t>3278-B</t>
  </si>
  <si>
    <t>ID926 Automatic Screw Driving Station Silver Box</t>
  </si>
  <si>
    <t>3278-C</t>
  </si>
  <si>
    <t>ID931 Manual Screw Driving Station &amp; Assy Light conduct KW-PB</t>
  </si>
  <si>
    <t>3278-D</t>
  </si>
  <si>
    <t>Spoiler punch &amp; Stick Assembly</t>
  </si>
  <si>
    <t>Jeep J4U Complex Machines</t>
  </si>
  <si>
    <t>3297-A</t>
  </si>
  <si>
    <t>Draft</t>
  </si>
  <si>
    <t>Under review</t>
  </si>
  <si>
    <t>FIDEL MALDONADO</t>
  </si>
  <si>
    <t>Masking cell</t>
  </si>
  <si>
    <t>3297-B</t>
  </si>
  <si>
    <t>3297-C</t>
  </si>
  <si>
    <t>3300 CO Phase 3</t>
  </si>
  <si>
    <t>Conveyor Ergonomy Changes</t>
  </si>
  <si>
    <t>3300-CO06</t>
  </si>
  <si>
    <t>3300-CO06-A</t>
  </si>
  <si>
    <t>PTL &amp; Additions</t>
  </si>
  <si>
    <t>3300-CO06-B</t>
  </si>
  <si>
    <t xml:space="preserve"> Banner Strip Lights</t>
  </si>
  <si>
    <t>3300-CO06-C</t>
  </si>
  <si>
    <t>VALEO</t>
  </si>
  <si>
    <t>1 set of LH-RH Fixtures for St.10</t>
  </si>
  <si>
    <t>Valeo Ford 833 HL</t>
  </si>
  <si>
    <t>3328-A</t>
  </si>
  <si>
    <t>1 set of LH-RH Fixtures for St.20</t>
  </si>
  <si>
    <t>3328-B</t>
  </si>
  <si>
    <t>1 set of LH-RH Fixtures for St.80</t>
  </si>
  <si>
    <t>3328-C</t>
  </si>
  <si>
    <t>1 set of LH-RH Fixtures for St.130</t>
  </si>
  <si>
    <t>3328-D</t>
  </si>
  <si>
    <t>1 set of LH-RH Fixtures for St.140</t>
  </si>
  <si>
    <t>3328-E</t>
  </si>
  <si>
    <t>1 set of LH-RH Fixtures for St.150</t>
  </si>
  <si>
    <t>3328-F</t>
  </si>
  <si>
    <t>1 set of LH-RH Fixtures for St.190</t>
  </si>
  <si>
    <t>3328-G</t>
  </si>
  <si>
    <t>1 set of LH-RH Fixtures for St.160</t>
  </si>
  <si>
    <t>3328-H</t>
  </si>
  <si>
    <t>1 set of LH-RH Fixtures for St.170</t>
  </si>
  <si>
    <t>3328-I</t>
  </si>
  <si>
    <t>1 set of LH-RH Fixtures for St.180</t>
  </si>
  <si>
    <t>3328-J</t>
  </si>
  <si>
    <t>1 set of LH-RH Fixtures for St.50</t>
  </si>
  <si>
    <t>3328-K</t>
  </si>
  <si>
    <t>Bonding Fixtures St.120</t>
  </si>
  <si>
    <t>3328-L</t>
  </si>
  <si>
    <t>EOAT for the Lens St.120</t>
  </si>
  <si>
    <t>3328-M</t>
  </si>
  <si>
    <t>EOAT for the Housing St.120</t>
  </si>
  <si>
    <t>3328-N</t>
  </si>
  <si>
    <t>A. IP Assy &amp; Verification Machine - M1J0208ASY01-1 No1 RevH</t>
  </si>
  <si>
    <t>INTEVA J02 y J08 IP NAVISTAR</t>
  </si>
  <si>
    <t>3332-A</t>
  </si>
  <si>
    <t>B. IP Assy &amp; Verification Machine - M1J0208ASY03 No3 RevH</t>
  </si>
  <si>
    <t>3332-B</t>
  </si>
  <si>
    <t>C. IP &amp; Fuse Cover Final Assy &amp; Verification Machine - M1J0208ASY04-1 No4A RevH</t>
  </si>
  <si>
    <t>3332-C</t>
  </si>
  <si>
    <t>Single Cavity Clip Press with Ergo Assist Arm - GACCIASY01</t>
  </si>
  <si>
    <t>3334-A</t>
  </si>
  <si>
    <t>Two Cavity Clip Press - GACCICPR01</t>
  </si>
  <si>
    <t>3334-B</t>
  </si>
  <si>
    <t>Two Cavity Clip Press - BLCCICPR01</t>
  </si>
  <si>
    <t>3334-D</t>
  </si>
  <si>
    <t>Trunnion Table Station – ADCCIASY01</t>
  </si>
  <si>
    <t>3334-E</t>
  </si>
  <si>
    <t>Two Cavity Press - M3CCICPR01</t>
  </si>
  <si>
    <t>3335-A</t>
  </si>
  <si>
    <t>Three Cavity Press with Ergo Assist Arm - M3CGICPR01</t>
  </si>
  <si>
    <t>3335-B</t>
  </si>
  <si>
    <t>Panel ASM IP UPR TR Soft BT1CG - Assy Trunnion - IGO - CMCGIASYM01</t>
  </si>
  <si>
    <t>3335-F</t>
  </si>
  <si>
    <t>Panel ASM IP UPR TR Soft BT1CC - Assy Trunnion - IGO - CMCCIASYM01</t>
  </si>
  <si>
    <t>3335-G</t>
  </si>
  <si>
    <t>USF</t>
  </si>
  <si>
    <t>(1+1) Stone Protector Bracket Clip Driver – 17858-59</t>
  </si>
  <si>
    <t>T2XX Stone Protector</t>
  </si>
  <si>
    <t>3336-A</t>
  </si>
  <si>
    <t>(1+1) Stone Protector Bracket Weld – 17858-59</t>
  </si>
  <si>
    <t>3336-B</t>
  </si>
  <si>
    <t>2-up LD Protector Clip Driver – 17862-3</t>
  </si>
  <si>
    <t>3336-C</t>
  </si>
  <si>
    <t>2-up Short Box Clip Driver – 17864-65</t>
  </si>
  <si>
    <t>3336-D</t>
  </si>
  <si>
    <t>2-up Short Box Stone Protector Clip Driver – 17868-9</t>
  </si>
  <si>
    <t>3336-E</t>
  </si>
  <si>
    <t>2-up LD STD Box Deflector Clip Driver – 17870-1</t>
  </si>
  <si>
    <t>3336-F</t>
  </si>
  <si>
    <t>2-up Long Box Deflector Clip Driver – 17872-3</t>
  </si>
  <si>
    <t>3336-G</t>
  </si>
  <si>
    <t>(1+1) Stone Protector ZR2 Clip Driver – 17860-61</t>
  </si>
  <si>
    <t>3336-H</t>
  </si>
  <si>
    <t>(1+1) Stone Protector ZR2 Bracket Weld – 17860-61</t>
  </si>
  <si>
    <t>3336-I</t>
  </si>
  <si>
    <t>2-up ZR2 Protector Clip Driver – 17866-7</t>
  </si>
  <si>
    <t>3336-J</t>
  </si>
  <si>
    <t>2-up ZR2 Air Deflector Clip – 17874-5</t>
  </si>
  <si>
    <t>3336-K</t>
  </si>
  <si>
    <t>2-up GMC Long Box Protector Clip Driver Tooling – 17880-1</t>
  </si>
  <si>
    <t>3336-L</t>
  </si>
  <si>
    <t>2-up GMC Standard Box Deflector Clip Driver Tooling – 17888-89</t>
  </si>
  <si>
    <t>3336-M</t>
  </si>
  <si>
    <t>2-up GMC Long Box Deflector Clip Driver Tooling – 17890-91</t>
  </si>
  <si>
    <t>3336-N</t>
  </si>
  <si>
    <t>(1+1) GMC Stone Protector Bracket Clip Driver – 17876-77</t>
  </si>
  <si>
    <t>3336-O</t>
  </si>
  <si>
    <t>(1+1) GMC Stone Protector Bracket Weld – 17876-77</t>
  </si>
  <si>
    <t>3336-P</t>
  </si>
  <si>
    <t>2-up GMC Short Box Clip Driver – 17882-83</t>
  </si>
  <si>
    <t>3336-Q</t>
  </si>
  <si>
    <t>2-up GMC Stone Protector Clip Driver – 17886-87</t>
  </si>
  <si>
    <t>3336-R</t>
  </si>
  <si>
    <t>(1+1) AT4 Fender Stone Protector Bracket Clip Driver – 17878-9</t>
  </si>
  <si>
    <t>3336-S</t>
  </si>
  <si>
    <t>(1+1) AT4 Fender Stone Protector Bracket Weld – 17878-9</t>
  </si>
  <si>
    <t>3336-T</t>
  </si>
  <si>
    <t>2-up AT4 Rear Stone Protector BS Clip Driver – 17884-5</t>
  </si>
  <si>
    <t>3336-U</t>
  </si>
  <si>
    <t>2-up AT4 Air Deflector BS Clip Driver – 17892-3</t>
  </si>
  <si>
    <t>3336-V</t>
  </si>
  <si>
    <t>3336-W</t>
  </si>
  <si>
    <t>3336-X</t>
  </si>
  <si>
    <t xml:space="preserve">Röchling </t>
  </si>
  <si>
    <t>1. STA A HVS Front  Middle Assembly Station</t>
  </si>
  <si>
    <t>Röchling D1674 NCar Underbody Inspection St</t>
  </si>
  <si>
    <t>3346-A</t>
  </si>
  <si>
    <t>2. STA B HVS Rear  Middle Inspection Station</t>
  </si>
  <si>
    <t>3346-B</t>
  </si>
  <si>
    <t>Flex and Gate</t>
  </si>
  <si>
    <t>Flexible Clip Driving Machine MI</t>
  </si>
  <si>
    <t>FNG T1XX End Gate Clip Drive Machines</t>
  </si>
  <si>
    <t>3351-A</t>
  </si>
  <si>
    <t>NA</t>
  </si>
  <si>
    <t>3351-B</t>
  </si>
  <si>
    <t>Flexible Clip Driving Machine Gto</t>
  </si>
  <si>
    <t>3351-D</t>
  </si>
  <si>
    <t>3351-E</t>
  </si>
  <si>
    <t>PVL</t>
  </si>
  <si>
    <t>Cup Holder Assembly</t>
  </si>
  <si>
    <t xml:space="preserve"> PVL PR 5731-05-AA Cup HolderLatch Assembly</t>
  </si>
  <si>
    <t>3363-A</t>
  </si>
  <si>
    <t>Latch Assembly</t>
  </si>
  <si>
    <t>3363-B</t>
  </si>
  <si>
    <t>Hardware Design - Profit Center Dashboard</t>
  </si>
  <si>
    <t>Hardware Design - Project Status</t>
  </si>
  <si>
    <t>Hardware Design - Desviations Dashboard</t>
  </si>
  <si>
    <t>List of active forms</t>
  </si>
  <si>
    <t>#</t>
  </si>
  <si>
    <t>Process</t>
  </si>
  <si>
    <t>File to be filled</t>
  </si>
  <si>
    <t>Location</t>
  </si>
  <si>
    <t>Project Follow-up</t>
  </si>
  <si>
    <t>HD  - Dashoard</t>
  </si>
  <si>
    <t>Link</t>
  </si>
  <si>
    <t>Budget deviations</t>
  </si>
  <si>
    <t>Plus/Minus Record</t>
  </si>
  <si>
    <t>Definition of components to MD</t>
  </si>
  <si>
    <t>Comercial Components HD - MD</t>
  </si>
  <si>
    <t>Open points</t>
  </si>
  <si>
    <t>OIL</t>
  </si>
  <si>
    <t>Lessons learned Meeting</t>
  </si>
  <si>
    <t>Lessons learned HD</t>
  </si>
  <si>
    <t>Project development</t>
  </si>
  <si>
    <t>Labor</t>
  </si>
  <si>
    <t>CALCULOS</t>
  </si>
  <si>
    <t>BOM Release</t>
  </si>
  <si>
    <t>Bom record</t>
  </si>
  <si>
    <t>Project Folder</t>
  </si>
  <si>
    <t>Risk Assessment Meeting</t>
  </si>
  <si>
    <t>Risk Assesment</t>
  </si>
  <si>
    <t>Routing meeting</t>
  </si>
  <si>
    <t>Routing Checklist</t>
  </si>
  <si>
    <t>Workshop meeting</t>
  </si>
  <si>
    <t>Workshop Checklist</t>
  </si>
  <si>
    <t>Internal revision</t>
  </si>
  <si>
    <t>Ingeniería 360 - HD</t>
  </si>
  <si>
    <t>Programming and BI review</t>
  </si>
  <si>
    <t>OIL - BI/PROG</t>
  </si>
  <si>
    <t>Plantilla BOM</t>
  </si>
  <si>
    <t>Job# HD BOM #</t>
  </si>
  <si>
    <t>Plantilla BOM completo</t>
  </si>
  <si>
    <t>Job# HD BOM Completo</t>
  </si>
  <si>
    <t>Release Master File</t>
  </si>
  <si>
    <t>Handoff Meeting</t>
  </si>
  <si>
    <t>Minuta Handoff HD</t>
  </si>
  <si>
    <t>UL - Project</t>
  </si>
  <si>
    <t>UL  - Checklist/Assy</t>
  </si>
  <si>
    <t>HD_UL 508A</t>
  </si>
  <si>
    <t>Bitácora_HD_UL 508A</t>
  </si>
  <si>
    <t>Maintenance Manual</t>
  </si>
  <si>
    <t>Spare Part List</t>
  </si>
  <si>
    <t>EMPLOYE</t>
  </si>
  <si>
    <t># EMPLOYE</t>
  </si>
  <si>
    <t>HRS</t>
  </si>
  <si>
    <t>Hrs Labor</t>
  </si>
  <si>
    <t>Desviations</t>
  </si>
  <si>
    <t>E0595</t>
  </si>
  <si>
    <t>E0527</t>
  </si>
  <si>
    <t>E0011</t>
  </si>
  <si>
    <t>AL</t>
  </si>
  <si>
    <t>E0267</t>
  </si>
  <si>
    <t>3264-A</t>
  </si>
  <si>
    <t>Advance status</t>
  </si>
  <si>
    <t>%</t>
  </si>
  <si>
    <t>No recibido</t>
  </si>
  <si>
    <t>Recibido</t>
  </si>
  <si>
    <t>3270-S</t>
  </si>
  <si>
    <t>3272-CO04</t>
  </si>
  <si>
    <t>3272-D</t>
  </si>
  <si>
    <t>MODIF</t>
  </si>
  <si>
    <t>ORIGNAL</t>
  </si>
  <si>
    <t>Project contribution</t>
  </si>
  <si>
    <t>3276-A</t>
  </si>
  <si>
    <t>3276-C</t>
  </si>
  <si>
    <t>3300-CO01</t>
  </si>
  <si>
    <t>3304-A</t>
  </si>
  <si>
    <t>3304-B</t>
  </si>
  <si>
    <t>3304-C</t>
  </si>
  <si>
    <t>3304-D</t>
  </si>
  <si>
    <t>3304-F</t>
  </si>
  <si>
    <t>3304-G</t>
  </si>
  <si>
    <t>3304-H</t>
  </si>
  <si>
    <t>3304-I</t>
  </si>
  <si>
    <t>3318-A</t>
  </si>
  <si>
    <t>3318-B</t>
  </si>
  <si>
    <t>3319-A</t>
  </si>
  <si>
    <t>3319-B</t>
  </si>
  <si>
    <t>3321-A</t>
  </si>
  <si>
    <t>3321-B</t>
  </si>
  <si>
    <t>3322-CO02-E</t>
  </si>
  <si>
    <t>3322-CO02-F</t>
  </si>
  <si>
    <t>3322-CO02-T</t>
  </si>
  <si>
    <t>3322-E</t>
  </si>
  <si>
    <t>3322-F</t>
  </si>
  <si>
    <t>3322-G</t>
  </si>
  <si>
    <t>3322-H</t>
  </si>
  <si>
    <t>3322-K</t>
  </si>
  <si>
    <t>3322-O</t>
  </si>
  <si>
    <t>3322-S</t>
  </si>
  <si>
    <t>3326-A</t>
  </si>
  <si>
    <t>3326-B</t>
  </si>
  <si>
    <t>3331-D</t>
  </si>
  <si>
    <t>3335-ZA</t>
  </si>
  <si>
    <t>3336-ZC</t>
  </si>
  <si>
    <t>3336-ZD</t>
  </si>
  <si>
    <t>3336-ZE</t>
  </si>
  <si>
    <t>3336-ZF</t>
  </si>
  <si>
    <t>3336-ZH</t>
  </si>
  <si>
    <t>3336-ZI</t>
  </si>
  <si>
    <t>3336-ZJ</t>
  </si>
  <si>
    <t>3336-ZK</t>
  </si>
  <si>
    <t>3336-ZL</t>
  </si>
  <si>
    <t>3336-ZM</t>
  </si>
  <si>
    <t>3336-ZO</t>
  </si>
  <si>
    <t>3336-ZP</t>
  </si>
  <si>
    <t>3336-ZR</t>
  </si>
  <si>
    <t>3336-ZS</t>
  </si>
  <si>
    <t>3336-ZT</t>
  </si>
  <si>
    <t>3336-ZU</t>
  </si>
  <si>
    <t>3336-ZV</t>
  </si>
  <si>
    <t>3336-ZW</t>
  </si>
  <si>
    <t>3336-ZX</t>
  </si>
  <si>
    <t>3346-ZB</t>
  </si>
  <si>
    <t>POC vs Labor</t>
  </si>
  <si>
    <t>Sell Hours vs Hours Spent</t>
  </si>
  <si>
    <t>Labor Budget vs Labor Used</t>
  </si>
  <si>
    <t>Theoretical GP Calc</t>
  </si>
  <si>
    <t>Sell Hours vs Hours Spent HD</t>
  </si>
  <si>
    <t>Labor Budget vs Labor Used HD</t>
  </si>
  <si>
    <t>Theoretical GP Calc JOB</t>
  </si>
  <si>
    <t>Hours to Finish</t>
  </si>
  <si>
    <t>Labor Spend on Design Desviations</t>
  </si>
  <si>
    <t>Elect Mat Used on Desviations</t>
  </si>
  <si>
    <t>Etiquetas de fila</t>
  </si>
  <si>
    <t>POC</t>
  </si>
  <si>
    <t>LABOR</t>
  </si>
  <si>
    <t>Hrs Budget</t>
  </si>
  <si>
    <t>Hrs Spend</t>
  </si>
  <si>
    <t xml:space="preserve"> Project GP (Summary)</t>
  </si>
  <si>
    <t xml:space="preserve"> Current GP</t>
  </si>
  <si>
    <t>% uso lbr usd</t>
  </si>
  <si>
    <t>Station GP (Summary)</t>
  </si>
  <si>
    <t>Station GP</t>
  </si>
  <si>
    <t>Hours Remaining</t>
  </si>
  <si>
    <t>Labor Budget</t>
  </si>
  <si>
    <t>Labor Spend</t>
  </si>
  <si>
    <t>Design errors</t>
  </si>
  <si>
    <t>Customer changes</t>
  </si>
  <si>
    <t>Mat Budget</t>
  </si>
  <si>
    <t>Mat Used</t>
  </si>
  <si>
    <t>Total general</t>
  </si>
  <si>
    <t>POC vs Labor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</si>
</sst>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m/d/yyyy;@"/>
    <numFmt numFmtId="166" formatCode="0.0"/>
    <numFmt numFmtId="167" formatCode="0.0000"/>
    <numFmt numFmtId="168" formatCode="d/m;@"/>
    <numFmt numFmtId="169" formatCode="[$-F400]h:mm:ss\ AM/PM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CE0037"/>
      <name val="Calibri"/>
      <family val="2"/>
      <scheme val="minor"/>
    </font>
    <font>
      <b/>
      <sz val="24"/>
      <color rgb="FFCE0037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Aptos Narrow"/>
      <family val="2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E1A47"/>
        <bgColor indexed="64"/>
      </patternFill>
    </fill>
    <fill>
      <patternFill patternType="solid">
        <fgColor rgb="FFCE0037"/>
        <bgColor indexed="64"/>
      </patternFill>
    </fill>
    <fill>
      <patternFill patternType="solid">
        <fgColor rgb="FFFC7787"/>
        <bgColor indexed="64"/>
      </patternFill>
    </fill>
    <fill>
      <patternFill patternType="solid">
        <fgColor rgb="FF8276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B434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 style="medium">
        <color theme="6" tint="-0.249977111117893"/>
      </left>
      <right style="thin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thin">
        <color theme="6" tint="-0.249977111117893"/>
      </left>
      <right style="medium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6" tint="-0.249977111117893"/>
      </left>
      <right style="thin">
        <color theme="6" tint="-0.249977111117893"/>
      </right>
      <top style="medium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medium">
        <color theme="6" tint="-0.249977111117893"/>
      </top>
      <bottom style="thin">
        <color theme="6" tint="-0.249977111117893"/>
      </bottom>
      <diagonal/>
    </border>
    <border>
      <left style="thin">
        <color theme="6" tint="-0.249977111117893"/>
      </left>
      <right style="medium">
        <color theme="6" tint="-0.249977111117893"/>
      </right>
      <top style="medium">
        <color theme="6" tint="-0.249977111117893"/>
      </top>
      <bottom style="thin">
        <color theme="6" tint="-0.249977111117893"/>
      </bottom>
      <diagonal/>
    </border>
    <border>
      <left style="medium">
        <color theme="6" tint="-0.249977111117893"/>
      </left>
      <right style="thin">
        <color theme="6" tint="-0.249977111117893"/>
      </right>
      <top style="thin">
        <color theme="6" tint="-0.249977111117893"/>
      </top>
      <bottom style="medium">
        <color theme="6" tint="-0.249977111117893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medium">
        <color theme="6" tint="-0.249977111117893"/>
      </bottom>
      <diagonal/>
    </border>
    <border>
      <left style="thin">
        <color theme="6" tint="-0.249977111117893"/>
      </left>
      <right style="medium">
        <color theme="6" tint="-0.249977111117893"/>
      </right>
      <top style="thin">
        <color theme="6" tint="-0.249977111117893"/>
      </top>
      <bottom style="medium">
        <color theme="6" tint="-0.249977111117893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 style="thin">
        <color theme="6" tint="-0.249977111117893"/>
      </bottom>
      <diagonal/>
    </border>
    <border>
      <left/>
      <right/>
      <top style="medium">
        <color theme="6" tint="-0.249977111117893"/>
      </top>
      <bottom style="thin">
        <color theme="6" tint="-0.249977111117893"/>
      </bottom>
      <diagonal/>
    </border>
    <border>
      <left/>
      <right style="medium">
        <color theme="6" tint="-0.249977111117893"/>
      </right>
      <top style="medium">
        <color theme="6" tint="-0.249977111117893"/>
      </top>
      <bottom style="thin">
        <color theme="6" tint="-0.249977111117893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 style="medium">
        <color theme="6"/>
      </left>
      <right/>
      <top style="medium">
        <color theme="6"/>
      </top>
      <bottom style="thin">
        <color theme="1" tint="0.499984740745262"/>
      </bottom>
      <diagonal/>
    </border>
    <border>
      <left style="medium">
        <color theme="6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6"/>
      </left>
      <right/>
      <top style="thin">
        <color theme="1" tint="0.499984740745262"/>
      </top>
      <bottom style="medium">
        <color theme="6"/>
      </bottom>
      <diagonal/>
    </border>
    <border>
      <left/>
      <right/>
      <top style="medium">
        <color theme="6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6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thin">
        <color theme="1" tint="0.499984740745262"/>
      </left>
      <right style="medium">
        <color theme="0" tint="-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0" tint="-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</borders>
  <cellStyleXfs count="35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169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1" fillId="0" borderId="0"/>
    <xf numFmtId="169" fontId="28" fillId="0" borderId="0"/>
    <xf numFmtId="169" fontId="28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169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1" fillId="0" borderId="0"/>
    <xf numFmtId="169" fontId="28" fillId="0" borderId="0"/>
    <xf numFmtId="169" fontId="28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9" fillId="0" borderId="0" applyNumberFormat="0" applyFill="0" applyBorder="0" applyAlignment="0" applyProtection="0"/>
    <xf numFmtId="169" fontId="3" fillId="0" borderId="1" applyNumberFormat="0" applyFill="0" applyAlignment="0" applyProtection="0"/>
    <xf numFmtId="169" fontId="4" fillId="0" borderId="2" applyNumberFormat="0" applyFill="0" applyAlignment="0" applyProtection="0"/>
    <xf numFmtId="169" fontId="5" fillId="0" borderId="3" applyNumberFormat="0" applyFill="0" applyAlignment="0" applyProtection="0"/>
    <xf numFmtId="169" fontId="5" fillId="0" borderId="0" applyNumberFormat="0" applyFill="0" applyBorder="0" applyAlignment="0" applyProtection="0"/>
    <xf numFmtId="169" fontId="30" fillId="0" borderId="0"/>
    <xf numFmtId="169" fontId="31" fillId="2" borderId="0" applyNumberFormat="0" applyBorder="0" applyAlignment="0" applyProtection="0"/>
    <xf numFmtId="169" fontId="32" fillId="3" borderId="0" applyNumberFormat="0" applyBorder="0" applyAlignment="0" applyProtection="0"/>
    <xf numFmtId="169" fontId="33" fillId="4" borderId="0" applyNumberFormat="0" applyBorder="0" applyAlignment="0" applyProtection="0"/>
    <xf numFmtId="169" fontId="34" fillId="5" borderId="4" applyNumberFormat="0" applyAlignment="0" applyProtection="0"/>
    <xf numFmtId="169" fontId="35" fillId="6" borderId="5" applyNumberFormat="0" applyAlignment="0" applyProtection="0"/>
    <xf numFmtId="169" fontId="36" fillId="6" borderId="4" applyNumberFormat="0" applyAlignment="0" applyProtection="0"/>
    <xf numFmtId="169" fontId="37" fillId="0" borderId="6" applyNumberFormat="0" applyFill="0" applyAlignment="0" applyProtection="0"/>
    <xf numFmtId="169" fontId="38" fillId="7" borderId="7" applyNumberFormat="0" applyAlignment="0" applyProtection="0"/>
    <xf numFmtId="169" fontId="39" fillId="0" borderId="0" applyNumberFormat="0" applyFill="0" applyBorder="0" applyAlignment="0" applyProtection="0"/>
    <xf numFmtId="169" fontId="30" fillId="8" borderId="8" applyNumberFormat="0" applyFont="0" applyAlignment="0" applyProtection="0"/>
    <xf numFmtId="169" fontId="40" fillId="0" borderId="0" applyNumberFormat="0" applyFill="0" applyBorder="0" applyAlignment="0" applyProtection="0"/>
    <xf numFmtId="169" fontId="25" fillId="0" borderId="9" applyNumberFormat="0" applyFill="0" applyAlignment="0" applyProtection="0"/>
    <xf numFmtId="169" fontId="41" fillId="9" borderId="0" applyNumberFormat="0" applyBorder="0" applyAlignment="0" applyProtection="0"/>
    <xf numFmtId="169" fontId="30" fillId="10" borderId="0" applyNumberFormat="0" applyBorder="0" applyAlignment="0" applyProtection="0"/>
    <xf numFmtId="169" fontId="30" fillId="11" borderId="0" applyNumberFormat="0" applyBorder="0" applyAlignment="0" applyProtection="0"/>
    <xf numFmtId="169" fontId="41" fillId="12" borderId="0" applyNumberFormat="0" applyBorder="0" applyAlignment="0" applyProtection="0"/>
    <xf numFmtId="169" fontId="41" fillId="13" borderId="0" applyNumberFormat="0" applyBorder="0" applyAlignment="0" applyProtection="0"/>
    <xf numFmtId="169" fontId="30" fillId="14" borderId="0" applyNumberFormat="0" applyBorder="0" applyAlignment="0" applyProtection="0"/>
    <xf numFmtId="169" fontId="30" fillId="15" borderId="0" applyNumberFormat="0" applyBorder="0" applyAlignment="0" applyProtection="0"/>
    <xf numFmtId="169" fontId="41" fillId="16" borderId="0" applyNumberFormat="0" applyBorder="0" applyAlignment="0" applyProtection="0"/>
    <xf numFmtId="169" fontId="41" fillId="17" borderId="0" applyNumberFormat="0" applyBorder="0" applyAlignment="0" applyProtection="0"/>
    <xf numFmtId="169" fontId="30" fillId="18" borderId="0" applyNumberFormat="0" applyBorder="0" applyAlignment="0" applyProtection="0"/>
    <xf numFmtId="169" fontId="30" fillId="19" borderId="0" applyNumberFormat="0" applyBorder="0" applyAlignment="0" applyProtection="0"/>
    <xf numFmtId="169" fontId="41" fillId="20" borderId="0" applyNumberFormat="0" applyBorder="0" applyAlignment="0" applyProtection="0"/>
    <xf numFmtId="169" fontId="41" fillId="21" borderId="0" applyNumberFormat="0" applyBorder="0" applyAlignment="0" applyProtection="0"/>
    <xf numFmtId="169" fontId="30" fillId="22" borderId="0" applyNumberFormat="0" applyBorder="0" applyAlignment="0" applyProtection="0"/>
    <xf numFmtId="169" fontId="30" fillId="23" borderId="0" applyNumberFormat="0" applyBorder="0" applyAlignment="0" applyProtection="0"/>
    <xf numFmtId="169" fontId="41" fillId="24" borderId="0" applyNumberFormat="0" applyBorder="0" applyAlignment="0" applyProtection="0"/>
    <xf numFmtId="169" fontId="41" fillId="25" borderId="0" applyNumberFormat="0" applyBorder="0" applyAlignment="0" applyProtection="0"/>
    <xf numFmtId="169" fontId="30" fillId="26" borderId="0" applyNumberFormat="0" applyBorder="0" applyAlignment="0" applyProtection="0"/>
    <xf numFmtId="169" fontId="30" fillId="27" borderId="0" applyNumberFormat="0" applyBorder="0" applyAlignment="0" applyProtection="0"/>
    <xf numFmtId="169" fontId="41" fillId="28" borderId="0" applyNumberFormat="0" applyBorder="0" applyAlignment="0" applyProtection="0"/>
    <xf numFmtId="169" fontId="41" fillId="29" borderId="0" applyNumberFormat="0" applyBorder="0" applyAlignment="0" applyProtection="0"/>
    <xf numFmtId="169" fontId="30" fillId="30" borderId="0" applyNumberFormat="0" applyBorder="0" applyAlignment="0" applyProtection="0"/>
    <xf numFmtId="169" fontId="30" fillId="31" borderId="0" applyNumberFormat="0" applyBorder="0" applyAlignment="0" applyProtection="0"/>
    <xf numFmtId="169" fontId="41" fillId="32" borderId="0" applyNumberFormat="0" applyBorder="0" applyAlignment="0" applyProtection="0"/>
    <xf numFmtId="169" fontId="1" fillId="0" borderId="0"/>
    <xf numFmtId="169" fontId="1" fillId="0" borderId="0"/>
    <xf numFmtId="169" fontId="30" fillId="0" borderId="0"/>
    <xf numFmtId="169" fontId="31" fillId="2" borderId="0" applyNumberFormat="0" applyBorder="0" applyAlignment="0" applyProtection="0"/>
    <xf numFmtId="169" fontId="32" fillId="3" borderId="0" applyNumberFormat="0" applyBorder="0" applyAlignment="0" applyProtection="0"/>
    <xf numFmtId="169" fontId="33" fillId="4" borderId="0" applyNumberFormat="0" applyBorder="0" applyAlignment="0" applyProtection="0"/>
    <xf numFmtId="169" fontId="34" fillId="5" borderId="4" applyNumberFormat="0" applyAlignment="0" applyProtection="0"/>
    <xf numFmtId="169" fontId="35" fillId="6" borderId="5" applyNumberFormat="0" applyAlignment="0" applyProtection="0"/>
    <xf numFmtId="169" fontId="36" fillId="6" borderId="4" applyNumberFormat="0" applyAlignment="0" applyProtection="0"/>
    <xf numFmtId="169" fontId="37" fillId="0" borderId="6" applyNumberFormat="0" applyFill="0" applyAlignment="0" applyProtection="0"/>
    <xf numFmtId="169" fontId="38" fillId="7" borderId="7" applyNumberFormat="0" applyAlignment="0" applyProtection="0"/>
    <xf numFmtId="169" fontId="39" fillId="0" borderId="0" applyNumberFormat="0" applyFill="0" applyBorder="0" applyAlignment="0" applyProtection="0"/>
    <xf numFmtId="169" fontId="30" fillId="8" borderId="8" applyNumberFormat="0" applyFont="0" applyAlignment="0" applyProtection="0"/>
    <xf numFmtId="169" fontId="40" fillId="0" borderId="0" applyNumberFormat="0" applyFill="0" applyBorder="0" applyAlignment="0" applyProtection="0"/>
    <xf numFmtId="169" fontId="25" fillId="0" borderId="9" applyNumberFormat="0" applyFill="0" applyAlignment="0" applyProtection="0"/>
    <xf numFmtId="169" fontId="41" fillId="9" borderId="0" applyNumberFormat="0" applyBorder="0" applyAlignment="0" applyProtection="0"/>
    <xf numFmtId="169" fontId="30" fillId="10" borderId="0" applyNumberFormat="0" applyBorder="0" applyAlignment="0" applyProtection="0"/>
    <xf numFmtId="169" fontId="30" fillId="11" borderId="0" applyNumberFormat="0" applyBorder="0" applyAlignment="0" applyProtection="0"/>
    <xf numFmtId="169" fontId="41" fillId="12" borderId="0" applyNumberFormat="0" applyBorder="0" applyAlignment="0" applyProtection="0"/>
    <xf numFmtId="169" fontId="41" fillId="13" borderId="0" applyNumberFormat="0" applyBorder="0" applyAlignment="0" applyProtection="0"/>
    <xf numFmtId="169" fontId="30" fillId="14" borderId="0" applyNumberFormat="0" applyBorder="0" applyAlignment="0" applyProtection="0"/>
    <xf numFmtId="169" fontId="30" fillId="15" borderId="0" applyNumberFormat="0" applyBorder="0" applyAlignment="0" applyProtection="0"/>
    <xf numFmtId="169" fontId="41" fillId="16" borderId="0" applyNumberFormat="0" applyBorder="0" applyAlignment="0" applyProtection="0"/>
    <xf numFmtId="169" fontId="41" fillId="17" borderId="0" applyNumberFormat="0" applyBorder="0" applyAlignment="0" applyProtection="0"/>
    <xf numFmtId="169" fontId="30" fillId="18" borderId="0" applyNumberFormat="0" applyBorder="0" applyAlignment="0" applyProtection="0"/>
    <xf numFmtId="169" fontId="30" fillId="19" borderId="0" applyNumberFormat="0" applyBorder="0" applyAlignment="0" applyProtection="0"/>
    <xf numFmtId="169" fontId="41" fillId="20" borderId="0" applyNumberFormat="0" applyBorder="0" applyAlignment="0" applyProtection="0"/>
    <xf numFmtId="169" fontId="41" fillId="21" borderId="0" applyNumberFormat="0" applyBorder="0" applyAlignment="0" applyProtection="0"/>
    <xf numFmtId="169" fontId="30" fillId="22" borderId="0" applyNumberFormat="0" applyBorder="0" applyAlignment="0" applyProtection="0"/>
    <xf numFmtId="169" fontId="30" fillId="23" borderId="0" applyNumberFormat="0" applyBorder="0" applyAlignment="0" applyProtection="0"/>
    <xf numFmtId="169" fontId="41" fillId="24" borderId="0" applyNumberFormat="0" applyBorder="0" applyAlignment="0" applyProtection="0"/>
    <xf numFmtId="169" fontId="41" fillId="25" borderId="0" applyNumberFormat="0" applyBorder="0" applyAlignment="0" applyProtection="0"/>
    <xf numFmtId="169" fontId="30" fillId="26" borderId="0" applyNumberFormat="0" applyBorder="0" applyAlignment="0" applyProtection="0"/>
    <xf numFmtId="169" fontId="30" fillId="27" borderId="0" applyNumberFormat="0" applyBorder="0" applyAlignment="0" applyProtection="0"/>
    <xf numFmtId="169" fontId="41" fillId="28" borderId="0" applyNumberFormat="0" applyBorder="0" applyAlignment="0" applyProtection="0"/>
    <xf numFmtId="169" fontId="41" fillId="29" borderId="0" applyNumberFormat="0" applyBorder="0" applyAlignment="0" applyProtection="0"/>
    <xf numFmtId="169" fontId="30" fillId="30" borderId="0" applyNumberFormat="0" applyBorder="0" applyAlignment="0" applyProtection="0"/>
    <xf numFmtId="169" fontId="30" fillId="31" borderId="0" applyNumberFormat="0" applyBorder="0" applyAlignment="0" applyProtection="0"/>
    <xf numFmtId="169" fontId="41" fillId="32" borderId="0" applyNumberFormat="0" applyBorder="0" applyAlignment="0" applyProtection="0"/>
    <xf numFmtId="169" fontId="1" fillId="0" borderId="0"/>
    <xf numFmtId="169" fontId="1" fillId="0" borderId="0"/>
    <xf numFmtId="169" fontId="28" fillId="0" borderId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1" fillId="0" borderId="0"/>
    <xf numFmtId="169" fontId="28" fillId="0" borderId="0"/>
    <xf numFmtId="169" fontId="28" fillId="0" borderId="0"/>
    <xf numFmtId="9" fontId="28" fillId="0" borderId="0" applyFont="0" applyFill="0" applyBorder="0" applyAlignment="0" applyProtection="0"/>
    <xf numFmtId="169" fontId="28" fillId="0" borderId="0"/>
    <xf numFmtId="169" fontId="1" fillId="0" borderId="0"/>
    <xf numFmtId="44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9" fontId="2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28" fillId="0" borderId="0" applyFont="0" applyFill="0" applyBorder="0" applyAlignment="0" applyProtection="0"/>
    <xf numFmtId="169" fontId="28" fillId="0" borderId="0"/>
    <xf numFmtId="169" fontId="31" fillId="2" borderId="0" applyNumberFormat="0" applyBorder="0" applyAlignment="0" applyProtection="0"/>
    <xf numFmtId="169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1" fillId="0" borderId="0"/>
    <xf numFmtId="169" fontId="28" fillId="0" borderId="0"/>
    <xf numFmtId="169" fontId="28" fillId="0" borderId="0"/>
    <xf numFmtId="169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1" fillId="0" borderId="0"/>
    <xf numFmtId="169" fontId="28" fillId="0" borderId="0"/>
    <xf numFmtId="169" fontId="2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9" fillId="0" borderId="0" applyNumberFormat="0" applyFill="0" applyBorder="0" applyAlignment="0" applyProtection="0"/>
    <xf numFmtId="169" fontId="3" fillId="0" borderId="1" applyNumberFormat="0" applyFill="0" applyAlignment="0" applyProtection="0"/>
    <xf numFmtId="169" fontId="4" fillId="0" borderId="2" applyNumberFormat="0" applyFill="0" applyAlignment="0" applyProtection="0"/>
    <xf numFmtId="169" fontId="5" fillId="0" borderId="3" applyNumberFormat="0" applyFill="0" applyAlignment="0" applyProtection="0"/>
    <xf numFmtId="169" fontId="5" fillId="0" borderId="0" applyNumberFormat="0" applyFill="0" applyBorder="0" applyAlignment="0" applyProtection="0"/>
    <xf numFmtId="169" fontId="30" fillId="0" borderId="0"/>
    <xf numFmtId="169" fontId="31" fillId="2" borderId="0" applyNumberFormat="0" applyBorder="0" applyAlignment="0" applyProtection="0"/>
    <xf numFmtId="169" fontId="32" fillId="3" borderId="0" applyNumberFormat="0" applyBorder="0" applyAlignment="0" applyProtection="0"/>
    <xf numFmtId="169" fontId="33" fillId="4" borderId="0" applyNumberFormat="0" applyBorder="0" applyAlignment="0" applyProtection="0"/>
    <xf numFmtId="169" fontId="34" fillId="5" borderId="4" applyNumberFormat="0" applyAlignment="0" applyProtection="0"/>
    <xf numFmtId="169" fontId="35" fillId="6" borderId="5" applyNumberFormat="0" applyAlignment="0" applyProtection="0"/>
    <xf numFmtId="169" fontId="36" fillId="6" borderId="4" applyNumberFormat="0" applyAlignment="0" applyProtection="0"/>
    <xf numFmtId="169" fontId="37" fillId="0" borderId="6" applyNumberFormat="0" applyFill="0" applyAlignment="0" applyProtection="0"/>
    <xf numFmtId="169" fontId="38" fillId="7" borderId="7" applyNumberFormat="0" applyAlignment="0" applyProtection="0"/>
    <xf numFmtId="169" fontId="39" fillId="0" borderId="0" applyNumberFormat="0" applyFill="0" applyBorder="0" applyAlignment="0" applyProtection="0"/>
    <xf numFmtId="169" fontId="30" fillId="8" borderId="8" applyNumberFormat="0" applyFont="0" applyAlignment="0" applyProtection="0"/>
    <xf numFmtId="169" fontId="40" fillId="0" borderId="0" applyNumberFormat="0" applyFill="0" applyBorder="0" applyAlignment="0" applyProtection="0"/>
    <xf numFmtId="169" fontId="25" fillId="0" borderId="9" applyNumberFormat="0" applyFill="0" applyAlignment="0" applyProtection="0"/>
    <xf numFmtId="169" fontId="41" fillId="9" borderId="0" applyNumberFormat="0" applyBorder="0" applyAlignment="0" applyProtection="0"/>
    <xf numFmtId="169" fontId="30" fillId="10" borderId="0" applyNumberFormat="0" applyBorder="0" applyAlignment="0" applyProtection="0"/>
    <xf numFmtId="169" fontId="30" fillId="11" borderId="0" applyNumberFormat="0" applyBorder="0" applyAlignment="0" applyProtection="0"/>
    <xf numFmtId="169" fontId="41" fillId="12" borderId="0" applyNumberFormat="0" applyBorder="0" applyAlignment="0" applyProtection="0"/>
    <xf numFmtId="169" fontId="41" fillId="13" borderId="0" applyNumberFormat="0" applyBorder="0" applyAlignment="0" applyProtection="0"/>
    <xf numFmtId="169" fontId="30" fillId="14" borderId="0" applyNumberFormat="0" applyBorder="0" applyAlignment="0" applyProtection="0"/>
    <xf numFmtId="169" fontId="30" fillId="15" borderId="0" applyNumberFormat="0" applyBorder="0" applyAlignment="0" applyProtection="0"/>
    <xf numFmtId="169" fontId="41" fillId="16" borderId="0" applyNumberFormat="0" applyBorder="0" applyAlignment="0" applyProtection="0"/>
    <xf numFmtId="169" fontId="41" fillId="17" borderId="0" applyNumberFormat="0" applyBorder="0" applyAlignment="0" applyProtection="0"/>
    <xf numFmtId="169" fontId="30" fillId="18" borderId="0" applyNumberFormat="0" applyBorder="0" applyAlignment="0" applyProtection="0"/>
    <xf numFmtId="169" fontId="30" fillId="19" borderId="0" applyNumberFormat="0" applyBorder="0" applyAlignment="0" applyProtection="0"/>
    <xf numFmtId="169" fontId="41" fillId="20" borderId="0" applyNumberFormat="0" applyBorder="0" applyAlignment="0" applyProtection="0"/>
    <xf numFmtId="169" fontId="41" fillId="21" borderId="0" applyNumberFormat="0" applyBorder="0" applyAlignment="0" applyProtection="0"/>
    <xf numFmtId="169" fontId="30" fillId="22" borderId="0" applyNumberFormat="0" applyBorder="0" applyAlignment="0" applyProtection="0"/>
    <xf numFmtId="169" fontId="30" fillId="23" borderId="0" applyNumberFormat="0" applyBorder="0" applyAlignment="0" applyProtection="0"/>
    <xf numFmtId="169" fontId="41" fillId="24" borderId="0" applyNumberFormat="0" applyBorder="0" applyAlignment="0" applyProtection="0"/>
    <xf numFmtId="169" fontId="41" fillId="25" borderId="0" applyNumberFormat="0" applyBorder="0" applyAlignment="0" applyProtection="0"/>
    <xf numFmtId="169" fontId="30" fillId="26" borderId="0" applyNumberFormat="0" applyBorder="0" applyAlignment="0" applyProtection="0"/>
    <xf numFmtId="169" fontId="30" fillId="27" borderId="0" applyNumberFormat="0" applyBorder="0" applyAlignment="0" applyProtection="0"/>
    <xf numFmtId="169" fontId="41" fillId="28" borderId="0" applyNumberFormat="0" applyBorder="0" applyAlignment="0" applyProtection="0"/>
    <xf numFmtId="169" fontId="41" fillId="29" borderId="0" applyNumberFormat="0" applyBorder="0" applyAlignment="0" applyProtection="0"/>
    <xf numFmtId="169" fontId="30" fillId="30" borderId="0" applyNumberFormat="0" applyBorder="0" applyAlignment="0" applyProtection="0"/>
    <xf numFmtId="169" fontId="30" fillId="31" borderId="0" applyNumberFormat="0" applyBorder="0" applyAlignment="0" applyProtection="0"/>
    <xf numFmtId="169" fontId="41" fillId="32" borderId="0" applyNumberFormat="0" applyBorder="0" applyAlignment="0" applyProtection="0"/>
    <xf numFmtId="169" fontId="1" fillId="0" borderId="0"/>
    <xf numFmtId="169" fontId="1" fillId="0" borderId="0"/>
    <xf numFmtId="169" fontId="30" fillId="0" borderId="0"/>
    <xf numFmtId="169" fontId="31" fillId="2" borderId="0" applyNumberFormat="0" applyBorder="0" applyAlignment="0" applyProtection="0"/>
    <xf numFmtId="169" fontId="32" fillId="3" borderId="0" applyNumberFormat="0" applyBorder="0" applyAlignment="0" applyProtection="0"/>
    <xf numFmtId="169" fontId="33" fillId="4" borderId="0" applyNumberFormat="0" applyBorder="0" applyAlignment="0" applyProtection="0"/>
    <xf numFmtId="169" fontId="34" fillId="5" borderId="4" applyNumberFormat="0" applyAlignment="0" applyProtection="0"/>
    <xf numFmtId="169" fontId="35" fillId="6" borderId="5" applyNumberFormat="0" applyAlignment="0" applyProtection="0"/>
    <xf numFmtId="169" fontId="36" fillId="6" borderId="4" applyNumberFormat="0" applyAlignment="0" applyProtection="0"/>
    <xf numFmtId="169" fontId="37" fillId="0" borderId="6" applyNumberFormat="0" applyFill="0" applyAlignment="0" applyProtection="0"/>
    <xf numFmtId="169" fontId="38" fillId="7" borderId="7" applyNumberFormat="0" applyAlignment="0" applyProtection="0"/>
    <xf numFmtId="169" fontId="39" fillId="0" borderId="0" applyNumberFormat="0" applyFill="0" applyBorder="0" applyAlignment="0" applyProtection="0"/>
    <xf numFmtId="169" fontId="30" fillId="8" borderId="8" applyNumberFormat="0" applyFont="0" applyAlignment="0" applyProtection="0"/>
    <xf numFmtId="169" fontId="40" fillId="0" borderId="0" applyNumberFormat="0" applyFill="0" applyBorder="0" applyAlignment="0" applyProtection="0"/>
    <xf numFmtId="169" fontId="25" fillId="0" borderId="9" applyNumberFormat="0" applyFill="0" applyAlignment="0" applyProtection="0"/>
    <xf numFmtId="169" fontId="41" fillId="9" borderId="0" applyNumberFormat="0" applyBorder="0" applyAlignment="0" applyProtection="0"/>
    <xf numFmtId="169" fontId="30" fillId="10" borderId="0" applyNumberFormat="0" applyBorder="0" applyAlignment="0" applyProtection="0"/>
    <xf numFmtId="169" fontId="30" fillId="11" borderId="0" applyNumberFormat="0" applyBorder="0" applyAlignment="0" applyProtection="0"/>
    <xf numFmtId="169" fontId="41" fillId="12" borderId="0" applyNumberFormat="0" applyBorder="0" applyAlignment="0" applyProtection="0"/>
    <xf numFmtId="169" fontId="41" fillId="13" borderId="0" applyNumberFormat="0" applyBorder="0" applyAlignment="0" applyProtection="0"/>
    <xf numFmtId="169" fontId="30" fillId="14" borderId="0" applyNumberFormat="0" applyBorder="0" applyAlignment="0" applyProtection="0"/>
    <xf numFmtId="169" fontId="30" fillId="15" borderId="0" applyNumberFormat="0" applyBorder="0" applyAlignment="0" applyProtection="0"/>
    <xf numFmtId="169" fontId="41" fillId="16" borderId="0" applyNumberFormat="0" applyBorder="0" applyAlignment="0" applyProtection="0"/>
    <xf numFmtId="169" fontId="41" fillId="17" borderId="0" applyNumberFormat="0" applyBorder="0" applyAlignment="0" applyProtection="0"/>
    <xf numFmtId="169" fontId="30" fillId="18" borderId="0" applyNumberFormat="0" applyBorder="0" applyAlignment="0" applyProtection="0"/>
    <xf numFmtId="169" fontId="30" fillId="19" borderId="0" applyNumberFormat="0" applyBorder="0" applyAlignment="0" applyProtection="0"/>
    <xf numFmtId="169" fontId="41" fillId="20" borderId="0" applyNumberFormat="0" applyBorder="0" applyAlignment="0" applyProtection="0"/>
    <xf numFmtId="169" fontId="41" fillId="21" borderId="0" applyNumberFormat="0" applyBorder="0" applyAlignment="0" applyProtection="0"/>
    <xf numFmtId="169" fontId="30" fillId="22" borderId="0" applyNumberFormat="0" applyBorder="0" applyAlignment="0" applyProtection="0"/>
    <xf numFmtId="169" fontId="30" fillId="23" borderId="0" applyNumberFormat="0" applyBorder="0" applyAlignment="0" applyProtection="0"/>
    <xf numFmtId="169" fontId="41" fillId="24" borderId="0" applyNumberFormat="0" applyBorder="0" applyAlignment="0" applyProtection="0"/>
    <xf numFmtId="169" fontId="41" fillId="25" borderId="0" applyNumberFormat="0" applyBorder="0" applyAlignment="0" applyProtection="0"/>
    <xf numFmtId="169" fontId="30" fillId="26" borderId="0" applyNumberFormat="0" applyBorder="0" applyAlignment="0" applyProtection="0"/>
    <xf numFmtId="169" fontId="30" fillId="27" borderId="0" applyNumberFormat="0" applyBorder="0" applyAlignment="0" applyProtection="0"/>
    <xf numFmtId="169" fontId="41" fillId="28" borderId="0" applyNumberFormat="0" applyBorder="0" applyAlignment="0" applyProtection="0"/>
    <xf numFmtId="169" fontId="41" fillId="29" borderId="0" applyNumberFormat="0" applyBorder="0" applyAlignment="0" applyProtection="0"/>
    <xf numFmtId="169" fontId="30" fillId="30" borderId="0" applyNumberFormat="0" applyBorder="0" applyAlignment="0" applyProtection="0"/>
    <xf numFmtId="169" fontId="30" fillId="31" borderId="0" applyNumberFormat="0" applyBorder="0" applyAlignment="0" applyProtection="0"/>
    <xf numFmtId="169" fontId="41" fillId="32" borderId="0" applyNumberFormat="0" applyBorder="0" applyAlignment="0" applyProtection="0"/>
    <xf numFmtId="169" fontId="1" fillId="0" borderId="0"/>
    <xf numFmtId="169" fontId="1" fillId="0" borderId="0"/>
    <xf numFmtId="169" fontId="28" fillId="0" borderId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9" fontId="1" fillId="0" borderId="0"/>
    <xf numFmtId="169" fontId="28" fillId="0" borderId="0"/>
    <xf numFmtId="169" fontId="28" fillId="0" borderId="0"/>
    <xf numFmtId="169" fontId="28" fillId="0" borderId="0"/>
    <xf numFmtId="169" fontId="1" fillId="0" borderId="0"/>
    <xf numFmtId="44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9" fontId="2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28" fillId="0" borderId="0"/>
    <xf numFmtId="169" fontId="1" fillId="0" borderId="0"/>
    <xf numFmtId="169" fontId="42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8" fillId="0" borderId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0" fontId="43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0" fillId="0" borderId="0"/>
    <xf numFmtId="44" fontId="2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305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16" fillId="35" borderId="18" xfId="0" applyFont="1" applyFill="1" applyBorder="1" applyAlignment="1">
      <alignment horizontal="center" vertical="center"/>
    </xf>
    <xf numFmtId="0" fontId="16" fillId="36" borderId="1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164" fontId="0" fillId="0" borderId="0" xfId="43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9" fontId="16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40" borderId="0" xfId="0" applyFill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22" fillId="0" borderId="0" xfId="0" applyFont="1"/>
    <xf numFmtId="0" fontId="23" fillId="0" borderId="49" xfId="0" applyFont="1" applyBorder="1" applyAlignment="1">
      <alignment horizontal="left"/>
    </xf>
    <xf numFmtId="0" fontId="22" fillId="42" borderId="43" xfId="0" applyFont="1" applyFill="1" applyBorder="1"/>
    <xf numFmtId="0" fontId="22" fillId="42" borderId="52" xfId="0" applyFont="1" applyFill="1" applyBorder="1" applyAlignment="1">
      <alignment horizontal="center"/>
    </xf>
    <xf numFmtId="0" fontId="22" fillId="42" borderId="53" xfId="0" applyFont="1" applyFill="1" applyBorder="1" applyAlignment="1">
      <alignment horizontal="center"/>
    </xf>
    <xf numFmtId="0" fontId="22" fillId="42" borderId="50" xfId="0" applyFont="1" applyFill="1" applyBorder="1"/>
    <xf numFmtId="0" fontId="22" fillId="42" borderId="51" xfId="0" applyFont="1" applyFill="1" applyBorder="1"/>
    <xf numFmtId="0" fontId="0" fillId="0" borderId="46" xfId="0" applyBorder="1" applyAlignment="1">
      <alignment horizontal="center"/>
    </xf>
    <xf numFmtId="0" fontId="22" fillId="42" borderId="44" xfId="0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16" fillId="42" borderId="54" xfId="0" applyFont="1" applyFill="1" applyBorder="1"/>
    <xf numFmtId="0" fontId="16" fillId="42" borderId="55" xfId="0" applyFont="1" applyFill="1" applyBorder="1"/>
    <xf numFmtId="0" fontId="16" fillId="42" borderId="55" xfId="0" applyFont="1" applyFill="1" applyBorder="1" applyAlignment="1">
      <alignment horizontal="center"/>
    </xf>
    <xf numFmtId="0" fontId="16" fillId="42" borderId="55" xfId="0" applyFont="1" applyFill="1" applyBorder="1" applyAlignment="1">
      <alignment horizontal="right"/>
    </xf>
    <xf numFmtId="0" fontId="16" fillId="42" borderId="56" xfId="0" applyFont="1" applyFill="1" applyBorder="1"/>
    <xf numFmtId="0" fontId="16" fillId="42" borderId="54" xfId="0" applyFont="1" applyFill="1" applyBorder="1" applyAlignment="1">
      <alignment horizontal="center"/>
    </xf>
    <xf numFmtId="9" fontId="22" fillId="0" borderId="55" xfId="1" applyFont="1" applyBorder="1" applyAlignment="1">
      <alignment horizontal="center"/>
    </xf>
    <xf numFmtId="9" fontId="24" fillId="0" borderId="55" xfId="1" applyFont="1" applyBorder="1" applyAlignment="1">
      <alignment horizontal="center"/>
    </xf>
    <xf numFmtId="9" fontId="22" fillId="0" borderId="56" xfId="1" applyFont="1" applyBorder="1" applyAlignment="1">
      <alignment horizontal="center"/>
    </xf>
    <xf numFmtId="0" fontId="0" fillId="0" borderId="0" xfId="1" applyNumberFormat="1" applyFont="1" applyAlignment="1">
      <alignment horizontal="center" vertical="center"/>
    </xf>
    <xf numFmtId="0" fontId="0" fillId="42" borderId="0" xfId="0" applyFill="1" applyAlignment="1">
      <alignment horizontal="center" vertical="center" wrapText="1"/>
    </xf>
    <xf numFmtId="168" fontId="0" fillId="0" borderId="0" xfId="1" applyNumberFormat="1" applyFont="1" applyAlignment="1">
      <alignment horizontal="center" vertical="center"/>
    </xf>
    <xf numFmtId="0" fontId="0" fillId="41" borderId="0" xfId="0" applyFill="1" applyAlignment="1">
      <alignment horizontal="center" vertical="center" wrapText="1"/>
    </xf>
    <xf numFmtId="0" fontId="0" fillId="0" borderId="57" xfId="0" applyBorder="1"/>
    <xf numFmtId="0" fontId="0" fillId="0" borderId="58" xfId="0" applyBorder="1"/>
    <xf numFmtId="0" fontId="0" fillId="41" borderId="58" xfId="0" applyFill="1" applyBorder="1" applyAlignment="1">
      <alignment horizontal="center" vertical="center" wrapText="1"/>
    </xf>
    <xf numFmtId="168" fontId="0" fillId="0" borderId="58" xfId="1" applyNumberFormat="1" applyFont="1" applyBorder="1" applyAlignment="1">
      <alignment horizontal="center" vertical="center"/>
    </xf>
    <xf numFmtId="168" fontId="0" fillId="0" borderId="0" xfId="1" applyNumberFormat="1" applyFont="1" applyBorder="1" applyAlignment="1">
      <alignment horizontal="center" vertical="center"/>
    </xf>
    <xf numFmtId="0" fontId="0" fillId="42" borderId="58" xfId="0" applyFill="1" applyBorder="1" applyAlignment="1">
      <alignment horizontal="center" vertical="center" wrapText="1"/>
    </xf>
    <xf numFmtId="0" fontId="0" fillId="0" borderId="58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40" borderId="57" xfId="0" applyFill="1" applyBorder="1" applyAlignment="1">
      <alignment horizontal="center" vertical="center" wrapText="1"/>
    </xf>
    <xf numFmtId="9" fontId="0" fillId="0" borderId="57" xfId="1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58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6" fontId="0" fillId="0" borderId="0" xfId="0" applyNumberFormat="1"/>
    <xf numFmtId="164" fontId="16" fillId="0" borderId="0" xfId="43" applyFont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49" xfId="0" applyFont="1" applyBorder="1" applyAlignment="1">
      <alignment horizontal="center"/>
    </xf>
    <xf numFmtId="2" fontId="16" fillId="0" borderId="0" xfId="0" applyNumberFormat="1" applyFont="1" applyAlignment="1">
      <alignment horizontal="center" vertical="center"/>
    </xf>
    <xf numFmtId="9" fontId="16" fillId="0" borderId="0" xfId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5" fontId="0" fillId="0" borderId="58" xfId="0" applyNumberFormat="1" applyBorder="1" applyAlignment="1">
      <alignment horizontal="center" vertical="center"/>
    </xf>
    <xf numFmtId="9" fontId="0" fillId="0" borderId="57" xfId="0" applyNumberFormat="1" applyBorder="1" applyAlignment="1">
      <alignment horizontal="center" vertical="center"/>
    </xf>
    <xf numFmtId="10" fontId="16" fillId="0" borderId="0" xfId="1" applyNumberFormat="1" applyFont="1" applyAlignment="1">
      <alignment horizontal="center" vertical="center"/>
    </xf>
    <xf numFmtId="164" fontId="1" fillId="0" borderId="0" xfId="43" applyFont="1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33" borderId="63" xfId="0" applyFill="1" applyBorder="1" applyAlignment="1">
      <alignment horizontal="center" vertical="center"/>
    </xf>
    <xf numFmtId="0" fontId="13" fillId="45" borderId="18" xfId="0" applyFont="1" applyFill="1" applyBorder="1" applyAlignment="1">
      <alignment horizontal="center" vertical="center"/>
    </xf>
    <xf numFmtId="0" fontId="18" fillId="46" borderId="18" xfId="0" applyFont="1" applyFill="1" applyBorder="1" applyAlignment="1">
      <alignment horizontal="center" vertical="center"/>
    </xf>
    <xf numFmtId="0" fontId="18" fillId="48" borderId="18" xfId="0" applyFont="1" applyFill="1" applyBorder="1" applyAlignment="1">
      <alignment horizontal="center" vertical="center"/>
    </xf>
    <xf numFmtId="0" fontId="18" fillId="49" borderId="18" xfId="0" applyFont="1" applyFill="1" applyBorder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  <xf numFmtId="0" fontId="18" fillId="43" borderId="18" xfId="0" applyFont="1" applyFill="1" applyBorder="1" applyAlignment="1">
      <alignment horizontal="center" vertical="center"/>
    </xf>
    <xf numFmtId="0" fontId="16" fillId="50" borderId="71" xfId="0" applyFont="1" applyFill="1" applyBorder="1" applyAlignment="1">
      <alignment horizontal="center" vertical="center"/>
    </xf>
    <xf numFmtId="0" fontId="18" fillId="50" borderId="71" xfId="0" applyFont="1" applyFill="1" applyBorder="1" applyAlignment="1">
      <alignment horizontal="center" vertical="center"/>
    </xf>
    <xf numFmtId="0" fontId="16" fillId="46" borderId="21" xfId="0" applyFont="1" applyFill="1" applyBorder="1" applyAlignment="1">
      <alignment horizontal="center" vertical="center"/>
    </xf>
    <xf numFmtId="0" fontId="16" fillId="34" borderId="62" xfId="0" applyFont="1" applyFill="1" applyBorder="1" applyAlignment="1">
      <alignment horizontal="center" vertical="center"/>
    </xf>
    <xf numFmtId="0" fontId="0" fillId="49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6" fillId="44" borderId="11" xfId="0" applyFont="1" applyFill="1" applyBorder="1" applyAlignment="1">
      <alignment horizontal="center" vertical="center"/>
    </xf>
    <xf numFmtId="0" fontId="16" fillId="44" borderId="10" xfId="0" applyFont="1" applyFill="1" applyBorder="1" applyAlignment="1">
      <alignment horizontal="center" vertical="center"/>
    </xf>
    <xf numFmtId="164" fontId="0" fillId="0" borderId="0" xfId="43" applyFont="1"/>
    <xf numFmtId="10" fontId="0" fillId="0" borderId="0" xfId="0" applyNumberFormat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44" fontId="16" fillId="0" borderId="0" xfId="43" applyNumberFormat="1" applyFont="1" applyAlignment="1">
      <alignment horizontal="center" vertical="center"/>
    </xf>
    <xf numFmtId="0" fontId="18" fillId="51" borderId="18" xfId="0" applyFont="1" applyFill="1" applyBorder="1" applyAlignment="1">
      <alignment horizontal="center" vertical="center"/>
    </xf>
    <xf numFmtId="0" fontId="16" fillId="51" borderId="10" xfId="0" applyFont="1" applyFill="1" applyBorder="1" applyAlignment="1">
      <alignment horizontal="center" vertical="center"/>
    </xf>
    <xf numFmtId="0" fontId="16" fillId="42" borderId="10" xfId="0" applyFont="1" applyFill="1" applyBorder="1" applyAlignment="1">
      <alignment horizontal="center" vertical="center"/>
    </xf>
    <xf numFmtId="0" fontId="16" fillId="52" borderId="11" xfId="0" applyFont="1" applyFill="1" applyBorder="1" applyAlignment="1">
      <alignment horizontal="center" vertical="center"/>
    </xf>
    <xf numFmtId="0" fontId="22" fillId="0" borderId="59" xfId="0" applyFont="1" applyBorder="1" applyAlignment="1">
      <alignment horizontal="center"/>
    </xf>
    <xf numFmtId="0" fontId="16" fillId="53" borderId="11" xfId="0" applyFont="1" applyFill="1" applyBorder="1" applyAlignment="1">
      <alignment horizontal="center" vertical="center"/>
    </xf>
    <xf numFmtId="0" fontId="16" fillId="53" borderId="10" xfId="0" applyFont="1" applyFill="1" applyBorder="1" applyAlignment="1">
      <alignment horizontal="center" vertical="center"/>
    </xf>
    <xf numFmtId="0" fontId="16" fillId="37" borderId="11" xfId="0" applyFont="1" applyFill="1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0" borderId="58" xfId="0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0" fillId="0" borderId="58" xfId="0" applyBorder="1" applyAlignment="1">
      <alignment horizontal="left" vertical="center"/>
    </xf>
    <xf numFmtId="0" fontId="16" fillId="54" borderId="1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16" fillId="55" borderId="18" xfId="0" applyFont="1" applyFill="1" applyBorder="1" applyAlignment="1">
      <alignment horizontal="center" vertical="center"/>
    </xf>
    <xf numFmtId="0" fontId="16" fillId="56" borderId="10" xfId="0" applyFont="1" applyFill="1" applyBorder="1" applyAlignment="1">
      <alignment horizontal="center" vertical="center"/>
    </xf>
    <xf numFmtId="9" fontId="16" fillId="44" borderId="10" xfId="0" applyNumberFormat="1" applyFont="1" applyFill="1" applyBorder="1" applyAlignment="1">
      <alignment horizontal="center" vertical="center"/>
    </xf>
    <xf numFmtId="0" fontId="16" fillId="44" borderId="73" xfId="0" applyFont="1" applyFill="1" applyBorder="1" applyAlignment="1">
      <alignment horizontal="center" vertical="center"/>
    </xf>
    <xf numFmtId="0" fontId="18" fillId="53" borderId="73" xfId="0" applyFont="1" applyFill="1" applyBorder="1" applyAlignment="1">
      <alignment horizontal="center" vertical="center"/>
    </xf>
    <xf numFmtId="0" fontId="16" fillId="55" borderId="73" xfId="0" applyFont="1" applyFill="1" applyBorder="1" applyAlignment="1">
      <alignment horizontal="center" vertical="center"/>
    </xf>
    <xf numFmtId="0" fontId="13" fillId="45" borderId="73" xfId="0" applyFont="1" applyFill="1" applyBorder="1" applyAlignment="1">
      <alignment horizontal="center" vertical="center"/>
    </xf>
    <xf numFmtId="0" fontId="18" fillId="46" borderId="73" xfId="0" applyFont="1" applyFill="1" applyBorder="1" applyAlignment="1">
      <alignment horizontal="center" vertical="center"/>
    </xf>
    <xf numFmtId="0" fontId="18" fillId="47" borderId="73" xfId="0" applyFont="1" applyFill="1" applyBorder="1" applyAlignment="1">
      <alignment horizontal="center" vertical="center"/>
    </xf>
    <xf numFmtId="0" fontId="18" fillId="36" borderId="73" xfId="0" applyFont="1" applyFill="1" applyBorder="1" applyAlignment="1">
      <alignment horizontal="center" vertical="center"/>
    </xf>
    <xf numFmtId="0" fontId="18" fillId="48" borderId="73" xfId="0" applyFont="1" applyFill="1" applyBorder="1" applyAlignment="1">
      <alignment horizontal="center" vertical="center"/>
    </xf>
    <xf numFmtId="0" fontId="18" fillId="49" borderId="73" xfId="0" applyFont="1" applyFill="1" applyBorder="1" applyAlignment="1">
      <alignment horizontal="center" vertical="center"/>
    </xf>
    <xf numFmtId="0" fontId="18" fillId="38" borderId="73" xfId="0" applyFont="1" applyFill="1" applyBorder="1" applyAlignment="1">
      <alignment horizontal="center" vertical="center"/>
    </xf>
    <xf numFmtId="0" fontId="18" fillId="41" borderId="73" xfId="0" applyFont="1" applyFill="1" applyBorder="1" applyAlignment="1">
      <alignment horizontal="center" vertical="center"/>
    </xf>
    <xf numFmtId="0" fontId="18" fillId="34" borderId="73" xfId="0" applyFont="1" applyFill="1" applyBorder="1" applyAlignment="1">
      <alignment horizontal="center" vertical="center"/>
    </xf>
    <xf numFmtId="0" fontId="18" fillId="35" borderId="73" xfId="0" applyFont="1" applyFill="1" applyBorder="1" applyAlignment="1">
      <alignment horizontal="center" vertical="center"/>
    </xf>
    <xf numFmtId="0" fontId="18" fillId="51" borderId="73" xfId="0" applyFont="1" applyFill="1" applyBorder="1" applyAlignment="1">
      <alignment horizontal="center" vertical="center"/>
    </xf>
    <xf numFmtId="0" fontId="0" fillId="56" borderId="73" xfId="0" applyFill="1" applyBorder="1" applyAlignment="1">
      <alignment horizontal="center" vertical="center"/>
    </xf>
    <xf numFmtId="0" fontId="0" fillId="57" borderId="73" xfId="0" applyFill="1" applyBorder="1" applyAlignment="1">
      <alignment horizontal="center" vertical="center"/>
    </xf>
    <xf numFmtId="0" fontId="18" fillId="58" borderId="23" xfId="0" applyFont="1" applyFill="1" applyBorder="1" applyAlignment="1">
      <alignment horizontal="center" vertical="center"/>
    </xf>
    <xf numFmtId="0" fontId="16" fillId="58" borderId="10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0" fontId="23" fillId="0" borderId="76" xfId="0" applyFont="1" applyBorder="1" applyAlignment="1">
      <alignment horizontal="left"/>
    </xf>
    <xf numFmtId="0" fontId="0" fillId="0" borderId="0" xfId="0" applyAlignment="1">
      <alignment vertical="center"/>
    </xf>
    <xf numFmtId="0" fontId="16" fillId="59" borderId="10" xfId="0" applyFont="1" applyFill="1" applyBorder="1" applyAlignment="1">
      <alignment horizontal="center" vertical="center"/>
    </xf>
    <xf numFmtId="0" fontId="0" fillId="0" borderId="79" xfId="0" applyBorder="1"/>
    <xf numFmtId="0" fontId="22" fillId="0" borderId="80" xfId="0" applyFont="1" applyBorder="1" applyAlignment="1">
      <alignment horizontal="center" vertical="center"/>
    </xf>
    <xf numFmtId="0" fontId="46" fillId="0" borderId="81" xfId="0" applyFont="1" applyBorder="1" applyAlignment="1">
      <alignment horizontal="center" vertical="center"/>
    </xf>
    <xf numFmtId="0" fontId="0" fillId="0" borderId="73" xfId="0" applyBorder="1" applyAlignment="1">
      <alignment horizontal="left" vertical="center"/>
    </xf>
    <xf numFmtId="0" fontId="22" fillId="0" borderId="73" xfId="0" applyFont="1" applyBorder="1" applyAlignment="1">
      <alignment horizontal="center"/>
    </xf>
    <xf numFmtId="0" fontId="46" fillId="0" borderId="82" xfId="0" applyFont="1" applyBorder="1" applyAlignment="1">
      <alignment horizontal="center" vertical="center"/>
    </xf>
    <xf numFmtId="0" fontId="0" fillId="0" borderId="83" xfId="0" applyBorder="1" applyAlignment="1">
      <alignment horizontal="left" vertical="center"/>
    </xf>
    <xf numFmtId="0" fontId="22" fillId="0" borderId="83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47" fillId="0" borderId="73" xfId="351" applyBorder="1" applyAlignment="1">
      <alignment horizontal="center"/>
    </xf>
    <xf numFmtId="0" fontId="48" fillId="0" borderId="73" xfId="351" applyFont="1" applyBorder="1" applyAlignment="1">
      <alignment horizontal="center"/>
    </xf>
    <xf numFmtId="0" fontId="17" fillId="0" borderId="73" xfId="0" applyFont="1" applyBorder="1" applyAlignment="1">
      <alignment horizontal="center"/>
    </xf>
    <xf numFmtId="44" fontId="16" fillId="0" borderId="0" xfId="0" applyNumberFormat="1" applyFont="1" applyAlignment="1">
      <alignment horizontal="center" vertical="center"/>
    </xf>
    <xf numFmtId="0" fontId="0" fillId="0" borderId="88" xfId="0" applyBorder="1"/>
    <xf numFmtId="0" fontId="0" fillId="0" borderId="91" xfId="0" applyBorder="1"/>
    <xf numFmtId="0" fontId="0" fillId="33" borderId="94" xfId="0" applyFill="1" applyBorder="1" applyAlignment="1">
      <alignment horizontal="center" vertical="center"/>
    </xf>
    <xf numFmtId="0" fontId="0" fillId="33" borderId="95" xfId="0" applyFill="1" applyBorder="1" applyAlignment="1">
      <alignment horizontal="center" vertical="center"/>
    </xf>
    <xf numFmtId="0" fontId="0" fillId="33" borderId="96" xfId="0" applyFill="1" applyBorder="1" applyAlignment="1">
      <alignment horizontal="center" vertical="center"/>
    </xf>
    <xf numFmtId="0" fontId="0" fillId="33" borderId="97" xfId="0" applyFill="1" applyBorder="1" applyAlignment="1">
      <alignment horizontal="center" vertical="center"/>
    </xf>
    <xf numFmtId="0" fontId="0" fillId="33" borderId="98" xfId="0" applyFill="1" applyBorder="1" applyAlignment="1">
      <alignment horizontal="center" vertical="center"/>
    </xf>
    <xf numFmtId="0" fontId="0" fillId="33" borderId="99" xfId="0" applyFill="1" applyBorder="1" applyAlignment="1">
      <alignment horizontal="center" vertical="center"/>
    </xf>
    <xf numFmtId="0" fontId="0" fillId="0" borderId="100" xfId="0" applyBorder="1"/>
    <xf numFmtId="0" fontId="0" fillId="33" borderId="101" xfId="0" applyFill="1" applyBorder="1" applyAlignment="1">
      <alignment horizontal="center" vertical="center"/>
    </xf>
    <xf numFmtId="0" fontId="0" fillId="33" borderId="102" xfId="0" applyFill="1" applyBorder="1" applyAlignment="1">
      <alignment horizontal="center" vertical="center"/>
    </xf>
    <xf numFmtId="0" fontId="0" fillId="33" borderId="92" xfId="0" applyFill="1" applyBorder="1" applyAlignment="1">
      <alignment horizontal="center" vertical="center"/>
    </xf>
    <xf numFmtId="0" fontId="0" fillId="33" borderId="103" xfId="0" applyFill="1" applyBorder="1" applyAlignment="1">
      <alignment horizontal="center" vertical="center"/>
    </xf>
    <xf numFmtId="0" fontId="0" fillId="33" borderId="104" xfId="0" applyFill="1" applyBorder="1" applyAlignment="1">
      <alignment horizontal="center" vertical="center"/>
    </xf>
    <xf numFmtId="0" fontId="0" fillId="0" borderId="90" xfId="0" applyBorder="1"/>
    <xf numFmtId="0" fontId="0" fillId="33" borderId="105" xfId="0" applyFill="1" applyBorder="1" applyAlignment="1">
      <alignment horizontal="center" vertical="center"/>
    </xf>
    <xf numFmtId="0" fontId="0" fillId="33" borderId="106" xfId="0" applyFill="1" applyBorder="1" applyAlignment="1">
      <alignment horizontal="center" vertical="center"/>
    </xf>
    <xf numFmtId="0" fontId="0" fillId="33" borderId="107" xfId="0" applyFill="1" applyBorder="1" applyAlignment="1">
      <alignment horizontal="center" vertical="center"/>
    </xf>
    <xf numFmtId="0" fontId="0" fillId="0" borderId="108" xfId="0" applyBorder="1"/>
    <xf numFmtId="0" fontId="0" fillId="0" borderId="89" xfId="0" applyBorder="1"/>
    <xf numFmtId="0" fontId="0" fillId="0" borderId="109" xfId="0" applyBorder="1"/>
    <xf numFmtId="0" fontId="0" fillId="0" borderId="110" xfId="0" applyBorder="1"/>
    <xf numFmtId="0" fontId="18" fillId="53" borderId="111" xfId="0" applyFont="1" applyFill="1" applyBorder="1" applyAlignment="1">
      <alignment horizontal="center" vertical="center"/>
    </xf>
    <xf numFmtId="0" fontId="16" fillId="55" borderId="111" xfId="0" applyFont="1" applyFill="1" applyBorder="1" applyAlignment="1">
      <alignment horizontal="center" vertical="center"/>
    </xf>
    <xf numFmtId="0" fontId="13" fillId="45" borderId="111" xfId="0" applyFont="1" applyFill="1" applyBorder="1" applyAlignment="1">
      <alignment horizontal="center" vertical="center"/>
    </xf>
    <xf numFmtId="0" fontId="18" fillId="47" borderId="111" xfId="0" applyFont="1" applyFill="1" applyBorder="1" applyAlignment="1">
      <alignment horizontal="center" vertical="center"/>
    </xf>
    <xf numFmtId="0" fontId="18" fillId="36" borderId="111" xfId="0" applyFont="1" applyFill="1" applyBorder="1" applyAlignment="1">
      <alignment horizontal="center" vertical="center"/>
    </xf>
    <xf numFmtId="0" fontId="18" fillId="48" borderId="111" xfId="0" applyFont="1" applyFill="1" applyBorder="1" applyAlignment="1">
      <alignment horizontal="center" vertical="center"/>
    </xf>
    <xf numFmtId="0" fontId="18" fillId="49" borderId="111" xfId="0" applyFont="1" applyFill="1" applyBorder="1" applyAlignment="1">
      <alignment horizontal="center" vertical="center"/>
    </xf>
    <xf numFmtId="0" fontId="18" fillId="38" borderId="111" xfId="0" applyFont="1" applyFill="1" applyBorder="1" applyAlignment="1">
      <alignment horizontal="center" vertical="center"/>
    </xf>
    <xf numFmtId="0" fontId="18" fillId="41" borderId="111" xfId="0" applyFont="1" applyFill="1" applyBorder="1" applyAlignment="1">
      <alignment horizontal="center" vertical="center"/>
    </xf>
    <xf numFmtId="0" fontId="18" fillId="34" borderId="111" xfId="0" applyFont="1" applyFill="1" applyBorder="1" applyAlignment="1">
      <alignment horizontal="center" vertical="center"/>
    </xf>
    <xf numFmtId="0" fontId="18" fillId="35" borderId="111" xfId="0" applyFont="1" applyFill="1" applyBorder="1" applyAlignment="1">
      <alignment horizontal="center" vertical="center"/>
    </xf>
    <xf numFmtId="0" fontId="18" fillId="51" borderId="111" xfId="0" applyFont="1" applyFill="1" applyBorder="1" applyAlignment="1">
      <alignment horizontal="center" vertical="center"/>
    </xf>
    <xf numFmtId="0" fontId="0" fillId="57" borderId="111" xfId="0" applyFill="1" applyBorder="1" applyAlignment="1">
      <alignment horizontal="center" vertical="center"/>
    </xf>
    <xf numFmtId="0" fontId="18" fillId="58" borderId="111" xfId="0" applyFont="1" applyFill="1" applyBorder="1" applyAlignment="1">
      <alignment horizontal="center" vertical="center"/>
    </xf>
    <xf numFmtId="0" fontId="16" fillId="59" borderId="111" xfId="0" applyFont="1" applyFill="1" applyBorder="1" applyAlignment="1">
      <alignment horizontal="center" vertical="center"/>
    </xf>
    <xf numFmtId="0" fontId="16" fillId="44" borderId="113" xfId="0" applyFont="1" applyFill="1" applyBorder="1" applyAlignment="1">
      <alignment horizontal="center" vertical="center"/>
    </xf>
    <xf numFmtId="0" fontId="0" fillId="0" borderId="114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12" xfId="0" applyBorder="1"/>
    <xf numFmtId="0" fontId="18" fillId="0" borderId="111" xfId="0" applyFont="1" applyBorder="1" applyAlignment="1">
      <alignment horizontal="center" vertical="center"/>
    </xf>
    <xf numFmtId="0" fontId="16" fillId="0" borderId="111" xfId="0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56" borderId="111" xfId="0" applyFont="1" applyFill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49" fillId="43" borderId="111" xfId="0" applyFont="1" applyFill="1" applyBorder="1" applyAlignment="1">
      <alignment horizontal="center" vertical="center"/>
    </xf>
    <xf numFmtId="165" fontId="0" fillId="0" borderId="57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66" fontId="16" fillId="0" borderId="0" xfId="0" applyNumberFormat="1" applyFont="1" applyAlignment="1">
      <alignment horizontal="center" vertical="center"/>
    </xf>
    <xf numFmtId="44" fontId="0" fillId="0" borderId="0" xfId="0" applyNumberFormat="1"/>
    <xf numFmtId="0" fontId="0" fillId="40" borderId="58" xfId="0" applyFill="1" applyBorder="1" applyAlignment="1">
      <alignment horizontal="center" vertical="center" wrapText="1"/>
    </xf>
    <xf numFmtId="9" fontId="16" fillId="0" borderId="58" xfId="0" applyNumberFormat="1" applyFont="1" applyBorder="1" applyAlignment="1">
      <alignment horizontal="center" vertical="center"/>
    </xf>
    <xf numFmtId="0" fontId="17" fillId="0" borderId="73" xfId="352" applyFont="1" applyBorder="1" applyAlignment="1">
      <alignment horizontal="center"/>
    </xf>
    <xf numFmtId="0" fontId="17" fillId="0" borderId="73" xfId="351" applyFont="1" applyBorder="1" applyAlignment="1">
      <alignment horizontal="center"/>
    </xf>
    <xf numFmtId="0" fontId="50" fillId="0" borderId="49" xfId="0" applyFont="1" applyBorder="1" applyAlignment="1">
      <alignment horizontal="left"/>
    </xf>
    <xf numFmtId="0" fontId="18" fillId="60" borderId="111" xfId="0" applyFont="1" applyFill="1" applyBorder="1" applyAlignment="1">
      <alignment horizontal="center" vertical="center"/>
    </xf>
    <xf numFmtId="0" fontId="0" fillId="39" borderId="57" xfId="0" applyFill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10" fontId="16" fillId="0" borderId="58" xfId="1" applyNumberFormat="1" applyFont="1" applyBorder="1" applyAlignment="1">
      <alignment horizontal="center" vertical="center"/>
    </xf>
    <xf numFmtId="10" fontId="16" fillId="0" borderId="58" xfId="0" applyNumberFormat="1" applyFont="1" applyBorder="1" applyAlignment="1">
      <alignment horizontal="center" vertical="center"/>
    </xf>
    <xf numFmtId="166" fontId="0" fillId="0" borderId="58" xfId="1" applyNumberFormat="1" applyFont="1" applyBorder="1" applyAlignment="1">
      <alignment horizontal="center" vertical="center"/>
    </xf>
    <xf numFmtId="166" fontId="0" fillId="0" borderId="58" xfId="0" applyNumberFormat="1" applyBorder="1" applyAlignment="1">
      <alignment horizontal="center" vertical="center"/>
    </xf>
    <xf numFmtId="0" fontId="0" fillId="0" borderId="57" xfId="1" applyNumberFormat="1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16" fillId="0" borderId="68" xfId="0" applyFont="1" applyBorder="1" applyAlignment="1">
      <alignment horizontal="center" vertical="center" textRotation="90"/>
    </xf>
    <xf numFmtId="0" fontId="16" fillId="0" borderId="74" xfId="0" applyFont="1" applyBorder="1" applyAlignment="1">
      <alignment horizontal="center" vertical="center" textRotation="90"/>
    </xf>
    <xf numFmtId="0" fontId="16" fillId="0" borderId="64" xfId="0" applyFont="1" applyBorder="1" applyAlignment="1">
      <alignment horizontal="center" vertical="center" textRotation="90"/>
    </xf>
    <xf numFmtId="0" fontId="16" fillId="0" borderId="75" xfId="0" applyFont="1" applyBorder="1" applyAlignment="1">
      <alignment horizontal="center" vertical="center" textRotation="90"/>
    </xf>
    <xf numFmtId="0" fontId="16" fillId="0" borderId="26" xfId="0" applyFont="1" applyBorder="1" applyAlignment="1">
      <alignment horizontal="center" vertical="center" textRotation="90"/>
    </xf>
    <xf numFmtId="0" fontId="16" fillId="0" borderId="65" xfId="0" applyFont="1" applyBorder="1" applyAlignment="1">
      <alignment horizontal="center" vertical="center" textRotation="90"/>
    </xf>
    <xf numFmtId="0" fontId="16" fillId="0" borderId="69" xfId="0" applyFont="1" applyBorder="1" applyAlignment="1">
      <alignment horizontal="center" vertical="center" textRotation="90"/>
    </xf>
    <xf numFmtId="0" fontId="16" fillId="0" borderId="70" xfId="0" applyFont="1" applyBorder="1" applyAlignment="1">
      <alignment horizontal="center" vertical="center" textRotation="90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16" fillId="0" borderId="87" xfId="0" applyFont="1" applyBorder="1" applyAlignment="1">
      <alignment horizontal="center" vertical="center" textRotation="90"/>
    </xf>
    <xf numFmtId="0" fontId="26" fillId="0" borderId="90" xfId="0" applyFont="1" applyBorder="1" applyAlignment="1">
      <alignment horizontal="center" vertical="center"/>
    </xf>
    <xf numFmtId="0" fontId="26" fillId="0" borderId="88" xfId="0" applyFont="1" applyBorder="1"/>
    <xf numFmtId="0" fontId="26" fillId="0" borderId="89" xfId="0" applyFont="1" applyBorder="1"/>
    <xf numFmtId="0" fontId="26" fillId="0" borderId="100" xfId="0" applyFont="1" applyBorder="1" applyAlignment="1">
      <alignment horizontal="center" vertical="center"/>
    </xf>
    <xf numFmtId="0" fontId="26" fillId="0" borderId="0" xfId="0" applyFont="1"/>
    <xf numFmtId="0" fontId="26" fillId="0" borderId="108" xfId="0" applyFont="1" applyBorder="1"/>
    <xf numFmtId="0" fontId="26" fillId="0" borderId="85" xfId="0" applyFont="1" applyBorder="1" applyAlignment="1">
      <alignment horizontal="center" vertical="center"/>
    </xf>
    <xf numFmtId="0" fontId="26" fillId="0" borderId="86" xfId="0" applyFont="1" applyBorder="1" applyAlignment="1">
      <alignment horizontal="center" vertical="center"/>
    </xf>
    <xf numFmtId="0" fontId="26" fillId="0" borderId="91" xfId="0" applyFont="1" applyBorder="1" applyAlignment="1">
      <alignment horizontal="center" vertical="center"/>
    </xf>
    <xf numFmtId="0" fontId="26" fillId="0" borderId="110" xfId="0" applyFont="1" applyBorder="1" applyAlignment="1">
      <alignment horizontal="center" vertical="center"/>
    </xf>
    <xf numFmtId="0" fontId="49" fillId="0" borderId="85" xfId="0" applyFont="1" applyBorder="1" applyAlignment="1">
      <alignment horizontal="center" vertical="center"/>
    </xf>
    <xf numFmtId="0" fontId="49" fillId="0" borderId="86" xfId="0" applyFont="1" applyBorder="1"/>
    <xf numFmtId="0" fontId="49" fillId="0" borderId="88" xfId="0" applyFont="1" applyBorder="1"/>
    <xf numFmtId="0" fontId="49" fillId="0" borderId="89" xfId="0" applyFont="1" applyBorder="1"/>
    <xf numFmtId="0" fontId="49" fillId="0" borderId="87" xfId="0" applyFont="1" applyBorder="1"/>
    <xf numFmtId="0" fontId="49" fillId="0" borderId="86" xfId="0" applyFont="1" applyBorder="1" applyAlignment="1">
      <alignment horizontal="center" vertical="center"/>
    </xf>
    <xf numFmtId="0" fontId="49" fillId="0" borderId="88" xfId="0" applyFont="1" applyBorder="1" applyAlignment="1">
      <alignment horizontal="center" vertical="center"/>
    </xf>
    <xf numFmtId="0" fontId="49" fillId="0" borderId="8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88" xfId="0" applyFont="1" applyBorder="1" applyAlignment="1">
      <alignment horizontal="center" vertical="center"/>
    </xf>
    <xf numFmtId="0" fontId="26" fillId="0" borderId="108" xfId="0" applyFont="1" applyBorder="1" applyAlignment="1">
      <alignment horizontal="center" vertical="center"/>
    </xf>
    <xf numFmtId="0" fontId="26" fillId="0" borderId="87" xfId="0" applyFont="1" applyBorder="1" applyAlignment="1">
      <alignment horizontal="center" vertical="center"/>
    </xf>
    <xf numFmtId="0" fontId="22" fillId="42" borderId="43" xfId="0" applyFont="1" applyFill="1" applyBorder="1" applyAlignment="1">
      <alignment horizontal="center" vertical="center"/>
    </xf>
    <xf numFmtId="0" fontId="22" fillId="42" borderId="77" xfId="0" applyFont="1" applyFill="1" applyBorder="1" applyAlignment="1">
      <alignment horizontal="center" vertical="center"/>
    </xf>
    <xf numFmtId="0" fontId="22" fillId="42" borderId="44" xfId="0" applyFont="1" applyFill="1" applyBorder="1" applyAlignment="1">
      <alignment horizontal="center" vertical="center"/>
    </xf>
    <xf numFmtId="0" fontId="22" fillId="42" borderId="47" xfId="0" applyFont="1" applyFill="1" applyBorder="1" applyAlignment="1">
      <alignment horizontal="center" vertical="center"/>
    </xf>
    <xf numFmtId="0" fontId="22" fillId="42" borderId="78" xfId="0" applyFont="1" applyFill="1" applyBorder="1" applyAlignment="1">
      <alignment horizontal="center" vertical="center"/>
    </xf>
    <xf numFmtId="0" fontId="22" fillId="42" borderId="48" xfId="0" applyFont="1" applyFill="1" applyBorder="1" applyAlignment="1">
      <alignment horizontal="center" vertical="center"/>
    </xf>
    <xf numFmtId="0" fontId="22" fillId="0" borderId="59" xfId="0" applyFont="1" applyBorder="1" applyAlignment="1">
      <alignment horizontal="center"/>
    </xf>
    <xf numFmtId="0" fontId="22" fillId="0" borderId="60" xfId="0" applyFont="1" applyBorder="1" applyAlignment="1">
      <alignment horizontal="center"/>
    </xf>
    <xf numFmtId="0" fontId="22" fillId="0" borderId="61" xfId="0" applyFont="1" applyBorder="1" applyAlignment="1">
      <alignment horizontal="center"/>
    </xf>
    <xf numFmtId="0" fontId="22" fillId="0" borderId="59" xfId="0" applyFont="1" applyBorder="1" applyAlignment="1">
      <alignment horizontal="center" wrapText="1"/>
    </xf>
    <xf numFmtId="0" fontId="22" fillId="0" borderId="60" xfId="0" applyFont="1" applyBorder="1" applyAlignment="1">
      <alignment horizontal="center" wrapText="1"/>
    </xf>
    <xf numFmtId="0" fontId="22" fillId="0" borderId="61" xfId="0" applyFont="1" applyBorder="1" applyAlignment="1">
      <alignment horizontal="center" wrapText="1"/>
    </xf>
    <xf numFmtId="0" fontId="0" fillId="0" borderId="0" xfId="0" applyNumberFormat="1"/>
  </cellXfs>
  <cellStyles count="353">
    <cellStyle name="20% - Accent1 2" xfId="137" xr:uid="{A6166E3D-F59A-41DA-AF9C-83899A9E3068}"/>
    <cellStyle name="20% - Accent1 2 2" xfId="271" xr:uid="{AD65E801-6392-4B02-B4E6-2977ED57D0C5}"/>
    <cellStyle name="20% - Accent1 3" xfId="98" xr:uid="{A879A106-FBDD-4FE6-B608-2D3E103FC943}"/>
    <cellStyle name="20% - Accent1 3 2" xfId="232" xr:uid="{60D1593B-79F2-47EA-8228-1FECE318AE7B}"/>
    <cellStyle name="20% - Accent2 2" xfId="141" xr:uid="{6F7DABC1-FFFF-4185-87B0-CC99A2C1EF80}"/>
    <cellStyle name="20% - Accent2 2 2" xfId="275" xr:uid="{F8F870E9-9C6C-46F0-91C9-0F811583ED09}"/>
    <cellStyle name="20% - Accent2 3" xfId="102" xr:uid="{09687372-0BE3-413D-8F3A-B6637C27F73D}"/>
    <cellStyle name="20% - Accent2 3 2" xfId="236" xr:uid="{7E163550-BA5A-4455-B5D6-DB0A6193188E}"/>
    <cellStyle name="20% - Accent3 2" xfId="145" xr:uid="{6253049D-D14C-4ABA-9FEA-35338F8C8CD0}"/>
    <cellStyle name="20% - Accent3 2 2" xfId="279" xr:uid="{489A6CE1-C2A9-4CD2-B15C-600D279587F6}"/>
    <cellStyle name="20% - Accent3 3" xfId="106" xr:uid="{3CBD8037-9197-463C-BB2F-1331869D8953}"/>
    <cellStyle name="20% - Accent3 3 2" xfId="240" xr:uid="{2F468B0B-0333-4BA5-9D15-4BAB62AD25F0}"/>
    <cellStyle name="20% - Accent4 2" xfId="149" xr:uid="{A84CB45A-EDA9-4544-B06C-8A3AFB63E3D3}"/>
    <cellStyle name="20% - Accent4 2 2" xfId="283" xr:uid="{9CC3DA53-CFB7-4B1E-AC72-E4DAAF9E0585}"/>
    <cellStyle name="20% - Accent4 3" xfId="110" xr:uid="{DAD4F4F5-9260-4FC6-95D4-FB0D8CE3D53F}"/>
    <cellStyle name="20% - Accent4 3 2" xfId="244" xr:uid="{BF4DAC9F-98CE-44A3-8D94-BE2FB8744F1F}"/>
    <cellStyle name="20% - Accent5 2" xfId="153" xr:uid="{9730650B-094B-4265-A282-EC2A12E06E4C}"/>
    <cellStyle name="20% - Accent5 2 2" xfId="287" xr:uid="{1A0227C4-355E-4ADE-AD88-2CB9CF333C13}"/>
    <cellStyle name="20% - Accent5 3" xfId="114" xr:uid="{0815481D-AF4E-459E-BA00-062561823FEA}"/>
    <cellStyle name="20% - Accent5 3 2" xfId="248" xr:uid="{72CA4C05-8596-47CB-B50D-0A16899FED50}"/>
    <cellStyle name="20% - Accent6 2" xfId="157" xr:uid="{9738E21E-BF83-4D5F-B8D3-A990CF908DE4}"/>
    <cellStyle name="20% - Accent6 2 2" xfId="291" xr:uid="{5FC7CE31-B013-413F-B782-2A3D2B499E8E}"/>
    <cellStyle name="20% - Accent6 3" xfId="118" xr:uid="{A544AC14-D5E0-417B-B585-45F178CAF5BE}"/>
    <cellStyle name="20% - Accent6 3 2" xfId="252" xr:uid="{7F57FBC2-EB64-49C9-82FC-842FFBDAC517}"/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Accent1 2" xfId="138" xr:uid="{4F2302D0-9728-455F-882B-73C1063307CE}"/>
    <cellStyle name="40% - Accent1 2 2" xfId="272" xr:uid="{3EA91FE4-E7EA-4051-A231-AB0E607A5701}"/>
    <cellStyle name="40% - Accent1 3" xfId="99" xr:uid="{722105BF-7D9C-45D2-8A4E-E0D5B77E1390}"/>
    <cellStyle name="40% - Accent1 3 2" xfId="233" xr:uid="{A0A8000B-2DD3-4206-858C-05C2A2B6E339}"/>
    <cellStyle name="40% - Accent2 2" xfId="142" xr:uid="{7F765FE5-900F-46BD-8E6E-0E060F868191}"/>
    <cellStyle name="40% - Accent2 2 2" xfId="276" xr:uid="{DF572F72-4AC4-4177-A942-3E61A528A08F}"/>
    <cellStyle name="40% - Accent2 3" xfId="103" xr:uid="{4412BE68-06E9-4807-964A-0217F685F2C3}"/>
    <cellStyle name="40% - Accent2 3 2" xfId="237" xr:uid="{FF0FF102-6E9D-4203-BDA5-C279C61E3891}"/>
    <cellStyle name="40% - Accent3 2" xfId="146" xr:uid="{B5E9D729-05CF-4076-B50A-8C06EA28CAA1}"/>
    <cellStyle name="40% - Accent3 2 2" xfId="280" xr:uid="{574DF994-0441-40FF-AF63-56B7BA68F7F8}"/>
    <cellStyle name="40% - Accent3 3" xfId="107" xr:uid="{866365A3-DF12-46A0-A56F-9FD96D460A6D}"/>
    <cellStyle name="40% - Accent3 3 2" xfId="241" xr:uid="{004B81DF-4EF4-4ADE-894B-36DB8BE03D3D}"/>
    <cellStyle name="40% - Accent4 2" xfId="150" xr:uid="{0F40AEE4-B9E4-4316-8FF6-9183183546D5}"/>
    <cellStyle name="40% - Accent4 2 2" xfId="284" xr:uid="{ECC59ED2-74A3-4DB9-B8D8-DDBA29983761}"/>
    <cellStyle name="40% - Accent4 3" xfId="111" xr:uid="{5BCD6DAD-6F95-4A98-B55D-D6D35C91A544}"/>
    <cellStyle name="40% - Accent4 3 2" xfId="245" xr:uid="{AEDCAC02-732B-4A83-AE9E-0517E25E7F7B}"/>
    <cellStyle name="40% - Accent5 2" xfId="154" xr:uid="{9F9C7934-16E1-435E-8D41-92CD1F39B45D}"/>
    <cellStyle name="40% - Accent5 2 2" xfId="288" xr:uid="{4F499D2F-5B19-4BE0-9ED3-ADF47B4F3EEA}"/>
    <cellStyle name="40% - Accent5 3" xfId="115" xr:uid="{C21F13F5-0731-4515-8C33-61FC4BCA7F0C}"/>
    <cellStyle name="40% - Accent5 3 2" xfId="249" xr:uid="{C4D8EB39-CC02-452C-B43E-6D6E3C689061}"/>
    <cellStyle name="40% - Accent6 2" xfId="158" xr:uid="{2BAC960F-B473-4B4D-A562-FE3F7FAC80EE}"/>
    <cellStyle name="40% - Accent6 2 2" xfId="292" xr:uid="{011DAA44-9DE4-4E19-A86C-1AA28D479633}"/>
    <cellStyle name="40% - Accent6 3" xfId="119" xr:uid="{2E8E6FD4-DED7-4539-9351-7B54D8DA4041}"/>
    <cellStyle name="40% - Accent6 3 2" xfId="253" xr:uid="{DB2CA4F1-1B7A-4E26-A2C2-36E2B94A59D8}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Accent1 2" xfId="139" xr:uid="{333F0690-3606-44FB-851F-DCE844489A7D}"/>
    <cellStyle name="60% - Accent1 2 2" xfId="273" xr:uid="{36839E48-432A-4BAB-971C-BF0A450E98F8}"/>
    <cellStyle name="60% - Accent1 3" xfId="100" xr:uid="{E8393C22-B2B6-4E55-9153-4EC736A2F62C}"/>
    <cellStyle name="60% - Accent1 3 2" xfId="234" xr:uid="{0D60679C-12BE-4636-8FFF-C597B3129C04}"/>
    <cellStyle name="60% - Accent2 2" xfId="143" xr:uid="{60564217-4591-4875-969D-BB501A9EEB52}"/>
    <cellStyle name="60% - Accent2 2 2" xfId="277" xr:uid="{265BAE36-C317-44ED-9614-10CB91981875}"/>
    <cellStyle name="60% - Accent2 3" xfId="104" xr:uid="{BA5E3C60-2C7F-4D81-80D6-B37250049917}"/>
    <cellStyle name="60% - Accent2 3 2" xfId="238" xr:uid="{2FE8AF9D-BDF4-4224-85E4-E402E027AB94}"/>
    <cellStyle name="60% - Accent3 2" xfId="147" xr:uid="{8B3E8E7A-3227-4F6F-A0B8-31A0B3342BC0}"/>
    <cellStyle name="60% - Accent3 2 2" xfId="281" xr:uid="{ADD02149-F2F8-401F-9D01-43B72FBDBCA2}"/>
    <cellStyle name="60% - Accent3 3" xfId="108" xr:uid="{3185610F-1BD2-45B3-9B99-8F64496BA782}"/>
    <cellStyle name="60% - Accent3 3 2" xfId="242" xr:uid="{0697B289-D5C4-4DA3-9413-FEC8115E7DF9}"/>
    <cellStyle name="60% - Accent4 2" xfId="151" xr:uid="{7A1A2643-80E2-41B2-89F6-7E7D7C2B1991}"/>
    <cellStyle name="60% - Accent4 2 2" xfId="285" xr:uid="{A8564B08-53A8-45AC-B24A-E8A07AD0B407}"/>
    <cellStyle name="60% - Accent4 3" xfId="112" xr:uid="{3DB816AE-F66D-4576-BAF0-B9C4FC9B8C35}"/>
    <cellStyle name="60% - Accent4 3 2" xfId="246" xr:uid="{40B6D627-569B-40BB-A349-C5C00C90EAF5}"/>
    <cellStyle name="60% - Accent5 2" xfId="155" xr:uid="{44F4E72A-8B74-47AB-9E0A-F0816345FD90}"/>
    <cellStyle name="60% - Accent5 2 2" xfId="289" xr:uid="{075B1D8F-4223-4422-A535-C75A05EC6B70}"/>
    <cellStyle name="60% - Accent5 3" xfId="116" xr:uid="{238D5E2E-2BEC-4B16-B441-FED3D58F1150}"/>
    <cellStyle name="60% - Accent5 3 2" xfId="250" xr:uid="{6F6F3EA8-B57D-4211-8B10-6C03581E171C}"/>
    <cellStyle name="60% - Accent6 2" xfId="159" xr:uid="{5FE01823-1D08-44A7-9399-C68E86139608}"/>
    <cellStyle name="60% - Accent6 2 2" xfId="293" xr:uid="{314F66A2-5E1E-4F40-9ECE-6E305BE90EE7}"/>
    <cellStyle name="60% - Accent6 3" xfId="120" xr:uid="{AED04240-7E68-4CDA-94C2-8872354C2F93}"/>
    <cellStyle name="60% - Accent6 3 2" xfId="254" xr:uid="{563AD093-1C45-4C6B-931F-B4F36494C053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Accent1 2" xfId="136" xr:uid="{55E867E0-9D38-4867-96AD-D8BAC8BB54D4}"/>
    <cellStyle name="Accent1 2 2" xfId="270" xr:uid="{5E168034-79C2-4746-A79E-A7EAA82BF12E}"/>
    <cellStyle name="Accent1 3" xfId="97" xr:uid="{1ADBDDDD-FD7B-48A3-AE9D-F4510CB5305E}"/>
    <cellStyle name="Accent1 3 2" xfId="231" xr:uid="{A0939D0F-D205-47E0-A957-EAD1655EF205}"/>
    <cellStyle name="Accent2 2" xfId="140" xr:uid="{B4EE89AB-6619-4E9D-BB33-8623C6B53ADD}"/>
    <cellStyle name="Accent2 2 2" xfId="274" xr:uid="{293AF8B2-C337-4379-A7B3-6DD0CD6DDE1B}"/>
    <cellStyle name="Accent2 3" xfId="101" xr:uid="{C37B40C2-BD8A-4B57-BA71-2D7FB48CA687}"/>
    <cellStyle name="Accent2 3 2" xfId="235" xr:uid="{DF16D974-D2FF-4B5D-B102-4F4CD46A2811}"/>
    <cellStyle name="Accent3 2" xfId="144" xr:uid="{BA22FD58-AEF1-4361-9AAE-54B7268B271E}"/>
    <cellStyle name="Accent3 2 2" xfId="278" xr:uid="{00333FE9-9FA5-4118-9043-75141C95B2CC}"/>
    <cellStyle name="Accent3 3" xfId="105" xr:uid="{725DF94E-2F08-42A3-BE4E-94C63D4AFF60}"/>
    <cellStyle name="Accent3 3 2" xfId="239" xr:uid="{9974724F-D819-4CDF-A866-1BBAFBF7FF4A}"/>
    <cellStyle name="Accent4 2" xfId="148" xr:uid="{D7C8F92C-8A1F-4C6C-B734-662C1FBAA906}"/>
    <cellStyle name="Accent4 2 2" xfId="282" xr:uid="{DD09E04B-0FF4-45DF-A986-660B7B310D8C}"/>
    <cellStyle name="Accent4 3" xfId="109" xr:uid="{B2DD6A0E-2964-4C03-8EA0-41368FA25546}"/>
    <cellStyle name="Accent4 3 2" xfId="243" xr:uid="{DE48239E-7980-4756-9C5C-3D050A4456D8}"/>
    <cellStyle name="Accent5 2" xfId="152" xr:uid="{93456704-FB5C-4CAA-9B78-DFBB6D19B58D}"/>
    <cellStyle name="Accent5 2 2" xfId="286" xr:uid="{533318A7-1220-443A-B9F8-FD0572D14030}"/>
    <cellStyle name="Accent5 3" xfId="113" xr:uid="{9AB5A1D0-C809-475B-820F-4F24C8D798AF}"/>
    <cellStyle name="Accent5 3 2" xfId="247" xr:uid="{9F9CF398-683B-49DD-9481-B45159D9B8F9}"/>
    <cellStyle name="Accent6 2" xfId="156" xr:uid="{CF9078C6-4A15-4AE1-97A1-77F769B55A47}"/>
    <cellStyle name="Accent6 2 2" xfId="290" xr:uid="{B7F1B9AD-9684-4928-B92B-AD61D9E70572}"/>
    <cellStyle name="Accent6 3" xfId="117" xr:uid="{11A62C7C-4034-43CE-A5F8-BB5DA05CF9FC}"/>
    <cellStyle name="Accent6 3 2" xfId="251" xr:uid="{B6113699-0B9A-43D4-8727-96B1F95CE3B8}"/>
    <cellStyle name="Bad 2" xfId="125" xr:uid="{DABA8F4F-2B61-4AD5-B232-796EB7599739}"/>
    <cellStyle name="Bad 2 2" xfId="259" xr:uid="{EE41DA7E-54F3-4DDF-9A47-4D9A676D845B}"/>
    <cellStyle name="Bad 3" xfId="86" xr:uid="{0CA2DF6C-A7CA-4AA7-A0E1-D970F8EF4CD9}"/>
    <cellStyle name="Bad 3 2" xfId="220" xr:uid="{BFABEFFE-178C-4AD6-9D1D-F632EEA3C1C4}"/>
    <cellStyle name="Bueno" xfId="7" builtinId="26" customBuiltin="1"/>
    <cellStyle name="Bueno 2" xfId="184" xr:uid="{74CDB8A0-8020-4EA7-A257-EE2872C87AD9}"/>
    <cellStyle name="Calculation 2" xfId="129" xr:uid="{DD4D2E11-B495-4AB8-BECB-4E209E092BCF}"/>
    <cellStyle name="Calculation 2 2" xfId="263" xr:uid="{DDEA5252-E9DC-478F-A5EA-09E3F888B2E9}"/>
    <cellStyle name="Calculation 3" xfId="90" xr:uid="{D6291E00-9277-4D08-A0F8-8D2503060132}"/>
    <cellStyle name="Calculation 3 2" xfId="224" xr:uid="{554536FF-634C-4522-809B-AB2FBE5B44F3}"/>
    <cellStyle name="Cálculo" xfId="12" builtinId="22" customBuiltin="1"/>
    <cellStyle name="Celda de comprobación" xfId="14" builtinId="23" customBuiltin="1"/>
    <cellStyle name="Celda vinculada" xfId="13" builtinId="24" customBuiltin="1"/>
    <cellStyle name="Check Cell 2" xfId="131" xr:uid="{916741F2-23EE-4E0E-8316-FE5827574AE5}"/>
    <cellStyle name="Check Cell 2 2" xfId="265" xr:uid="{709980E6-B55A-45AD-9A32-10123A871766}"/>
    <cellStyle name="Check Cell 3" xfId="92" xr:uid="{F3F7CCE5-0C22-4D02-8F0E-B051314A922D}"/>
    <cellStyle name="Check Cell 3 2" xfId="226" xr:uid="{17FC890E-B8EB-4ADE-96FC-F23FCDE9D9B3}"/>
    <cellStyle name="Comma 2" xfId="46" xr:uid="{8AE59B03-FA46-4BF7-BCB1-2E7E77C906C2}"/>
    <cellStyle name="Comma 2 2" xfId="59" xr:uid="{93A05143-332B-4BA8-9DE8-BFAE0BF82261}"/>
    <cellStyle name="Comma 2 2 2" xfId="197" xr:uid="{04246951-8B0B-4677-B946-380800C077A1}"/>
    <cellStyle name="Comma 2 2 3" xfId="326" xr:uid="{B92A96B0-706A-417A-9A81-3BEB4743A09A}"/>
    <cellStyle name="Comma 2 3" xfId="58" xr:uid="{70BCCC9B-2240-4D25-BF21-378808A76898}"/>
    <cellStyle name="Comma 2 3 2" xfId="196" xr:uid="{6CC0B19A-4276-47C1-BCDC-C17626633033}"/>
    <cellStyle name="Comma 2 4" xfId="173" xr:uid="{572DC8CD-B7B6-4D6A-8B73-6B1DFDCBA8DF}"/>
    <cellStyle name="Comma 2 4 2" xfId="306" xr:uid="{6C057B0A-E756-4318-8DAD-15B80EF7C29D}"/>
    <cellStyle name="Comma 2 5" xfId="187" xr:uid="{BC5D4BCA-95C4-4E30-9F07-2E334D19F2B6}"/>
    <cellStyle name="Comma 3" xfId="47" xr:uid="{03093B43-5050-4AD5-86B6-C5D009C5A1B8}"/>
    <cellStyle name="Comma 3 2" xfId="61" xr:uid="{2DF258B7-3898-4F50-AA82-9D2BCC7B7E95}"/>
    <cellStyle name="Comma 3 2 2" xfId="199" xr:uid="{5A9A7928-FC9D-4FF1-B6F9-31EC1245D9AE}"/>
    <cellStyle name="Comma 3 3" xfId="60" xr:uid="{6F0EBA15-1033-4CED-AA93-A2EB377E5585}"/>
    <cellStyle name="Comma 3 3 2" xfId="198" xr:uid="{15D975E5-E3C5-45A0-8737-2C7CE1B984BC}"/>
    <cellStyle name="Comma 3 4" xfId="188" xr:uid="{2BA15CB0-A842-46A9-9A99-95867DD50C46}"/>
    <cellStyle name="Comma 4" xfId="163" xr:uid="{5678FF02-362B-4B93-8601-BDADA3FDA1AC}"/>
    <cellStyle name="Comma 4 2" xfId="297" xr:uid="{CAE77BEE-F237-4ED4-9B2A-8C400B7CE655}"/>
    <cellStyle name="Comma 5" xfId="172" xr:uid="{F5C5D116-5A32-4F61-8931-F9CB2861800C}"/>
    <cellStyle name="Comma 5 2" xfId="305" xr:uid="{FC57F3F0-8C89-4843-8B6C-C418F891E7E0}"/>
    <cellStyle name="Comma 6" xfId="329" xr:uid="{AD1E9D5A-C65C-4053-83AD-0B2F50F752C2}"/>
    <cellStyle name="Comma 7" xfId="331" xr:uid="{84105C9C-B51A-4F24-983E-C78B6FB5E239}"/>
    <cellStyle name="Comma 7 2" xfId="337" xr:uid="{F7C313FB-0FFD-4720-AE0D-E6057BB28184}"/>
    <cellStyle name="Comma 7 3" xfId="348" xr:uid="{CBB5DD14-92D1-4B37-B294-CC523932C027}"/>
    <cellStyle name="Comma 8" xfId="335" xr:uid="{114F8A26-46E6-4FF2-919B-13D4D5CC5262}"/>
    <cellStyle name="Comma 9" xfId="342" xr:uid="{F60335D3-B5F6-48EF-8468-AB96BF7BCB82}"/>
    <cellStyle name="Currency 2" xfId="49" xr:uid="{A9C00349-09D0-43BC-8B1A-C1C1E52BE811}"/>
    <cellStyle name="Currency 2 2" xfId="63" xr:uid="{017DA2CE-3AD8-4DD2-9509-DE319A07E1F1}"/>
    <cellStyle name="Currency 2 2 2" xfId="201" xr:uid="{C31D17C1-179A-42C8-9ECD-09B83001010A}"/>
    <cellStyle name="Currency 2 2 3" xfId="350" xr:uid="{0A32BD4E-8F58-4E4B-ACA1-70C661D3A23D}"/>
    <cellStyle name="Currency 2 3" xfId="62" xr:uid="{9ACBB958-473B-42C7-BAC7-47527D7917E9}"/>
    <cellStyle name="Currency 2 3 2" xfId="200" xr:uid="{ED567697-3416-41D6-9894-A37457AFD456}"/>
    <cellStyle name="Currency 2 4" xfId="190" xr:uid="{BBDCC129-0335-4DFC-B697-01A60758A973}"/>
    <cellStyle name="Currency 3" xfId="50" xr:uid="{9E90CC07-1471-4728-B364-B5049F2A4702}"/>
    <cellStyle name="Currency 3 2" xfId="65" xr:uid="{43955833-3F51-4E77-8BB0-9DC37B506773}"/>
    <cellStyle name="Currency 3 2 2" xfId="203" xr:uid="{B36E5969-BA3F-48F3-A983-3B68A4067CD7}"/>
    <cellStyle name="Currency 3 3" xfId="64" xr:uid="{C74119A6-F735-44C0-8FBD-F6E4B2E8CB46}"/>
    <cellStyle name="Currency 3 3 2" xfId="202" xr:uid="{B83B291F-A772-461B-86A9-390A66769BAA}"/>
    <cellStyle name="Currency 3 4" xfId="191" xr:uid="{26783B10-0EC1-4612-B7EA-A1AE0395B91D}"/>
    <cellStyle name="Currency 4" xfId="164" xr:uid="{BB7A40E9-55E5-4589-807F-3EDD2E7FDAEB}"/>
    <cellStyle name="Currency 4 2" xfId="298" xr:uid="{9FBF7B79-7878-40A0-8917-6C6C09A84DC6}"/>
    <cellStyle name="Currency 5" xfId="171" xr:uid="{4E9EAB9E-E75F-43C3-9CB0-4295D7AE3FDB}"/>
    <cellStyle name="Currency 5 2" xfId="304" xr:uid="{A683AAB4-CEBA-495B-B952-2300C2D6DF5D}"/>
    <cellStyle name="Currency 6" xfId="330" xr:uid="{B067F82C-CED7-4832-90B9-6B543990CA05}"/>
    <cellStyle name="Currency 7" xfId="332" xr:uid="{5EBD5693-126A-4EC1-BA42-D7399BA6011C}"/>
    <cellStyle name="Currency 7 2" xfId="349" xr:uid="{EADABA14-C76E-44FC-93EB-0EFFD943CAD9}"/>
    <cellStyle name="Currency 8" xfId="336" xr:uid="{3634D369-EA0E-4709-A751-5094A2A68A6C}"/>
    <cellStyle name="Currency 9" xfId="341" xr:uid="{1E2090A8-46D9-411F-B961-7AB796FF36AA}"/>
    <cellStyle name="Encabezado 1" xfId="3" builtinId="16" customBuiltin="1"/>
    <cellStyle name="Encabezado 1 2" xfId="214" xr:uid="{BC6BEA24-D37B-4D44-A6F7-F6FEE62CDF93}"/>
    <cellStyle name="Encabezado 1 3" xfId="80" xr:uid="{F0B9330E-C7C5-447D-8132-491013DC3527}"/>
    <cellStyle name="Encabezado 4" xfId="6" builtinId="19" customBuiltin="1"/>
    <cellStyle name="Encabezado 4 2" xfId="217" xr:uid="{CB6EB629-AF4F-4537-932B-C6D332228996}"/>
    <cellStyle name="Encabezado 4 3" xfId="83" xr:uid="{97F7ECCB-5010-432B-AD28-7E03BB826E0E}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Explanatory Text 2" xfId="134" xr:uid="{E895B424-8A6D-48AB-A74B-F0684762300F}"/>
    <cellStyle name="Explanatory Text 2 2" xfId="268" xr:uid="{0EB4D1FD-70C5-4240-B70D-419FBFF0514B}"/>
    <cellStyle name="Explanatory Text 3" xfId="95" xr:uid="{0564CB7A-2B7D-41E1-BCF6-5A67F547D13E}"/>
    <cellStyle name="Explanatory Text 3 2" xfId="229" xr:uid="{3CF053E3-331E-424E-82A8-0A69CA07E28A}"/>
    <cellStyle name="Good 2" xfId="124" xr:uid="{49A9A295-FB02-4BE7-9040-06901BD2786B}"/>
    <cellStyle name="Good 2 2" xfId="258" xr:uid="{A3374696-4268-46F2-AEED-DC6FE20F9E69}"/>
    <cellStyle name="Good 3" xfId="85" xr:uid="{3532402D-55BB-4F99-A414-BD7AE22512D7}"/>
    <cellStyle name="Good 3 2" xfId="219" xr:uid="{A9DE7294-83EA-4659-96D3-1627060F843F}"/>
    <cellStyle name="Hipervínculo" xfId="352" builtinId="8"/>
    <cellStyle name="Hyperlink" xfId="351" xr:uid="{00000000-000B-0000-0000-000008000000}"/>
    <cellStyle name="Incorrecto" xfId="8" builtinId="27" customBuiltin="1"/>
    <cellStyle name="Input 2" xfId="127" xr:uid="{DA46F44A-1780-434E-B9EA-8CAD9AA1BA61}"/>
    <cellStyle name="Input 2 2" xfId="261" xr:uid="{7620F3E2-8E3B-46AB-AFDA-A78CCB8D0A27}"/>
    <cellStyle name="Input 3" xfId="88" xr:uid="{39C83DE6-181F-435C-97B3-68C663FE1B94}"/>
    <cellStyle name="Input 3 2" xfId="222" xr:uid="{965640DB-276B-4203-9B10-3B59210E3AB6}"/>
    <cellStyle name="Linked Cell 2" xfId="130" xr:uid="{9257B8B6-382B-4328-839D-9DA9034D26BA}"/>
    <cellStyle name="Linked Cell 2 2" xfId="264" xr:uid="{2FB5F71E-3E8B-4145-8480-A653ABC32609}"/>
    <cellStyle name="Linked Cell 3" xfId="91" xr:uid="{88A27783-54BB-4AC4-AA35-883CF5927B42}"/>
    <cellStyle name="Linked Cell 3 2" xfId="225" xr:uid="{8294FE22-907E-4449-8CED-6D88DDCA0912}"/>
    <cellStyle name="Millares 2" xfId="186" xr:uid="{59CD1A2A-D304-4525-B43E-79206D819BC1}"/>
    <cellStyle name="Millares 3" xfId="320" xr:uid="{6E6CD62E-09C0-49EE-B3EB-C8D4F628FE74}"/>
    <cellStyle name="Millares 4" xfId="322" xr:uid="{6C77BFE6-2DB0-4A52-BCB8-099F9F5E5CAA}"/>
    <cellStyle name="Millares 5" xfId="45" xr:uid="{76FBD936-C531-4CD1-9990-5D02B159FE9E}"/>
    <cellStyle name="Moneda" xfId="43" builtinId="4"/>
    <cellStyle name="Moneda 2" xfId="189" xr:uid="{A923E543-01BC-4E45-9A32-BD4250D69518}"/>
    <cellStyle name="Moneda 3" xfId="339" xr:uid="{447B8E58-DD4F-4832-9A1A-7BBA02FFDF0E}"/>
    <cellStyle name="Moneda 4" xfId="346" xr:uid="{B3BF1DFD-C59A-4FF2-B6B6-A93FFFC942D3}"/>
    <cellStyle name="Moneda 5" xfId="48" xr:uid="{41909537-B4DA-4701-A71B-60DFADF7CC37}"/>
    <cellStyle name="Neutral" xfId="9" builtinId="28" customBuiltin="1"/>
    <cellStyle name="Neutral 2" xfId="126" xr:uid="{D311DE30-CA34-465C-A905-4CAF2B5EBA0A}"/>
    <cellStyle name="Neutral 2 2" xfId="260" xr:uid="{4C1BE2CC-9E5D-4817-9354-FC3ABBF0B2DF}"/>
    <cellStyle name="Neutral 3" xfId="87" xr:uid="{5398144D-DDC1-4534-BB4A-5A248F27C160}"/>
    <cellStyle name="Neutral 3 2" xfId="221" xr:uid="{7AB4306F-8A26-4FE2-B8A0-391C38955564}"/>
    <cellStyle name="Normal" xfId="0" builtinId="0"/>
    <cellStyle name="Normal 10" xfId="185" xr:uid="{02232451-3075-4E53-9D1E-D97ED51480DD}"/>
    <cellStyle name="Normal 11" xfId="317" xr:uid="{9B3B6B65-AD4C-4DC6-8E2C-7D60266D3AE5}"/>
    <cellStyle name="Normal 12" xfId="318" xr:uid="{0071AC60-2137-4F1E-9F30-CAD22828BD67}"/>
    <cellStyle name="Normal 13" xfId="321" xr:uid="{ECE959E4-00A5-4481-84DE-3255B9024439}"/>
    <cellStyle name="Normal 14" xfId="328" xr:uid="{A0DA0826-D9E9-45FA-A95D-A411E5B19FC6}"/>
    <cellStyle name="Normal 14 2" xfId="347" xr:uid="{2846AC52-E786-4AA9-B3E8-DDF309B8D106}"/>
    <cellStyle name="Normal 15" xfId="334" xr:uid="{64A30884-2B22-451C-9796-79116E0A2B34}"/>
    <cellStyle name="Normal 16" xfId="340" xr:uid="{470FF9BE-3784-4194-8CC7-1FD2DE56CD82}"/>
    <cellStyle name="Normal 17" xfId="344" xr:uid="{6BCAECE2-477E-4C21-8E50-AA206F8301B1}"/>
    <cellStyle name="Normal 18" xfId="44" xr:uid="{F8845476-8BDD-4CDA-8559-4224CB807DB5}"/>
    <cellStyle name="Normal 2" xfId="51" xr:uid="{927D2BD0-3129-4192-9544-C0C0A0B5E0EB}"/>
    <cellStyle name="Normal 2 10" xfId="192" xr:uid="{39E76565-6F25-43EC-A145-C5C47CAA6D7F}"/>
    <cellStyle name="Normal 2 2" xfId="66" xr:uid="{1709E336-9F85-4FEA-90A7-CEFB367B49A0}"/>
    <cellStyle name="Normal 2 2 2" xfId="76" xr:uid="{A40FB5DE-EBB1-460D-AE8C-FD0F0D9E4DFA}"/>
    <cellStyle name="Normal 2 2 2 2" xfId="179" xr:uid="{140FBEBD-DC40-4BBA-BF94-1638CAE7F3E8}"/>
    <cellStyle name="Normal 2 2 2 2 2" xfId="312" xr:uid="{A39F3313-4305-471F-BCF8-AC783F47C905}"/>
    <cellStyle name="Normal 2 2 2 3" xfId="210" xr:uid="{B0D3D3CC-964E-4DB4-8E28-90E44434CC4C}"/>
    <cellStyle name="Normal 2 2 3" xfId="175" xr:uid="{F1044F5A-4FA7-4501-9C19-8914F2BE2728}"/>
    <cellStyle name="Normal 2 2 3 2" xfId="308" xr:uid="{A83C09D7-5AC4-4164-9889-103056D1E734}"/>
    <cellStyle name="Normal 2 2 4" xfId="160" xr:uid="{DD0FA019-4EDA-4169-A331-3BE0417FF74B}"/>
    <cellStyle name="Normal 2 2 4 2" xfId="294" xr:uid="{1D08EE94-6424-48A0-90E3-60DB1D85141E}"/>
    <cellStyle name="Normal 2 2 5" xfId="204" xr:uid="{FB1872F0-17AD-4CA8-AFFC-B852989CE3ED}"/>
    <cellStyle name="Normal 2 2 6" xfId="325" xr:uid="{0BA0A61B-7B7F-4B2E-AF77-5C83275505BC}"/>
    <cellStyle name="Normal 2 3" xfId="73" xr:uid="{A473A791-A948-4EAF-B08F-9E7511143CAF}"/>
    <cellStyle name="Normal 2 3 2" xfId="77" xr:uid="{504A34B2-58A5-4BA1-86DF-14F39CD355F4}"/>
    <cellStyle name="Normal 2 3 2 2" xfId="180" xr:uid="{733DE804-F5F4-4E49-B630-146B3E12F240}"/>
    <cellStyle name="Normal 2 3 2 2 2" xfId="313" xr:uid="{CC16218C-21D3-4AEE-BED2-52C405DEF1A8}"/>
    <cellStyle name="Normal 2 3 2 3" xfId="211" xr:uid="{B7AA1085-DF47-443D-A658-A7668DA62405}"/>
    <cellStyle name="Normal 2 3 3" xfId="176" xr:uid="{4EE1FE72-ADC7-4C0D-817C-0E2228D08DCF}"/>
    <cellStyle name="Normal 2 3 3 2" xfId="309" xr:uid="{9B56B1A4-BCC4-4B79-9A02-6A5A38FF962F}"/>
    <cellStyle name="Normal 2 3 4" xfId="207" xr:uid="{DE5EC6B2-6D89-4B9B-9D41-4EB060E11FD3}"/>
    <cellStyle name="Normal 2 4" xfId="75" xr:uid="{BC59ACB6-2944-45E2-8113-A2073D174EFD}"/>
    <cellStyle name="Normal 2 4 2" xfId="178" xr:uid="{CC1878C0-EE40-4C41-94F2-F7F458C698FD}"/>
    <cellStyle name="Normal 2 4 2 2" xfId="311" xr:uid="{C4362934-E768-4131-B9C7-11BB1D3C082C}"/>
    <cellStyle name="Normal 2 4 3" xfId="209" xr:uid="{DE2E85D8-7A06-4A9A-9873-BCCE86925F80}"/>
    <cellStyle name="Normal 2 5" xfId="78" xr:uid="{F56C7F9F-8F03-4E9A-875E-4CDED2C2BD6F}"/>
    <cellStyle name="Normal 2 5 2" xfId="181" xr:uid="{E6659C2D-C504-4A02-8970-D3AD4E7754A5}"/>
    <cellStyle name="Normal 2 5 2 2" xfId="314" xr:uid="{EB251B06-A042-4B5D-B69A-DB7409D54F32}"/>
    <cellStyle name="Normal 2 5 3" xfId="212" xr:uid="{044FBBFD-C51B-4AE1-BBCD-246D85089B34}"/>
    <cellStyle name="Normal 2 6" xfId="165" xr:uid="{3E02723A-525E-4F8F-B158-B11000DC9F6D}"/>
    <cellStyle name="Normal 2 6 2" xfId="299" xr:uid="{F1172683-2E70-4449-9957-32DB8D68393D}"/>
    <cellStyle name="Normal 2 7" xfId="121" xr:uid="{B47D97DF-2437-4E70-AE97-5B106E9E16AF}"/>
    <cellStyle name="Normal 2 7 2" xfId="255" xr:uid="{73102F97-265A-4D13-9839-4D82ECF7F3E9}"/>
    <cellStyle name="Normal 2 8" xfId="170" xr:uid="{ADB72EA1-E38A-4AA3-8CEC-7CB875339A38}"/>
    <cellStyle name="Normal 2 8 2" xfId="303" xr:uid="{80C10425-4EF7-431A-B040-937D8B945940}"/>
    <cellStyle name="Normal 2 9" xfId="174" xr:uid="{91C27722-C3EF-4D44-8B30-844543E27C55}"/>
    <cellStyle name="Normal 2 9 2" xfId="307" xr:uid="{BC01FDE0-D4C8-48AD-875E-D8959AC7CFE9}"/>
    <cellStyle name="Normal 2 9 3" xfId="343" xr:uid="{F358D7F1-9C5F-4935-85BC-ACADC934E5DB}"/>
    <cellStyle name="Normal 3" xfId="52" xr:uid="{41FAC8DE-4A96-4099-9F44-124C959BC125}"/>
    <cellStyle name="Normal 3 2" xfId="68" xr:uid="{B10D1B39-8AFC-4462-A276-1479FA48E9F7}"/>
    <cellStyle name="Normal 3 2 2" xfId="206" xr:uid="{430B31A0-A767-424D-9A91-72BB47CAB832}"/>
    <cellStyle name="Normal 3 2 3" xfId="327" xr:uid="{1A467D15-4188-413F-8277-BB7247C1DEDD}"/>
    <cellStyle name="Normal 3 3" xfId="67" xr:uid="{76FB2582-DDCA-4DBF-8912-5E150BB9F541}"/>
    <cellStyle name="Normal 3 3 2" xfId="205" xr:uid="{B2E99354-2682-4E16-85EA-75E754B09234}"/>
    <cellStyle name="Normal 3 4" xfId="166" xr:uid="{B3D5760C-6786-4177-995C-0C836E595409}"/>
    <cellStyle name="Normal 3 4 2" xfId="300" xr:uid="{08778228-89B6-4721-BF86-4119C5173B75}"/>
    <cellStyle name="Normal 3 5" xfId="123" xr:uid="{C0D931B4-77B3-4AE3-BD83-622316D97C21}"/>
    <cellStyle name="Normal 3 5 2" xfId="257" xr:uid="{BC9C7347-D6A5-4109-801E-73C1796C8F8A}"/>
    <cellStyle name="Normal 3 6" xfId="193" xr:uid="{77B6D90D-50E5-41C6-9536-5297A44E96A5}"/>
    <cellStyle name="Normal 4" xfId="53" xr:uid="{29E1D8FC-AA26-4ED5-B699-C2338CB21097}"/>
    <cellStyle name="Normal 4 2" xfId="167" xr:uid="{7BD6B94E-9B56-4EBA-83FD-34A1499BD4F7}"/>
    <cellStyle name="Normal 4 2 2" xfId="301" xr:uid="{42D46793-3D2C-4C65-9580-D19FD5ED3379}"/>
    <cellStyle name="Normal 4 3" xfId="122" xr:uid="{52AC4EEF-D513-4FA0-AB11-0882EC4AD637}"/>
    <cellStyle name="Normal 4 3 2" xfId="256" xr:uid="{889EE2D7-A691-4637-9386-C6DF7429301A}"/>
    <cellStyle name="Normal 4 4" xfId="194" xr:uid="{F46C7C02-6330-4AA1-AEBB-7EBAB3CF6315}"/>
    <cellStyle name="Normal 4 5" xfId="324" xr:uid="{33D979FB-2D30-4E4A-9056-42BF2C196D79}"/>
    <cellStyle name="Normal 5" xfId="57" xr:uid="{337E0A1D-B7DE-462E-B6E3-41DE16232D8A}"/>
    <cellStyle name="Normal 5 2" xfId="169" xr:uid="{475DA3DF-60DE-4A11-8BD6-520DAFA7E3F7}"/>
    <cellStyle name="Normal 5 2 2" xfId="302" xr:uid="{0826D3C3-56D1-40D9-BCB8-33D5D72C8835}"/>
    <cellStyle name="Normal 5 3" xfId="161" xr:uid="{E5BC4409-FF7D-4D77-8790-FEE213A9D8A9}"/>
    <cellStyle name="Normal 5 3 2" xfId="295" xr:uid="{0E5FA222-A8A6-4067-ADEF-506C02B5B1C7}"/>
    <cellStyle name="Normal 5 4" xfId="195" xr:uid="{791CA2D7-A6C3-485C-B201-ECF1A700280F}"/>
    <cellStyle name="Normal 5 5" xfId="323" xr:uid="{B3681179-0A67-4032-9FA8-1FE8219863FC}"/>
    <cellStyle name="Normal 6" xfId="74" xr:uid="{1B87C583-47C8-430B-AD75-BCB37776F347}"/>
    <cellStyle name="Normal 6 2" xfId="177" xr:uid="{E8565722-B442-45F0-B875-4879CD080F55}"/>
    <cellStyle name="Normal 6 2 2" xfId="310" xr:uid="{75C7F142-7E2B-49FA-9035-93E5C8A8EEA9}"/>
    <cellStyle name="Normal 6 3" xfId="208" xr:uid="{006B6BC0-EE81-4E5E-9815-EB11AA975F54}"/>
    <cellStyle name="Normal 7" xfId="162" xr:uid="{08FD8BFA-6726-491B-B9DF-0986F0F65D54}"/>
    <cellStyle name="Normal 7 2" xfId="183" xr:uid="{5E2F2092-7A19-4BFE-8F65-6D87DF8A52F2}"/>
    <cellStyle name="Normal 7 2 2" xfId="315" xr:uid="{A6665B81-8E24-411E-BE6E-38D23368DABF}"/>
    <cellStyle name="Normal 7 3" xfId="296" xr:uid="{D90ED685-4B4C-464A-9547-D5B265A13E4B}"/>
    <cellStyle name="Normal 8" xfId="84" xr:uid="{291B3F96-BE01-421E-932C-F26A3624A267}"/>
    <cellStyle name="Normal 8 2" xfId="218" xr:uid="{7F9A4A1E-8274-43C2-92CE-E7BD947CDAF2}"/>
    <cellStyle name="Normal 8 3" xfId="338" xr:uid="{D4B47899-CFF3-4C03-B2EC-E5C38FA103C5}"/>
    <cellStyle name="Normal 9" xfId="316" xr:uid="{7FE38299-161C-494A-9992-03C7ECFA4268}"/>
    <cellStyle name="Notas" xfId="16" builtinId="10" customBuiltin="1"/>
    <cellStyle name="Note 2" xfId="133" xr:uid="{FBA87687-0335-49D6-802D-A17EBDCEACA2}"/>
    <cellStyle name="Note 2 2" xfId="267" xr:uid="{F7122AB9-9BA7-4E93-8ECB-F05618E39774}"/>
    <cellStyle name="Note 3" xfId="94" xr:uid="{46298306-668B-4618-A4A1-E449F96E3D54}"/>
    <cellStyle name="Note 3 2" xfId="228" xr:uid="{5E58AD02-0057-41E0-8705-048938943990}"/>
    <cellStyle name="Output 2" xfId="128" xr:uid="{A439B6B1-4DB0-42A7-9A62-3427789F5B7C}"/>
    <cellStyle name="Output 2 2" xfId="262" xr:uid="{3A5E186C-AA64-4A8E-9059-7413AC6A334A}"/>
    <cellStyle name="Output 3" xfId="89" xr:uid="{00BCFD0D-6D9B-48B2-8FA3-81A6075B5CD4}"/>
    <cellStyle name="Output 3 2" xfId="223" xr:uid="{A8ED4C8A-5BBB-4774-AB72-D13101062EF1}"/>
    <cellStyle name="Percent 2" xfId="55" xr:uid="{B8FA7DC5-6CB1-48DD-920B-7B05A8B332C8}"/>
    <cellStyle name="Percent 2 2" xfId="70" xr:uid="{76924D7A-9EA5-4B74-8448-8C5986A845E8}"/>
    <cellStyle name="Percent 2 3" xfId="69" xr:uid="{EDC4C8FA-628F-420A-8006-8917035F4349}"/>
    <cellStyle name="Percent 3" xfId="56" xr:uid="{7C628FF1-6D3E-417B-83DF-650A42AAF91B}"/>
    <cellStyle name="Percent 3 2" xfId="72" xr:uid="{87AE5EFD-FBA0-4A9C-8B46-86C3EA3B1FD8}"/>
    <cellStyle name="Percent 3 3" xfId="71" xr:uid="{87C82025-4318-4098-8DC2-B5CB14FDC3DF}"/>
    <cellStyle name="Percent 4" xfId="168" xr:uid="{55A8E388-E6BA-4613-B255-A81DE23E1EFC}"/>
    <cellStyle name="Percent 5" xfId="182" xr:uid="{503AB240-0640-4D23-8456-E9799B53D3E3}"/>
    <cellStyle name="Percent 6" xfId="333" xr:uid="{5118A179-602C-490B-A7D3-DAC03494E3AF}"/>
    <cellStyle name="Porcentaje" xfId="1" builtinId="5"/>
    <cellStyle name="Porcentaje 2" xfId="319" xr:uid="{611A091F-5273-4DBC-B105-D014E3EFF8BE}"/>
    <cellStyle name="Porcentaje 3" xfId="345" xr:uid="{EBB51D87-5A1E-4FD6-855C-DE19A4616BCC}"/>
    <cellStyle name="Porcentaje 4" xfId="54" xr:uid="{795AADAA-E65A-476C-A8C1-BCFEF7A0B961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2 2" xfId="215" xr:uid="{C8E18C89-449C-4FC5-B0AF-E1744C199EC5}"/>
    <cellStyle name="Título 2 3" xfId="81" xr:uid="{B08D97A7-6D26-41F8-B9D6-FECC6C71A2FD}"/>
    <cellStyle name="Título 3" xfId="5" builtinId="18" customBuiltin="1"/>
    <cellStyle name="Título 3 2" xfId="216" xr:uid="{3B30C4A0-7281-4618-903D-011F36DC1D04}"/>
    <cellStyle name="Título 3 3" xfId="82" xr:uid="{6147159F-19FA-4FF4-B93D-14F430A4E714}"/>
    <cellStyle name="Título 4" xfId="213" xr:uid="{22FF0B91-1A57-4235-B366-15F6B837E246}"/>
    <cellStyle name="Título 5" xfId="79" xr:uid="{AE91DC01-98C5-4F9C-BF75-879600E2C58E}"/>
    <cellStyle name="Total" xfId="18" builtinId="25" customBuiltin="1"/>
    <cellStyle name="Total 2" xfId="135" xr:uid="{72056577-A876-405D-B3FA-72FD0B5D8992}"/>
    <cellStyle name="Total 2 2" xfId="269" xr:uid="{7C00608D-9F84-4B11-8578-F28EE2D989ED}"/>
    <cellStyle name="Total 3" xfId="96" xr:uid="{1887E206-98D0-43B2-A4B3-B8EC2C9294FA}"/>
    <cellStyle name="Total 3 2" xfId="230" xr:uid="{76CBF140-862D-4428-8F48-ED05E8697344}"/>
    <cellStyle name="Warning Text 2" xfId="132" xr:uid="{415F3914-58FF-4C98-991F-DB094097E374}"/>
    <cellStyle name="Warning Text 2 2" xfId="266" xr:uid="{E95A284E-03E3-4FAF-B364-A71AB08008FE}"/>
    <cellStyle name="Warning Text 3" xfId="93" xr:uid="{1B9CD8BE-DA2C-4C83-91F1-DA37D8198A53}"/>
    <cellStyle name="Warning Text 3 2" xfId="227" xr:uid="{0F809820-643E-45BC-8639-45EF609DC23D}"/>
  </cellStyles>
  <dxfs count="211">
    <dxf>
      <numFmt numFmtId="2" formatCode="0.00"/>
    </dxf>
    <dxf>
      <numFmt numFmtId="13" formatCode="0%"/>
    </dxf>
    <dxf>
      <numFmt numFmtId="14" formatCode="0.00%"/>
    </dxf>
    <dxf>
      <alignment horizontal="center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14" formatCode="0.00%"/>
    </dxf>
    <dxf>
      <alignment horizontal="center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alignment horizontal="center"/>
    </dxf>
    <dxf>
      <numFmt numFmtId="1" formatCode="0"/>
    </dxf>
    <dxf>
      <alignment horizontal="center"/>
    </dxf>
    <dxf>
      <numFmt numFmtId="166" formatCode="0.0"/>
    </dxf>
    <dxf>
      <numFmt numFmtId="166" formatCode="0.0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166" formatCode="0.0"/>
    </dxf>
    <dxf>
      <numFmt numFmtId="166" formatCode="0.0"/>
    </dxf>
    <dxf>
      <alignment horizontal="center"/>
    </dxf>
    <dxf>
      <numFmt numFmtId="1" formatCode="0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alignment horizontal="center"/>
    </dxf>
    <dxf>
      <numFmt numFmtId="1" formatCode="0"/>
    </dxf>
    <dxf>
      <alignment horizontal="center"/>
    </dxf>
    <dxf>
      <numFmt numFmtId="14" formatCode="0.00%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alignment horizontal="center"/>
    </dxf>
    <dxf>
      <numFmt numFmtId="14" formatCode="0.00%"/>
    </dxf>
    <dxf>
      <numFmt numFmtId="13" formatCode="0%"/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65" formatCode="m/d/yyyy;@"/>
      <alignment horizontal="center" vertical="center" textRotation="0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/>
        <right style="medium">
          <color rgb="FFFF0000"/>
        </right>
        <top/>
        <bottom/>
      </border>
    </dxf>
    <dxf>
      <alignment horizontal="left" vertical="center" textRotation="0" indent="0" justifyLastLine="0" shrinkToFit="0" readingOrder="0"/>
      <border diagonalUp="0" diagonalDown="0" outline="0">
        <left style="medium">
          <color rgb="FFFF0000"/>
        </left>
        <right/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6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</dxf>
    <dxf>
      <numFmt numFmtId="167" formatCode="0.0000"/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numFmt numFmtId="165" formatCode="m/d/yyyy;@"/>
      <alignment horizontal="center" vertical="center" textRotation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13" formatCode="0%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rgb="FFFF0000"/>
        </left>
        <right style="medium">
          <color rgb="FFFF0000"/>
        </right>
        <top/>
        <bottom/>
        <vertical/>
        <horizontal/>
      </border>
    </dxf>
    <dxf>
      <font>
        <b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/>
      </font>
      <numFmt numFmtId="2" formatCode="0.00"/>
      <alignment horizontal="center" vertical="center" textRotation="0" wrapText="0" indent="0" justifyLastLine="0" shrinkToFit="0" readingOrder="0"/>
    </dxf>
    <dxf>
      <font>
        <b/>
      </font>
      <numFmt numFmtId="166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name val="Calibri Light"/>
        <family val="2"/>
        <scheme val="maj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C7787"/>
        </patternFill>
      </fill>
    </dxf>
    <dxf>
      <font>
        <color theme="0"/>
      </font>
      <fill>
        <patternFill>
          <bgColor rgb="FF827691"/>
        </patternFill>
      </fill>
    </dxf>
    <dxf>
      <font>
        <b/>
        <i val="0"/>
        <color theme="0"/>
      </font>
      <fill>
        <patternFill>
          <bgColor rgb="FFCE0037"/>
        </patternFill>
      </fill>
    </dxf>
  </dxfs>
  <tableStyles count="2" defaultTableStyle="TableStyleMedium2" defaultPivotStyle="PivotStyleLight16">
    <tableStyle name="Estilo de tabla 1" pivot="0" count="3" xr9:uid="{F63FD857-394E-4BEF-B932-3C622BDDEBCA}">
      <tableStyleElement type="headerRow" dxfId="210"/>
      <tableStyleElement type="firstRowStripe" dxfId="209"/>
      <tableStyleElement type="secondRowStripe" dxfId="208"/>
    </tableStyle>
    <tableStyle name="Slicer Style 1" pivot="0" table="0" count="4" xr9:uid="{7551F615-39C4-4986-ABC9-EE4A24661622}">
      <tableStyleElement type="wholeTable" dxfId="207"/>
      <tableStyleElement type="headerRow" dxfId="206"/>
    </tableStyle>
  </tableStyles>
  <colors>
    <mruColors>
      <color rgb="FFCE0037"/>
      <color rgb="FF2E1A47"/>
      <color rgb="FF827691"/>
      <color rgb="FFFC7787"/>
      <color rgb="FF3B434D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3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bgColor theme="3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tyles" Target="styles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microsoft.com/office/2017/06/relationships/rdRichValueTypes" Target="richData/rdRichValueTypes.xml"/><Relationship Id="rId28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(1).xlsx]Tables!POCvsLABOR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POC</a:t>
            </a:r>
            <a:r>
              <a:rPr lang="es-MX" baseline="0"/>
              <a:t> vs Labor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2E1A47"/>
          </a:solidFill>
          <a:ln w="0">
            <a:solidFill>
              <a:schemeClr val="bg1">
                <a:alpha val="97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  <c:spPr>
          <a:solidFill>
            <a:srgbClr val="C00000"/>
          </a:solidFill>
          <a:ln>
            <a:noFill/>
          </a:ln>
          <a:effectLst/>
        </c:spPr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  <c:spPr>
          <a:solidFill>
            <a:srgbClr val="C00000"/>
          </a:solidFill>
          <a:ln>
            <a:noFill/>
          </a:ln>
          <a:effectLst/>
        </c:spPr>
      </c:pivotFmt>
      <c:pivotFmt>
        <c:idx val="34"/>
        <c:spPr>
          <a:solidFill>
            <a:srgbClr val="C00000"/>
          </a:solidFill>
          <a:ln>
            <a:noFill/>
          </a:ln>
          <a:effectLst/>
        </c:spPr>
      </c:pivotFmt>
      <c:pivotFmt>
        <c:idx val="35"/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Tables!$C$4</c:f>
              <c:strCache>
                <c:ptCount val="1"/>
                <c:pt idx="0">
                  <c:v>POC</c:v>
                </c:pt>
              </c:strCache>
            </c:strRef>
          </c:tx>
          <c:spPr>
            <a:solidFill>
              <a:srgbClr val="2E1A47"/>
            </a:solidFill>
            <a:ln w="0">
              <a:solidFill>
                <a:schemeClr val="bg1">
                  <a:alpha val="97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Tables!$B$5:$B$6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Tables!$C$5:$C$6</c:f>
              <c:numCache>
                <c:formatCode>0%</c:formatCode>
                <c:ptCount val="1"/>
                <c:pt idx="0">
                  <c:v>0.46278333333333332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5-41B1-A769-C749DB576A0C}"/>
            </c:ext>
          </c:extLst>
        </c:ser>
        <c:ser>
          <c:idx val="1"/>
          <c:order val="1"/>
          <c:tx>
            <c:strRef>
              <c:f>Tables!$D$4</c:f>
              <c:strCache>
                <c:ptCount val="1"/>
                <c:pt idx="0">
                  <c:v>LABOR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32A-44B1-818A-1C7BE0F0B0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Tables!$B$5:$B$6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Tables!$D$5:$D$6</c:f>
              <c:numCache>
                <c:formatCode>0%</c:formatCode>
                <c:ptCount val="1"/>
                <c:pt idx="0">
                  <c:v>0.29729729729729731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5-41B1-A769-C749DB576A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75616"/>
        <c:axId val="19964576"/>
      </c:barChart>
      <c:catAx>
        <c:axId val="199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964576"/>
        <c:crosses val="autoZero"/>
        <c:auto val="1"/>
        <c:lblAlgn val="ctr"/>
        <c:lblOffset val="100"/>
        <c:noMultiLvlLbl val="0"/>
      </c:catAx>
      <c:valAx>
        <c:axId val="1996457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975616"/>
        <c:crosses val="autoZero"/>
        <c:crossBetween val="between"/>
        <c:majorUnit val="0.30000000000000004"/>
      </c:valAx>
      <c:spPr>
        <a:noFill/>
        <a:ln>
          <a:solidFill>
            <a:schemeClr val="bg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(1).xlsx]Tables!Sell Hours vs Hours Spent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Labor Budget in 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MX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Tables!$G$4</c:f>
              <c:strCache>
                <c:ptCount val="1"/>
                <c:pt idx="0">
                  <c:v>Hrs Budget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Tables!$F$5:$F$6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Tables!$G$5:$G$6</c:f>
              <c:numCache>
                <c:formatCode>_("$"* #,##0.00_);_("$"* \(#,##0.00\);_("$"* "-"??_);_(@_)</c:formatCode>
                <c:ptCount val="1"/>
                <c:pt idx="0">
                  <c:v>8806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A-4710-911F-0E360E65DED0}"/>
            </c:ext>
          </c:extLst>
        </c:ser>
        <c:ser>
          <c:idx val="1"/>
          <c:order val="1"/>
          <c:tx>
            <c:strRef>
              <c:f>Tables!$H$4</c:f>
              <c:strCache>
                <c:ptCount val="1"/>
                <c:pt idx="0">
                  <c:v>Hrs Spend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Tables!$F$5:$F$6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Tables!$H$5:$H$6</c:f>
              <c:numCache>
                <c:formatCode>_("$"* #,##0.00_);_("$"* \(#,##0.00\);_("$"* "-"??_);_(@_)</c:formatCode>
                <c:ptCount val="1"/>
                <c:pt idx="0">
                  <c:v>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4A-4710-911F-0E360E65DE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75776"/>
        <c:axId val="19892576"/>
      </c:barChart>
      <c:catAx>
        <c:axId val="1987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2576"/>
        <c:crosses val="autoZero"/>
        <c:auto val="1"/>
        <c:lblAlgn val="ctr"/>
        <c:lblOffset val="100"/>
        <c:noMultiLvlLbl val="0"/>
      </c:catAx>
      <c:valAx>
        <c:axId val="19892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75776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940393518518516"/>
          <c:y val="0.17103842592592594"/>
          <c:w val="0.38119189814814813"/>
          <c:h val="0.10632083333333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(1).xlsx]Tables!Labor Budget vs Labor Used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Labor</a:t>
            </a:r>
            <a:r>
              <a:rPr lang="es-MX" baseline="0"/>
              <a:t> Burget in Hours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000" b="0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1000" b="0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Tables!$K$4</c:f>
              <c:strCache>
                <c:ptCount val="1"/>
                <c:pt idx="0">
                  <c:v>Hrs Budget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000" b="0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Tables!$J$5:$J$6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Tables!$K$5:$K$6</c:f>
              <c:numCache>
                <c:formatCode>0</c:formatCode>
                <c:ptCount val="1"/>
                <c:pt idx="0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7-423A-96EA-E13D317DF552}"/>
            </c:ext>
          </c:extLst>
        </c:ser>
        <c:ser>
          <c:idx val="1"/>
          <c:order val="1"/>
          <c:tx>
            <c:strRef>
              <c:f>Tables!$L$4</c:f>
              <c:strCache>
                <c:ptCount val="1"/>
                <c:pt idx="0">
                  <c:v>Hrs Labor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1000" b="0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Tables!$J$5:$J$6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Tables!$L$5:$L$6</c:f>
              <c:numCache>
                <c:formatCode>0.0</c:formatCode>
                <c:ptCount val="1"/>
                <c:pt idx="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7-423A-96EA-E13D317DF5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03936"/>
        <c:axId val="19997216"/>
      </c:barChart>
      <c:catAx>
        <c:axId val="200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997216"/>
        <c:crosses val="autoZero"/>
        <c:auto val="1"/>
        <c:lblAlgn val="ctr"/>
        <c:lblOffset val="100"/>
        <c:noMultiLvlLbl val="0"/>
      </c:catAx>
      <c:valAx>
        <c:axId val="199972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0393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 algn="ctr" rtl="0">
        <a:defRPr lang="en-US" sz="1400" b="0" i="0" u="none" strike="noStrike" kern="1200" spc="0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(1).xlsx]Tables!Theoretical GP Calc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aseline="0"/>
              <a:t>Theoretical GP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Tables!$O$4</c:f>
              <c:strCache>
                <c:ptCount val="1"/>
                <c:pt idx="0">
                  <c:v> Project GP (Summary)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Tables!$N$5:$N$6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Tables!$O$5:$O$6</c:f>
              <c:numCache>
                <c:formatCode>0.00%</c:formatCode>
                <c:ptCount val="1"/>
                <c:pt idx="0">
                  <c:v>0.1651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9-4A11-99AF-5A82C66DC42D}"/>
            </c:ext>
          </c:extLst>
        </c:ser>
        <c:ser>
          <c:idx val="1"/>
          <c:order val="1"/>
          <c:tx>
            <c:strRef>
              <c:f>Tables!$P$4</c:f>
              <c:strCache>
                <c:ptCount val="1"/>
                <c:pt idx="0">
                  <c:v> Current GP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Tables!$N$5:$N$6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Tables!$P$5:$P$6</c:f>
              <c:numCache>
                <c:formatCode>0.00%</c:formatCode>
                <c:ptCount val="1"/>
                <c:pt idx="0">
                  <c:v>0.18025101891481987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59-4887-B785-44007B1F1D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3061744"/>
        <c:axId val="1803060784"/>
      </c:barChart>
      <c:catAx>
        <c:axId val="180306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03060784"/>
        <c:crosses val="autoZero"/>
        <c:auto val="1"/>
        <c:lblAlgn val="ctr"/>
        <c:lblOffset val="100"/>
        <c:noMultiLvlLbl val="0"/>
      </c:catAx>
      <c:valAx>
        <c:axId val="18030607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0306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(1).xlsx]Tables!Sell Hours vs Hours Spent HD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dLbl>
          <c:idx val="0"/>
          <c:layout>
            <c:manualLayout>
              <c:x val="1.5312254548880302E-3"/>
              <c:y val="-0.268189647719804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dLbl>
          <c:idx val="0"/>
          <c:layout>
            <c:manualLayout>
              <c:x val="-8.245055694744668E-17"/>
              <c:y val="-0.28333378262684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74309152757262E-3"/>
              <c:y val="-0.270051236155366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5"/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74309152757262E-3"/>
              <c:y val="-0.270051236155366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8333378262684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9"/>
        <c:dLbl>
          <c:idx val="0"/>
          <c:layout>
            <c:manualLayout>
              <c:x val="0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74309152757262E-3"/>
              <c:y val="-0.270051236155366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8333378262684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5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0.28333378262684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6"/>
      </c:pivotFmt>
    </c:pivotFmts>
    <c:plotArea>
      <c:layout/>
      <c:doughnutChart>
        <c:varyColors val="0"/>
        <c:ser>
          <c:idx val="0"/>
          <c:order val="0"/>
          <c:tx>
            <c:strRef>
              <c:f>Tables!$S$4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434D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rgbClr val="3B43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FB6-4F90-8D1B-1A54032A3EF9}"/>
              </c:ext>
            </c:extLst>
          </c:dPt>
          <c:dLbls>
            <c:dLbl>
              <c:idx val="0"/>
              <c:layout>
                <c:manualLayout>
                  <c:x val="-3.374309152757262E-3"/>
                  <c:y val="-0.270051236155366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B6-4F90-8D1B-1A54032A3E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0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Tables!$R$5:$R$6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Tables!$S$5:$S$6</c:f>
              <c:numCache>
                <c:formatCode>0%</c:formatCode>
                <c:ptCount val="1"/>
                <c:pt idx="0">
                  <c:v>0.29729729729729731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6-4F90-8D1B-1A54032A3E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(1).xlsx]Tables!Sell Hours vs Hours Spent HD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312254548880302E-3"/>
              <c:y val="-0.268189647719804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2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989420237814469E-2"/>
              <c:y val="-0.28081835869052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2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2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664045452323728E-3"/>
              <c:y val="-0.274644136301397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25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664045452323728E-3"/>
              <c:y val="-0.274644136301397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2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989420237814469E-2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2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0989545597160222E-2"/>
              <c:y val="-0.273005299494405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2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947101189072343E-3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29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989420237814469E-2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0989545597160222E-2"/>
              <c:y val="-0.273005299494405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664045452323728E-3"/>
              <c:y val="-0.274644136301397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664045452323728E-3"/>
              <c:y val="-0.274644136301397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947101189072343E-3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5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312254548880302E-3"/>
              <c:y val="-0.268189647719804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989420237814469E-2"/>
              <c:y val="-0.28081835869052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3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9947101189072343E-3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734856624508831E-3"/>
              <c:y val="-0.283332161377933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0.28333378262684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5"/>
        <c:dLbl>
          <c:idx val="0"/>
          <c:layout>
            <c:manualLayout>
              <c:x val="-1.7989420237814552E-2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8"/>
        <c:dLbl>
          <c:idx val="0"/>
          <c:layout>
            <c:manualLayout>
              <c:x val="1.7989420237814469E-2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49"/>
        <c:dLbl>
          <c:idx val="0"/>
          <c:layout>
            <c:manualLayout>
              <c:x val="-2.0989545597160222E-2"/>
              <c:y val="-0.273005299494405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50"/>
        <c:dLbl>
          <c:idx val="0"/>
          <c:layout>
            <c:manualLayout>
              <c:x val="2.7664045452323728E-3"/>
              <c:y val="-0.274644136301397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51"/>
        <c:dLbl>
          <c:idx val="0"/>
          <c:layout>
            <c:manualLayout>
              <c:x val="2.7664045452323728E-3"/>
              <c:y val="-0.274644136301397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52"/>
        <c:dLbl>
          <c:idx val="0"/>
          <c:layout>
            <c:manualLayout>
              <c:x val="8.9947101189072343E-3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53"/>
        <c:dLbl>
          <c:idx val="0"/>
          <c:layout>
            <c:manualLayout>
              <c:x val="1.5312254548880302E-3"/>
              <c:y val="-0.268189647719804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54"/>
        <c:dLbl>
          <c:idx val="0"/>
          <c:layout>
            <c:manualLayout>
              <c:x val="0"/>
              <c:y val="-0.271528208350724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55"/>
        <c:dLbl>
          <c:idx val="0"/>
          <c:layout>
            <c:manualLayout>
              <c:x val="1.7989420237814469E-2"/>
              <c:y val="-0.28081835869052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3145860910618785"/>
                  <c:h val="0.26771695996237088"/>
                </c:manualLayout>
              </c15:layout>
            </c:ext>
          </c:extLst>
        </c:dLbl>
      </c:pivotFmt>
      <c:pivotFmt>
        <c:idx val="5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9947101189072343E-3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59722634074605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9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734856624508831E-3"/>
              <c:y val="-0.283332161377933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0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1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2"/>
        <c:dLbl>
          <c:idx val="0"/>
          <c:layout>
            <c:manualLayout>
              <c:x val="0"/>
              <c:y val="-0.28333378262684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3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9947101189072343E-3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4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8333378262684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5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734856624508831E-3"/>
              <c:y val="-0.283332161377933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6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45055694744668E-17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7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9947101189072343E-3"/>
              <c:y val="-0.27152820835072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8"/>
        <c:spPr>
          <a:solidFill>
            <a:srgbClr val="3B43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0.283333782626842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none" lIns="38100" tIns="19050" rIns="38100" bIns="19050" anchor="ctr" anchorCtr="0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9"/>
      </c:pivotFmt>
    </c:pivotFmts>
    <c:plotArea>
      <c:layout/>
      <c:doughnutChart>
        <c:varyColors val="0"/>
        <c:ser>
          <c:idx val="0"/>
          <c:order val="0"/>
          <c:tx>
            <c:strRef>
              <c:f>Tables!$S$4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B434D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rgbClr val="3B43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3B3-410B-8FD7-71E11B5D7A0A}"/>
              </c:ext>
            </c:extLst>
          </c:dPt>
          <c:dLbls>
            <c:dLbl>
              <c:idx val="0"/>
              <c:layout>
                <c:manualLayout>
                  <c:x val="3.3734856624508831E-3"/>
                  <c:y val="-0.283332161377933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B3-410B-8FD7-71E11B5D7A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0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Tables!$R$5:$R$6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Tables!$S$5:$S$6</c:f>
              <c:numCache>
                <c:formatCode>0%</c:formatCode>
                <c:ptCount val="1"/>
                <c:pt idx="0">
                  <c:v>0.29729729729729731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B3-410B-8FD7-71E11B5D7A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(1).xlsx]Tables!POC vs Labor HD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POC</a:t>
            </a:r>
            <a:r>
              <a:rPr lang="es-MX" baseline="0"/>
              <a:t> VS BUDGET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Tables!$C$21</c:f>
              <c:strCache>
                <c:ptCount val="1"/>
                <c:pt idx="0">
                  <c:v>POC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cat>
            <c:strRef>
              <c:f>Tables!$B$22:$B$25</c:f>
              <c:strCache>
                <c:ptCount val="3"/>
                <c:pt idx="0">
                  <c:v>3332-A</c:v>
                </c:pt>
                <c:pt idx="1">
                  <c:v>3332-B</c:v>
                </c:pt>
                <c:pt idx="2">
                  <c:v>3332-C</c:v>
                </c:pt>
              </c:strCache>
            </c:strRef>
          </c:cat>
          <c:val>
            <c:numRef>
              <c:f>Tables!$C$22:$C$25</c:f>
              <c:numCache>
                <c:formatCode>0%</c:formatCode>
                <c:ptCount val="3"/>
                <c:pt idx="0">
                  <c:v>0.40225</c:v>
                </c:pt>
                <c:pt idx="1">
                  <c:v>0.40225</c:v>
                </c:pt>
                <c:pt idx="2">
                  <c:v>0.58385000000000009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1-4C7A-8D14-75B8140C88E6}"/>
            </c:ext>
          </c:extLst>
        </c:ser>
        <c:ser>
          <c:idx val="1"/>
          <c:order val="1"/>
          <c:tx>
            <c:strRef>
              <c:f>Tables!$D$21</c:f>
              <c:strCache>
                <c:ptCount val="1"/>
                <c:pt idx="0">
                  <c:v>LABOR</c:v>
                </c:pt>
              </c:strCache>
            </c:strRef>
          </c:tx>
          <c:spPr>
            <a:solidFill>
              <a:srgbClr val="CE0037"/>
            </a:solidFill>
            <a:ln>
              <a:noFill/>
            </a:ln>
            <a:effectLst/>
          </c:spPr>
          <c:invertIfNegative val="0"/>
          <c:cat>
            <c:strRef>
              <c:f>Tables!$B$22:$B$25</c:f>
              <c:strCache>
                <c:ptCount val="3"/>
                <c:pt idx="0">
                  <c:v>3332-A</c:v>
                </c:pt>
                <c:pt idx="1">
                  <c:v>3332-B</c:v>
                </c:pt>
                <c:pt idx="2">
                  <c:v>3332-C</c:v>
                </c:pt>
              </c:strCache>
            </c:strRef>
          </c:cat>
          <c:val>
            <c:numRef>
              <c:f>Tables!$D$22:$D$25</c:f>
              <c:numCache>
                <c:formatCode>0%</c:formatCode>
                <c:ptCount val="3"/>
                <c:pt idx="0">
                  <c:v>0.28000000000000003</c:v>
                </c:pt>
                <c:pt idx="1">
                  <c:v>0.296875</c:v>
                </c:pt>
                <c:pt idx="2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1-4C7A-8D14-75B8140C8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732640"/>
        <c:axId val="802737920"/>
      </c:barChart>
      <c:catAx>
        <c:axId val="80273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02737920"/>
        <c:crosses val="autoZero"/>
        <c:auto val="1"/>
        <c:lblAlgn val="ctr"/>
        <c:lblOffset val="100"/>
        <c:noMultiLvlLbl val="0"/>
      </c:catAx>
      <c:valAx>
        <c:axId val="802737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027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(1).xlsx]Tables!Labor Budget vs Labor Used HD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LABOR</a:t>
            </a:r>
            <a:r>
              <a:rPr lang="es-MX" baseline="0"/>
              <a:t> BUDGET VS LABOR REAL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6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Tables!$X$4</c:f>
              <c:strCache>
                <c:ptCount val="1"/>
                <c:pt idx="0">
                  <c:v>Hrs Budget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Tables!$W$5:$W$8</c:f>
              <c:strCache>
                <c:ptCount val="3"/>
                <c:pt idx="0">
                  <c:v>3332-A</c:v>
                </c:pt>
                <c:pt idx="1">
                  <c:v>3332-B</c:v>
                </c:pt>
                <c:pt idx="2">
                  <c:v>3332-C</c:v>
                </c:pt>
              </c:strCache>
            </c:strRef>
          </c:cat>
          <c:val>
            <c:numRef>
              <c:f>Tables!$X$5:$X$8</c:f>
              <c:numCache>
                <c:formatCode>0</c:formatCode>
                <c:ptCount val="3"/>
                <c:pt idx="0">
                  <c:v>100</c:v>
                </c:pt>
                <c:pt idx="1">
                  <c:v>64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3-4909-BAB6-320365EB46D3}"/>
            </c:ext>
          </c:extLst>
        </c:ser>
        <c:ser>
          <c:idx val="1"/>
          <c:order val="1"/>
          <c:tx>
            <c:strRef>
              <c:f>Tables!$Y$4</c:f>
              <c:strCache>
                <c:ptCount val="1"/>
                <c:pt idx="0">
                  <c:v>Hrs Labor</c:v>
                </c:pt>
              </c:strCache>
            </c:strRef>
          </c:tx>
          <c:spPr>
            <a:solidFill>
              <a:srgbClr val="CE00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6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Tables!$W$5:$W$8</c:f>
              <c:strCache>
                <c:ptCount val="3"/>
                <c:pt idx="0">
                  <c:v>3332-A</c:v>
                </c:pt>
                <c:pt idx="1">
                  <c:v>3332-B</c:v>
                </c:pt>
                <c:pt idx="2">
                  <c:v>3332-C</c:v>
                </c:pt>
              </c:strCache>
            </c:strRef>
          </c:cat>
          <c:val>
            <c:numRef>
              <c:f>Tables!$Y$5:$Y$8</c:f>
              <c:numCache>
                <c:formatCode>0</c:formatCode>
                <c:ptCount val="3"/>
                <c:pt idx="0">
                  <c:v>28</c:v>
                </c:pt>
                <c:pt idx="1">
                  <c:v>19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3-4909-BAB6-320365EB46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0172016"/>
        <c:axId val="820172976"/>
      </c:barChart>
      <c:catAx>
        <c:axId val="8201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0172976"/>
        <c:crosses val="autoZero"/>
        <c:auto val="1"/>
        <c:lblAlgn val="ctr"/>
        <c:lblOffset val="100"/>
        <c:noMultiLvlLbl val="0"/>
      </c:catAx>
      <c:valAx>
        <c:axId val="8201729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01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(1).xlsx]Tables!Theoretical GP Calc JOB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Theoretical 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Tables!$AB$4</c:f>
              <c:strCache>
                <c:ptCount val="1"/>
                <c:pt idx="0">
                  <c:v>Station GP (Summary)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cat>
            <c:strRef>
              <c:f>Tables!$AA$5:$AA$8</c:f>
              <c:strCache>
                <c:ptCount val="3"/>
                <c:pt idx="0">
                  <c:v>3332-A</c:v>
                </c:pt>
                <c:pt idx="1">
                  <c:v>3332-B</c:v>
                </c:pt>
                <c:pt idx="2">
                  <c:v>3332-C</c:v>
                </c:pt>
              </c:strCache>
            </c:strRef>
          </c:cat>
          <c:val>
            <c:numRef>
              <c:f>Tables!$AB$5:$AB$8</c:f>
              <c:numCache>
                <c:formatCode>0.00%</c:formatCode>
                <c:ptCount val="3"/>
                <c:pt idx="0">
                  <c:v>0.19220000000000001</c:v>
                </c:pt>
                <c:pt idx="1">
                  <c:v>0.15659999999999999</c:v>
                </c:pt>
                <c:pt idx="2">
                  <c:v>0.1497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E-46B9-9806-EFA596882910}"/>
            </c:ext>
          </c:extLst>
        </c:ser>
        <c:ser>
          <c:idx val="1"/>
          <c:order val="1"/>
          <c:tx>
            <c:strRef>
              <c:f>Tables!$AC$4</c:f>
              <c:strCache>
                <c:ptCount val="1"/>
                <c:pt idx="0">
                  <c:v>Station GP</c:v>
                </c:pt>
              </c:strCache>
            </c:strRef>
          </c:tx>
          <c:spPr>
            <a:solidFill>
              <a:srgbClr val="CE0037"/>
            </a:solidFill>
            <a:ln>
              <a:noFill/>
            </a:ln>
            <a:effectLst/>
          </c:spPr>
          <c:invertIfNegative val="0"/>
          <c:cat>
            <c:strRef>
              <c:f>Tables!$AA$5:$AA$8</c:f>
              <c:strCache>
                <c:ptCount val="3"/>
                <c:pt idx="0">
                  <c:v>3332-A</c:v>
                </c:pt>
                <c:pt idx="1">
                  <c:v>3332-B</c:v>
                </c:pt>
                <c:pt idx="2">
                  <c:v>3332-C</c:v>
                </c:pt>
              </c:strCache>
            </c:strRef>
          </c:cat>
          <c:val>
            <c:numRef>
              <c:f>Tables!$AC$5:$AC$8</c:f>
              <c:numCache>
                <c:formatCode>0.00%</c:formatCode>
                <c:ptCount val="3"/>
                <c:pt idx="0">
                  <c:v>0.20637966066373759</c:v>
                </c:pt>
                <c:pt idx="1">
                  <c:v>0.16740184252479509</c:v>
                </c:pt>
                <c:pt idx="2">
                  <c:v>0.16440122272836241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E-46B9-9806-EFA596882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390176"/>
        <c:axId val="1890391136"/>
      </c:barChart>
      <c:catAx>
        <c:axId val="189039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0391136"/>
        <c:crosses val="autoZero"/>
        <c:auto val="1"/>
        <c:lblAlgn val="ctr"/>
        <c:lblOffset val="100"/>
        <c:noMultiLvlLbl val="0"/>
      </c:catAx>
      <c:valAx>
        <c:axId val="1890391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039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(1).xlsx]Tables!Hours to Finish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Hours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Tables!$AF$4</c:f>
              <c:strCache>
                <c:ptCount val="1"/>
                <c:pt idx="0">
                  <c:v>Hours Remaining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Tables!$AE$5:$AE$6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Tables!$AF$5:$AF$6</c:f>
              <c:numCache>
                <c:formatCode>General</c:formatCode>
                <c:ptCount val="1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C-40D1-B1DC-4215D6518921}"/>
            </c:ext>
          </c:extLst>
        </c:ser>
        <c:ser>
          <c:idx val="1"/>
          <c:order val="1"/>
          <c:tx>
            <c:strRef>
              <c:f>Tables!$AG$4</c:f>
              <c:strCache>
                <c:ptCount val="1"/>
                <c:pt idx="0">
                  <c:v>Hours to Finish</c:v>
                </c:pt>
              </c:strCache>
            </c:strRef>
          </c:tx>
          <c:spPr>
            <a:solidFill>
              <a:srgbClr val="CE00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Tables!$AE$5:$AE$6</c:f>
              <c:strCache>
                <c:ptCount val="1"/>
                <c:pt idx="0">
                  <c:v>3332</c:v>
                </c:pt>
              </c:strCache>
            </c:strRef>
          </c:cat>
          <c:val>
            <c:numRef>
              <c:f>Tables!$AG$5:$AG$6</c:f>
              <c:numCache>
                <c:formatCode>0.00</c:formatCode>
                <c:ptCount val="1"/>
                <c:pt idx="0">
                  <c:v>153.53775000000002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5-462E-93C3-A7DB8CE2F3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6811631"/>
        <c:axId val="896810191"/>
      </c:barChart>
      <c:catAx>
        <c:axId val="89681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6810191"/>
        <c:crosses val="autoZero"/>
        <c:auto val="1"/>
        <c:lblAlgn val="ctr"/>
        <c:lblOffset val="100"/>
        <c:noMultiLvlLbl val="0"/>
      </c:catAx>
      <c:valAx>
        <c:axId val="89681019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681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(1).xlsx]Tables!Labor Spend on Design Desviations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Labor Spend on Design Desviations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Tables!$AJ$4</c:f>
              <c:strCache>
                <c:ptCount val="1"/>
                <c:pt idx="0">
                  <c:v>Labor Budget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Tables!$AI$5:$AI$29</c:f>
              <c:strCache>
                <c:ptCount val="24"/>
                <c:pt idx="0">
                  <c:v>3336-A</c:v>
                </c:pt>
                <c:pt idx="1">
                  <c:v>3336-B</c:v>
                </c:pt>
                <c:pt idx="2">
                  <c:v>3336-C</c:v>
                </c:pt>
                <c:pt idx="3">
                  <c:v>3336-D</c:v>
                </c:pt>
                <c:pt idx="4">
                  <c:v>3336-E</c:v>
                </c:pt>
                <c:pt idx="5">
                  <c:v>3336-F</c:v>
                </c:pt>
                <c:pt idx="6">
                  <c:v>3336-G</c:v>
                </c:pt>
                <c:pt idx="7">
                  <c:v>3336-H</c:v>
                </c:pt>
                <c:pt idx="8">
                  <c:v>3336-I</c:v>
                </c:pt>
                <c:pt idx="9">
                  <c:v>3336-J</c:v>
                </c:pt>
                <c:pt idx="10">
                  <c:v>3336-K</c:v>
                </c:pt>
                <c:pt idx="11">
                  <c:v>3336-L</c:v>
                </c:pt>
                <c:pt idx="12">
                  <c:v>3336-M</c:v>
                </c:pt>
                <c:pt idx="13">
                  <c:v>3336-N</c:v>
                </c:pt>
                <c:pt idx="14">
                  <c:v>3336-O</c:v>
                </c:pt>
                <c:pt idx="15">
                  <c:v>3336-P</c:v>
                </c:pt>
                <c:pt idx="16">
                  <c:v>3336-Q</c:v>
                </c:pt>
                <c:pt idx="17">
                  <c:v>3336-R</c:v>
                </c:pt>
                <c:pt idx="18">
                  <c:v>3336-S</c:v>
                </c:pt>
                <c:pt idx="19">
                  <c:v>3336-T</c:v>
                </c:pt>
                <c:pt idx="20">
                  <c:v>3336-U</c:v>
                </c:pt>
                <c:pt idx="21">
                  <c:v>3336-V</c:v>
                </c:pt>
                <c:pt idx="22">
                  <c:v>3336-W</c:v>
                </c:pt>
                <c:pt idx="23">
                  <c:v>3336-X</c:v>
                </c:pt>
              </c:strCache>
            </c:strRef>
          </c:cat>
          <c:val>
            <c:numRef>
              <c:f>Tables!$AJ$5:$AJ$29</c:f>
              <c:numCache>
                <c:formatCode>0.0</c:formatCode>
                <c:ptCount val="24"/>
                <c:pt idx="0">
                  <c:v>14</c:v>
                </c:pt>
                <c:pt idx="1">
                  <c:v>8</c:v>
                </c:pt>
                <c:pt idx="2">
                  <c:v>14</c:v>
                </c:pt>
                <c:pt idx="3">
                  <c:v>8</c:v>
                </c:pt>
                <c:pt idx="4">
                  <c:v>14</c:v>
                </c:pt>
                <c:pt idx="5">
                  <c:v>14</c:v>
                </c:pt>
                <c:pt idx="6">
                  <c:v>10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0-4D69-B211-7924B86C5367}"/>
            </c:ext>
          </c:extLst>
        </c:ser>
        <c:ser>
          <c:idx val="1"/>
          <c:order val="1"/>
          <c:tx>
            <c:strRef>
              <c:f>Tables!$AK$4</c:f>
              <c:strCache>
                <c:ptCount val="1"/>
                <c:pt idx="0">
                  <c:v>Labor Spend</c:v>
                </c:pt>
              </c:strCache>
            </c:strRef>
          </c:tx>
          <c:spPr>
            <a:solidFill>
              <a:srgbClr val="CE00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Tables!$AI$5:$AI$29</c:f>
              <c:strCache>
                <c:ptCount val="24"/>
                <c:pt idx="0">
                  <c:v>3336-A</c:v>
                </c:pt>
                <c:pt idx="1">
                  <c:v>3336-B</c:v>
                </c:pt>
                <c:pt idx="2">
                  <c:v>3336-C</c:v>
                </c:pt>
                <c:pt idx="3">
                  <c:v>3336-D</c:v>
                </c:pt>
                <c:pt idx="4">
                  <c:v>3336-E</c:v>
                </c:pt>
                <c:pt idx="5">
                  <c:v>3336-F</c:v>
                </c:pt>
                <c:pt idx="6">
                  <c:v>3336-G</c:v>
                </c:pt>
                <c:pt idx="7">
                  <c:v>3336-H</c:v>
                </c:pt>
                <c:pt idx="8">
                  <c:v>3336-I</c:v>
                </c:pt>
                <c:pt idx="9">
                  <c:v>3336-J</c:v>
                </c:pt>
                <c:pt idx="10">
                  <c:v>3336-K</c:v>
                </c:pt>
                <c:pt idx="11">
                  <c:v>3336-L</c:v>
                </c:pt>
                <c:pt idx="12">
                  <c:v>3336-M</c:v>
                </c:pt>
                <c:pt idx="13">
                  <c:v>3336-N</c:v>
                </c:pt>
                <c:pt idx="14">
                  <c:v>3336-O</c:v>
                </c:pt>
                <c:pt idx="15">
                  <c:v>3336-P</c:v>
                </c:pt>
                <c:pt idx="16">
                  <c:v>3336-Q</c:v>
                </c:pt>
                <c:pt idx="17">
                  <c:v>3336-R</c:v>
                </c:pt>
                <c:pt idx="18">
                  <c:v>3336-S</c:v>
                </c:pt>
                <c:pt idx="19">
                  <c:v>3336-T</c:v>
                </c:pt>
                <c:pt idx="20">
                  <c:v>3336-U</c:v>
                </c:pt>
                <c:pt idx="21">
                  <c:v>3336-V</c:v>
                </c:pt>
                <c:pt idx="22">
                  <c:v>3336-W</c:v>
                </c:pt>
                <c:pt idx="23">
                  <c:v>3336-X</c:v>
                </c:pt>
              </c:strCache>
            </c:strRef>
          </c:cat>
          <c:val>
            <c:numRef>
              <c:f>Tables!$AK$5:$AK$29</c:f>
              <c:numCache>
                <c:formatCode>0.00</c:formatCode>
                <c:ptCount val="24"/>
                <c:pt idx="0">
                  <c:v>12.5</c:v>
                </c:pt>
                <c:pt idx="1">
                  <c:v>7</c:v>
                </c:pt>
                <c:pt idx="2">
                  <c:v>13</c:v>
                </c:pt>
                <c:pt idx="3">
                  <c:v>7.5</c:v>
                </c:pt>
                <c:pt idx="4">
                  <c:v>13.5</c:v>
                </c:pt>
                <c:pt idx="5">
                  <c:v>12.5</c:v>
                </c:pt>
                <c:pt idx="6">
                  <c:v>8.5</c:v>
                </c:pt>
                <c:pt idx="7">
                  <c:v>12.5</c:v>
                </c:pt>
                <c:pt idx="8">
                  <c:v>13</c:v>
                </c:pt>
                <c:pt idx="9">
                  <c:v>12.5</c:v>
                </c:pt>
                <c:pt idx="10">
                  <c:v>13</c:v>
                </c:pt>
                <c:pt idx="11">
                  <c:v>13</c:v>
                </c:pt>
                <c:pt idx="12">
                  <c:v>12.5</c:v>
                </c:pt>
                <c:pt idx="13">
                  <c:v>13</c:v>
                </c:pt>
                <c:pt idx="14">
                  <c:v>13.5</c:v>
                </c:pt>
                <c:pt idx="15">
                  <c:v>12.5</c:v>
                </c:pt>
                <c:pt idx="16">
                  <c:v>12.5</c:v>
                </c:pt>
                <c:pt idx="17">
                  <c:v>12.5</c:v>
                </c:pt>
                <c:pt idx="18">
                  <c:v>13</c:v>
                </c:pt>
                <c:pt idx="19">
                  <c:v>12.5</c:v>
                </c:pt>
                <c:pt idx="20">
                  <c:v>13.5</c:v>
                </c:pt>
                <c:pt idx="21">
                  <c:v>12</c:v>
                </c:pt>
                <c:pt idx="22">
                  <c:v>8</c:v>
                </c:pt>
                <c:pt idx="23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0-4D69-B211-7924B86C5367}"/>
            </c:ext>
          </c:extLst>
        </c:ser>
        <c:ser>
          <c:idx val="2"/>
          <c:order val="2"/>
          <c:tx>
            <c:strRef>
              <c:f>Tables!$AL$4</c:f>
              <c:strCache>
                <c:ptCount val="1"/>
                <c:pt idx="0">
                  <c:v>Design errors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Tables!$AI$5:$AI$29</c:f>
              <c:strCache>
                <c:ptCount val="24"/>
                <c:pt idx="0">
                  <c:v>3336-A</c:v>
                </c:pt>
                <c:pt idx="1">
                  <c:v>3336-B</c:v>
                </c:pt>
                <c:pt idx="2">
                  <c:v>3336-C</c:v>
                </c:pt>
                <c:pt idx="3">
                  <c:v>3336-D</c:v>
                </c:pt>
                <c:pt idx="4">
                  <c:v>3336-E</c:v>
                </c:pt>
                <c:pt idx="5">
                  <c:v>3336-F</c:v>
                </c:pt>
                <c:pt idx="6">
                  <c:v>3336-G</c:v>
                </c:pt>
                <c:pt idx="7">
                  <c:v>3336-H</c:v>
                </c:pt>
                <c:pt idx="8">
                  <c:v>3336-I</c:v>
                </c:pt>
                <c:pt idx="9">
                  <c:v>3336-J</c:v>
                </c:pt>
                <c:pt idx="10">
                  <c:v>3336-K</c:v>
                </c:pt>
                <c:pt idx="11">
                  <c:v>3336-L</c:v>
                </c:pt>
                <c:pt idx="12">
                  <c:v>3336-M</c:v>
                </c:pt>
                <c:pt idx="13">
                  <c:v>3336-N</c:v>
                </c:pt>
                <c:pt idx="14">
                  <c:v>3336-O</c:v>
                </c:pt>
                <c:pt idx="15">
                  <c:v>3336-P</c:v>
                </c:pt>
                <c:pt idx="16">
                  <c:v>3336-Q</c:v>
                </c:pt>
                <c:pt idx="17">
                  <c:v>3336-R</c:v>
                </c:pt>
                <c:pt idx="18">
                  <c:v>3336-S</c:v>
                </c:pt>
                <c:pt idx="19">
                  <c:v>3336-T</c:v>
                </c:pt>
                <c:pt idx="20">
                  <c:v>3336-U</c:v>
                </c:pt>
                <c:pt idx="21">
                  <c:v>3336-V</c:v>
                </c:pt>
                <c:pt idx="22">
                  <c:v>3336-W</c:v>
                </c:pt>
                <c:pt idx="23">
                  <c:v>3336-X</c:v>
                </c:pt>
              </c:strCache>
            </c:strRef>
          </c:cat>
          <c:val>
            <c:numRef>
              <c:f>Tables!$AL$5:$AL$29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1.5</c:v>
                </c:pt>
                <c:pt idx="8">
                  <c:v>1</c:v>
                </c:pt>
                <c:pt idx="9">
                  <c:v>1</c:v>
                </c:pt>
                <c:pt idx="11">
                  <c:v>3.5</c:v>
                </c:pt>
                <c:pt idx="12">
                  <c:v>1</c:v>
                </c:pt>
                <c:pt idx="15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10-4D69-B211-7924B86C5367}"/>
            </c:ext>
          </c:extLst>
        </c:ser>
        <c:ser>
          <c:idx val="3"/>
          <c:order val="3"/>
          <c:tx>
            <c:strRef>
              <c:f>Tables!$AM$4</c:f>
              <c:strCache>
                <c:ptCount val="1"/>
                <c:pt idx="0">
                  <c:v>Customer changes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Tables!$AI$5:$AI$29</c:f>
              <c:strCache>
                <c:ptCount val="24"/>
                <c:pt idx="0">
                  <c:v>3336-A</c:v>
                </c:pt>
                <c:pt idx="1">
                  <c:v>3336-B</c:v>
                </c:pt>
                <c:pt idx="2">
                  <c:v>3336-C</c:v>
                </c:pt>
                <c:pt idx="3">
                  <c:v>3336-D</c:v>
                </c:pt>
                <c:pt idx="4">
                  <c:v>3336-E</c:v>
                </c:pt>
                <c:pt idx="5">
                  <c:v>3336-F</c:v>
                </c:pt>
                <c:pt idx="6">
                  <c:v>3336-G</c:v>
                </c:pt>
                <c:pt idx="7">
                  <c:v>3336-H</c:v>
                </c:pt>
                <c:pt idx="8">
                  <c:v>3336-I</c:v>
                </c:pt>
                <c:pt idx="9">
                  <c:v>3336-J</c:v>
                </c:pt>
                <c:pt idx="10">
                  <c:v>3336-K</c:v>
                </c:pt>
                <c:pt idx="11">
                  <c:v>3336-L</c:v>
                </c:pt>
                <c:pt idx="12">
                  <c:v>3336-M</c:v>
                </c:pt>
                <c:pt idx="13">
                  <c:v>3336-N</c:v>
                </c:pt>
                <c:pt idx="14">
                  <c:v>3336-O</c:v>
                </c:pt>
                <c:pt idx="15">
                  <c:v>3336-P</c:v>
                </c:pt>
                <c:pt idx="16">
                  <c:v>3336-Q</c:v>
                </c:pt>
                <c:pt idx="17">
                  <c:v>3336-R</c:v>
                </c:pt>
                <c:pt idx="18">
                  <c:v>3336-S</c:v>
                </c:pt>
                <c:pt idx="19">
                  <c:v>3336-T</c:v>
                </c:pt>
                <c:pt idx="20">
                  <c:v>3336-U</c:v>
                </c:pt>
                <c:pt idx="21">
                  <c:v>3336-V</c:v>
                </c:pt>
                <c:pt idx="22">
                  <c:v>3336-W</c:v>
                </c:pt>
                <c:pt idx="23">
                  <c:v>3336-X</c:v>
                </c:pt>
              </c:strCache>
            </c:strRef>
          </c:cat>
          <c:val>
            <c:numRef>
              <c:f>Tables!$AM$5:$AM$29</c:f>
              <c:numCache>
                <c:formatCode>0.00</c:formatCode>
                <c:ptCount val="24"/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1.5</c:v>
                </c:pt>
                <c:pt idx="12">
                  <c:v>1</c:v>
                </c:pt>
                <c:pt idx="14">
                  <c:v>1</c:v>
                </c:pt>
                <c:pt idx="17">
                  <c:v>1</c:v>
                </c:pt>
                <c:pt idx="20">
                  <c:v>1.5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10-4D69-B211-7924B86C5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3030240"/>
        <c:axId val="1203026400"/>
      </c:barChart>
      <c:catAx>
        <c:axId val="12030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3026400"/>
        <c:crosses val="autoZero"/>
        <c:auto val="1"/>
        <c:lblAlgn val="ctr"/>
        <c:lblOffset val="100"/>
        <c:noMultiLvlLbl val="0"/>
      </c:catAx>
      <c:valAx>
        <c:axId val="1203026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303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de Hardware Design Dashboard_POC (1).xlsx]Tables!Elect Mat Used on Desviations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Electrical Material Used on Design Desviations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E1A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E00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E1A47"/>
          </a:solidFill>
          <a:ln>
            <a:noFill/>
          </a:ln>
          <a:effectLst/>
        </c:spPr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E0037"/>
          </a:solidFill>
          <a:ln>
            <a:noFill/>
          </a:ln>
          <a:effectLst/>
        </c:spPr>
        <c:dLbl>
          <c:idx val="0"/>
          <c:layout>
            <c:manualLayout>
              <c:x val="4.4517195767195768E-2"/>
              <c:y val="5.9700854700854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E1A47"/>
          </a:solidFill>
          <a:ln>
            <a:noFill/>
          </a:ln>
          <a:effectLst/>
        </c:spPr>
        <c:dLbl>
          <c:idx val="0"/>
          <c:layout>
            <c:manualLayout>
              <c:x val="1.5958994708994707E-2"/>
              <c:y val="-3.25641025641025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Tables!$AP$4</c:f>
              <c:strCache>
                <c:ptCount val="1"/>
                <c:pt idx="0">
                  <c:v>Mat Budget</c:v>
                </c:pt>
              </c:strCache>
            </c:strRef>
          </c:tx>
          <c:spPr>
            <a:solidFill>
              <a:srgbClr val="2E1A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CC1-4D4A-B2BF-4643092CA58B}"/>
              </c:ext>
            </c:extLst>
          </c:dPt>
          <c:cat>
            <c:strRef>
              <c:f>Tables!$AO$5:$AO$29</c:f>
              <c:strCache>
                <c:ptCount val="24"/>
                <c:pt idx="0">
                  <c:v>3336-A</c:v>
                </c:pt>
                <c:pt idx="1">
                  <c:v>3336-B</c:v>
                </c:pt>
                <c:pt idx="2">
                  <c:v>3336-C</c:v>
                </c:pt>
                <c:pt idx="3">
                  <c:v>3336-D</c:v>
                </c:pt>
                <c:pt idx="4">
                  <c:v>3336-E</c:v>
                </c:pt>
                <c:pt idx="5">
                  <c:v>3336-F</c:v>
                </c:pt>
                <c:pt idx="6">
                  <c:v>3336-G</c:v>
                </c:pt>
                <c:pt idx="7">
                  <c:v>3336-H</c:v>
                </c:pt>
                <c:pt idx="8">
                  <c:v>3336-I</c:v>
                </c:pt>
                <c:pt idx="9">
                  <c:v>3336-J</c:v>
                </c:pt>
                <c:pt idx="10">
                  <c:v>3336-K</c:v>
                </c:pt>
                <c:pt idx="11">
                  <c:v>3336-L</c:v>
                </c:pt>
                <c:pt idx="12">
                  <c:v>3336-M</c:v>
                </c:pt>
                <c:pt idx="13">
                  <c:v>3336-N</c:v>
                </c:pt>
                <c:pt idx="14">
                  <c:v>3336-O</c:v>
                </c:pt>
                <c:pt idx="15">
                  <c:v>3336-P</c:v>
                </c:pt>
                <c:pt idx="16">
                  <c:v>3336-Q</c:v>
                </c:pt>
                <c:pt idx="17">
                  <c:v>3336-R</c:v>
                </c:pt>
                <c:pt idx="18">
                  <c:v>3336-S</c:v>
                </c:pt>
                <c:pt idx="19">
                  <c:v>3336-T</c:v>
                </c:pt>
                <c:pt idx="20">
                  <c:v>3336-U</c:v>
                </c:pt>
                <c:pt idx="21">
                  <c:v>3336-V</c:v>
                </c:pt>
                <c:pt idx="22">
                  <c:v>3336-W</c:v>
                </c:pt>
                <c:pt idx="23">
                  <c:v>3336-X</c:v>
                </c:pt>
              </c:strCache>
            </c:strRef>
          </c:cat>
          <c:val>
            <c:numRef>
              <c:f>Tables!$AP$5:$AP$29</c:f>
              <c:numCache>
                <c:formatCode>_("$"* #,##0.00_);_("$"* \(#,##0.00\);_("$"* "-"??_);_(@_)</c:formatCode>
                <c:ptCount val="24"/>
                <c:pt idx="0">
                  <c:v>8880.91</c:v>
                </c:pt>
                <c:pt idx="1">
                  <c:v>16865.91</c:v>
                </c:pt>
                <c:pt idx="2">
                  <c:v>14845.91</c:v>
                </c:pt>
                <c:pt idx="3">
                  <c:v>14965.91</c:v>
                </c:pt>
                <c:pt idx="4">
                  <c:v>16505.91</c:v>
                </c:pt>
                <c:pt idx="5">
                  <c:v>21837.91</c:v>
                </c:pt>
                <c:pt idx="6">
                  <c:v>34125.910000000003</c:v>
                </c:pt>
                <c:pt idx="7">
                  <c:v>8880.91</c:v>
                </c:pt>
                <c:pt idx="8">
                  <c:v>16865.91</c:v>
                </c:pt>
                <c:pt idx="9">
                  <c:v>14845.91</c:v>
                </c:pt>
                <c:pt idx="10">
                  <c:v>16375.91</c:v>
                </c:pt>
                <c:pt idx="11">
                  <c:v>15145.91</c:v>
                </c:pt>
                <c:pt idx="12">
                  <c:v>21365.91</c:v>
                </c:pt>
                <c:pt idx="13">
                  <c:v>30345.91</c:v>
                </c:pt>
                <c:pt idx="14">
                  <c:v>8880.91</c:v>
                </c:pt>
                <c:pt idx="15">
                  <c:v>19030.91</c:v>
                </c:pt>
                <c:pt idx="16">
                  <c:v>14965.91</c:v>
                </c:pt>
                <c:pt idx="17">
                  <c:v>16505.91</c:v>
                </c:pt>
                <c:pt idx="18">
                  <c:v>8553.91</c:v>
                </c:pt>
                <c:pt idx="19">
                  <c:v>19030.91</c:v>
                </c:pt>
                <c:pt idx="20">
                  <c:v>14105.91</c:v>
                </c:pt>
                <c:pt idx="21">
                  <c:v>15855.91</c:v>
                </c:pt>
                <c:pt idx="22">
                  <c:v>16865.91</c:v>
                </c:pt>
                <c:pt idx="23">
                  <c:v>14965.91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5-47BD-9702-C96287B97CAC}"/>
            </c:ext>
          </c:extLst>
        </c:ser>
        <c:ser>
          <c:idx val="1"/>
          <c:order val="1"/>
          <c:tx>
            <c:strRef>
              <c:f>Tables!$AQ$4</c:f>
              <c:strCache>
                <c:ptCount val="1"/>
                <c:pt idx="0">
                  <c:v>Mat Used</c:v>
                </c:pt>
              </c:strCache>
            </c:strRef>
          </c:tx>
          <c:spPr>
            <a:solidFill>
              <a:srgbClr val="CE003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CC1-4D4A-B2BF-4643092CA58B}"/>
              </c:ext>
            </c:extLst>
          </c:dPt>
          <c:cat>
            <c:strRef>
              <c:f>Tables!$AO$5:$AO$29</c:f>
              <c:strCache>
                <c:ptCount val="24"/>
                <c:pt idx="0">
                  <c:v>3336-A</c:v>
                </c:pt>
                <c:pt idx="1">
                  <c:v>3336-B</c:v>
                </c:pt>
                <c:pt idx="2">
                  <c:v>3336-C</c:v>
                </c:pt>
                <c:pt idx="3">
                  <c:v>3336-D</c:v>
                </c:pt>
                <c:pt idx="4">
                  <c:v>3336-E</c:v>
                </c:pt>
                <c:pt idx="5">
                  <c:v>3336-F</c:v>
                </c:pt>
                <c:pt idx="6">
                  <c:v>3336-G</c:v>
                </c:pt>
                <c:pt idx="7">
                  <c:v>3336-H</c:v>
                </c:pt>
                <c:pt idx="8">
                  <c:v>3336-I</c:v>
                </c:pt>
                <c:pt idx="9">
                  <c:v>3336-J</c:v>
                </c:pt>
                <c:pt idx="10">
                  <c:v>3336-K</c:v>
                </c:pt>
                <c:pt idx="11">
                  <c:v>3336-L</c:v>
                </c:pt>
                <c:pt idx="12">
                  <c:v>3336-M</c:v>
                </c:pt>
                <c:pt idx="13">
                  <c:v>3336-N</c:v>
                </c:pt>
                <c:pt idx="14">
                  <c:v>3336-O</c:v>
                </c:pt>
                <c:pt idx="15">
                  <c:v>3336-P</c:v>
                </c:pt>
                <c:pt idx="16">
                  <c:v>3336-Q</c:v>
                </c:pt>
                <c:pt idx="17">
                  <c:v>3336-R</c:v>
                </c:pt>
                <c:pt idx="18">
                  <c:v>3336-S</c:v>
                </c:pt>
                <c:pt idx="19">
                  <c:v>3336-T</c:v>
                </c:pt>
                <c:pt idx="20">
                  <c:v>3336-U</c:v>
                </c:pt>
                <c:pt idx="21">
                  <c:v>3336-V</c:v>
                </c:pt>
                <c:pt idx="22">
                  <c:v>3336-W</c:v>
                </c:pt>
                <c:pt idx="23">
                  <c:v>3336-X</c:v>
                </c:pt>
              </c:strCache>
            </c:strRef>
          </c:cat>
          <c:val>
            <c:numRef>
              <c:f>Tables!$AQ$5:$AQ$29</c:f>
              <c:numCache>
                <c:formatCode>_("$"* #,##0.00_);_("$"* \(#,##0.00\);_("$"* "-"??_);_(@_)</c:formatCode>
                <c:ptCount val="24"/>
                <c:pt idx="0">
                  <c:v>8880.91</c:v>
                </c:pt>
                <c:pt idx="1">
                  <c:v>16865.91</c:v>
                </c:pt>
                <c:pt idx="2">
                  <c:v>14845.91</c:v>
                </c:pt>
                <c:pt idx="3">
                  <c:v>14965.91</c:v>
                </c:pt>
                <c:pt idx="4">
                  <c:v>16505.91</c:v>
                </c:pt>
                <c:pt idx="5">
                  <c:v>21837.91</c:v>
                </c:pt>
                <c:pt idx="6">
                  <c:v>34125.910000000003</c:v>
                </c:pt>
                <c:pt idx="7">
                  <c:v>8880.91</c:v>
                </c:pt>
                <c:pt idx="8">
                  <c:v>16865.91</c:v>
                </c:pt>
                <c:pt idx="9">
                  <c:v>14845.91</c:v>
                </c:pt>
                <c:pt idx="10">
                  <c:v>16375.91</c:v>
                </c:pt>
                <c:pt idx="11">
                  <c:v>15145.91</c:v>
                </c:pt>
                <c:pt idx="12">
                  <c:v>21365.91</c:v>
                </c:pt>
                <c:pt idx="13">
                  <c:v>30345.91</c:v>
                </c:pt>
                <c:pt idx="14">
                  <c:v>8880.91</c:v>
                </c:pt>
                <c:pt idx="15">
                  <c:v>19030.91</c:v>
                </c:pt>
                <c:pt idx="16">
                  <c:v>14965.91</c:v>
                </c:pt>
                <c:pt idx="17">
                  <c:v>16505.91</c:v>
                </c:pt>
                <c:pt idx="18">
                  <c:v>8553.91</c:v>
                </c:pt>
                <c:pt idx="19">
                  <c:v>19030.91</c:v>
                </c:pt>
                <c:pt idx="20">
                  <c:v>14105.91</c:v>
                </c:pt>
                <c:pt idx="21">
                  <c:v>15855.91</c:v>
                </c:pt>
                <c:pt idx="22">
                  <c:v>16865.91</c:v>
                </c:pt>
                <c:pt idx="23">
                  <c:v>14965.91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5-47BD-9702-C96287B97CAC}"/>
            </c:ext>
          </c:extLst>
        </c:ser>
        <c:ser>
          <c:idx val="2"/>
          <c:order val="2"/>
          <c:tx>
            <c:strRef>
              <c:f>Tables!$AR$4</c:f>
              <c:strCache>
                <c:ptCount val="1"/>
                <c:pt idx="0">
                  <c:v>Design errors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Tables!$AO$5:$AO$29</c:f>
              <c:strCache>
                <c:ptCount val="24"/>
                <c:pt idx="0">
                  <c:v>3336-A</c:v>
                </c:pt>
                <c:pt idx="1">
                  <c:v>3336-B</c:v>
                </c:pt>
                <c:pt idx="2">
                  <c:v>3336-C</c:v>
                </c:pt>
                <c:pt idx="3">
                  <c:v>3336-D</c:v>
                </c:pt>
                <c:pt idx="4">
                  <c:v>3336-E</c:v>
                </c:pt>
                <c:pt idx="5">
                  <c:v>3336-F</c:v>
                </c:pt>
                <c:pt idx="6">
                  <c:v>3336-G</c:v>
                </c:pt>
                <c:pt idx="7">
                  <c:v>3336-H</c:v>
                </c:pt>
                <c:pt idx="8">
                  <c:v>3336-I</c:v>
                </c:pt>
                <c:pt idx="9">
                  <c:v>3336-J</c:v>
                </c:pt>
                <c:pt idx="10">
                  <c:v>3336-K</c:v>
                </c:pt>
                <c:pt idx="11">
                  <c:v>3336-L</c:v>
                </c:pt>
                <c:pt idx="12">
                  <c:v>3336-M</c:v>
                </c:pt>
                <c:pt idx="13">
                  <c:v>3336-N</c:v>
                </c:pt>
                <c:pt idx="14">
                  <c:v>3336-O</c:v>
                </c:pt>
                <c:pt idx="15">
                  <c:v>3336-P</c:v>
                </c:pt>
                <c:pt idx="16">
                  <c:v>3336-Q</c:v>
                </c:pt>
                <c:pt idx="17">
                  <c:v>3336-R</c:v>
                </c:pt>
                <c:pt idx="18">
                  <c:v>3336-S</c:v>
                </c:pt>
                <c:pt idx="19">
                  <c:v>3336-T</c:v>
                </c:pt>
                <c:pt idx="20">
                  <c:v>3336-U</c:v>
                </c:pt>
                <c:pt idx="21">
                  <c:v>3336-V</c:v>
                </c:pt>
                <c:pt idx="22">
                  <c:v>3336-W</c:v>
                </c:pt>
                <c:pt idx="23">
                  <c:v>3336-X</c:v>
                </c:pt>
              </c:strCache>
            </c:strRef>
          </c:cat>
          <c:val>
            <c:numRef>
              <c:f>Tables!$AR$5:$AR$29</c:f>
              <c:numCache>
                <c:formatCode>_("$"* #,##0.00_);_("$"* \(#,##0.00\);_("$"* "-"??_);_(@_)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B9D5-47BD-9702-C96287B97CAC}"/>
            </c:ext>
          </c:extLst>
        </c:ser>
        <c:ser>
          <c:idx val="3"/>
          <c:order val="3"/>
          <c:tx>
            <c:strRef>
              <c:f>Tables!$AS$4</c:f>
              <c:strCache>
                <c:ptCount val="1"/>
                <c:pt idx="0">
                  <c:v>Customer changes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Tables!$AO$5:$AO$29</c:f>
              <c:strCache>
                <c:ptCount val="24"/>
                <c:pt idx="0">
                  <c:v>3336-A</c:v>
                </c:pt>
                <c:pt idx="1">
                  <c:v>3336-B</c:v>
                </c:pt>
                <c:pt idx="2">
                  <c:v>3336-C</c:v>
                </c:pt>
                <c:pt idx="3">
                  <c:v>3336-D</c:v>
                </c:pt>
                <c:pt idx="4">
                  <c:v>3336-E</c:v>
                </c:pt>
                <c:pt idx="5">
                  <c:v>3336-F</c:v>
                </c:pt>
                <c:pt idx="6">
                  <c:v>3336-G</c:v>
                </c:pt>
                <c:pt idx="7">
                  <c:v>3336-H</c:v>
                </c:pt>
                <c:pt idx="8">
                  <c:v>3336-I</c:v>
                </c:pt>
                <c:pt idx="9">
                  <c:v>3336-J</c:v>
                </c:pt>
                <c:pt idx="10">
                  <c:v>3336-K</c:v>
                </c:pt>
                <c:pt idx="11">
                  <c:v>3336-L</c:v>
                </c:pt>
                <c:pt idx="12">
                  <c:v>3336-M</c:v>
                </c:pt>
                <c:pt idx="13">
                  <c:v>3336-N</c:v>
                </c:pt>
                <c:pt idx="14">
                  <c:v>3336-O</c:v>
                </c:pt>
                <c:pt idx="15">
                  <c:v>3336-P</c:v>
                </c:pt>
                <c:pt idx="16">
                  <c:v>3336-Q</c:v>
                </c:pt>
                <c:pt idx="17">
                  <c:v>3336-R</c:v>
                </c:pt>
                <c:pt idx="18">
                  <c:v>3336-S</c:v>
                </c:pt>
                <c:pt idx="19">
                  <c:v>3336-T</c:v>
                </c:pt>
                <c:pt idx="20">
                  <c:v>3336-U</c:v>
                </c:pt>
                <c:pt idx="21">
                  <c:v>3336-V</c:v>
                </c:pt>
                <c:pt idx="22">
                  <c:v>3336-W</c:v>
                </c:pt>
                <c:pt idx="23">
                  <c:v>3336-X</c:v>
                </c:pt>
              </c:strCache>
            </c:strRef>
          </c:cat>
          <c:val>
            <c:numRef>
              <c:f>Tables!$AS$5:$AS$29</c:f>
              <c:numCache>
                <c:formatCode>_("$"* #,##0.00_);_("$"* \(#,##0.00\);_("$"* "-"??_);_(@_)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3-B9D5-47BD-9702-C96287B97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067120"/>
        <c:axId val="1015067600"/>
      </c:barChart>
      <c:catAx>
        <c:axId val="10150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5067600"/>
        <c:crosses val="autoZero"/>
        <c:auto val="1"/>
        <c:lblAlgn val="ctr"/>
        <c:lblOffset val="100"/>
        <c:noMultiLvlLbl val="0"/>
      </c:catAx>
      <c:valAx>
        <c:axId val="10150676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506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77879</xdr:colOff>
      <xdr:row>8</xdr:row>
      <xdr:rowOff>8125</xdr:rowOff>
    </xdr:from>
    <xdr:to>
      <xdr:col>4</xdr:col>
      <xdr:colOff>687479</xdr:colOff>
      <xdr:row>19</xdr:row>
      <xdr:rowOff>72625</xdr:rowOff>
    </xdr:to>
    <xdr:graphicFrame macro="">
      <xdr:nvGraphicFramePr>
        <xdr:cNvPr id="5" name="POC vs Labor MAIN">
          <a:extLst>
            <a:ext uri="{FF2B5EF4-FFF2-40B4-BE49-F238E27FC236}">
              <a16:creationId xmlns:a16="http://schemas.microsoft.com/office/drawing/2014/main" id="{58653C55-CE62-C634-011A-DDA898AB0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28572</xdr:colOff>
      <xdr:row>2</xdr:row>
      <xdr:rowOff>47624</xdr:rowOff>
    </xdr:from>
    <xdr:to>
      <xdr:col>19</xdr:col>
      <xdr:colOff>246529</xdr:colOff>
      <xdr:row>7</xdr:row>
      <xdr:rowOff>44823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ject No">
              <a:extLst>
                <a:ext uri="{FF2B5EF4-FFF2-40B4-BE49-F238E27FC236}">
                  <a16:creationId xmlns:a16="http://schemas.microsoft.com/office/drawing/2014/main" id="{EA59D332-70EB-8451-E450-0BE1EC5F8E7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ject 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2" y="1123389"/>
              <a:ext cx="14695957" cy="949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346262</xdr:colOff>
      <xdr:row>0</xdr:row>
      <xdr:rowOff>96931</xdr:rowOff>
    </xdr:from>
    <xdr:to>
      <xdr:col>19</xdr:col>
      <xdr:colOff>155762</xdr:colOff>
      <xdr:row>0</xdr:row>
      <xdr:rowOff>879251</xdr:rowOff>
    </xdr:to>
    <xdr:pic>
      <xdr:nvPicPr>
        <xdr:cNvPr id="9" name="Picture 7">
          <a:extLst>
            <a:ext uri="{FF2B5EF4-FFF2-40B4-BE49-F238E27FC236}">
              <a16:creationId xmlns:a16="http://schemas.microsoft.com/office/drawing/2014/main" id="{A6496C66-E7DA-4CD4-A8F2-C67B34B0B18D}"/>
            </a:ext>
            <a:ext uri="{147F2762-F138-4A5C-976F-8EAC2B608ADB}">
              <a16:predDERef xmlns:a16="http://schemas.microsoft.com/office/drawing/2014/main" pred="{EA59D332-70EB-8451-E450-0BE1EC5F8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8262" y="96931"/>
          <a:ext cx="2095500" cy="782320"/>
        </a:xfrm>
        <a:prstGeom prst="rect">
          <a:avLst/>
        </a:prstGeom>
      </xdr:spPr>
    </xdr:pic>
    <xdr:clientData/>
  </xdr:twoCellAnchor>
  <xdr:twoCellAnchor>
    <xdr:from>
      <xdr:col>9</xdr:col>
      <xdr:colOff>444313</xdr:colOff>
      <xdr:row>8</xdr:row>
      <xdr:rowOff>36421</xdr:rowOff>
    </xdr:from>
    <xdr:to>
      <xdr:col>14</xdr:col>
      <xdr:colOff>291913</xdr:colOff>
      <xdr:row>19</xdr:row>
      <xdr:rowOff>100921</xdr:rowOff>
    </xdr:to>
    <xdr:graphicFrame macro="">
      <xdr:nvGraphicFramePr>
        <xdr:cNvPr id="148" name="Gráfico 11">
          <a:extLst>
            <a:ext uri="{FF2B5EF4-FFF2-40B4-BE49-F238E27FC236}">
              <a16:creationId xmlns:a16="http://schemas.microsoft.com/office/drawing/2014/main" id="{D2612AA0-864D-40D4-BBBD-8285BEEE7F86}"/>
            </a:ext>
            <a:ext uri="{147F2762-F138-4A5C-976F-8EAC2B608ADB}">
              <a16:predDERef xmlns:a16="http://schemas.microsoft.com/office/drawing/2014/main" pred="{A6496C66-E7DA-4CD4-A8F2-C67B34B0B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577658</xdr:colOff>
      <xdr:row>8</xdr:row>
      <xdr:rowOff>38102</xdr:rowOff>
    </xdr:from>
    <xdr:to>
      <xdr:col>9</xdr:col>
      <xdr:colOff>425258</xdr:colOff>
      <xdr:row>19</xdr:row>
      <xdr:rowOff>102602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75B0D58-B40C-4445-9CE0-DB4A673358E8}"/>
            </a:ext>
            <a:ext uri="{147F2762-F138-4A5C-976F-8EAC2B608ADB}">
              <a16:predDERef xmlns:a16="http://schemas.microsoft.com/office/drawing/2014/main" pred="{D2612AA0-864D-40D4-BBBD-8285BEEE7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332811</xdr:colOff>
      <xdr:row>8</xdr:row>
      <xdr:rowOff>8407</xdr:rowOff>
    </xdr:from>
    <xdr:to>
      <xdr:col>19</xdr:col>
      <xdr:colOff>180411</xdr:colOff>
      <xdr:row>19</xdr:row>
      <xdr:rowOff>72907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90514-1D58-4BD4-BE0F-D48FE34F70BC}"/>
            </a:ext>
            <a:ext uri="{147F2762-F138-4A5C-976F-8EAC2B608ADB}">
              <a16:predDERef xmlns:a16="http://schemas.microsoft.com/office/drawing/2014/main" pred="{B75B0D58-B40C-4445-9CE0-DB4A67335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7</xdr:row>
      <xdr:rowOff>22414</xdr:rowOff>
    </xdr:from>
    <xdr:to>
      <xdr:col>14</xdr:col>
      <xdr:colOff>649941</xdr:colOff>
      <xdr:row>12</xdr:row>
      <xdr:rowOff>145677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C999CF2B-AABF-4DC1-B698-4549F9B00422}"/>
            </a:ext>
            <a:ext uri="{147F2762-F138-4A5C-976F-8EAC2B608ADB}">
              <a16:predDERef xmlns:a16="http://schemas.microsoft.com/office/drawing/2014/main" pred="{DF990514-1D58-4BD4-BE0F-D48FE34F7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186578</xdr:colOff>
      <xdr:row>7</xdr:row>
      <xdr:rowOff>26897</xdr:rowOff>
    </xdr:from>
    <xdr:to>
      <xdr:col>10</xdr:col>
      <xdr:colOff>74519</xdr:colOff>
      <xdr:row>12</xdr:row>
      <xdr:rowOff>150160</xdr:rowOff>
    </xdr:to>
    <xdr:graphicFrame macro="">
      <xdr:nvGraphicFramePr>
        <xdr:cNvPr id="4" name="Gráfico 10">
          <a:extLst>
            <a:ext uri="{FF2B5EF4-FFF2-40B4-BE49-F238E27FC236}">
              <a16:creationId xmlns:a16="http://schemas.microsoft.com/office/drawing/2014/main" id="{D36A9C0A-EFB1-48BC-960D-0F6DFF435B6F}"/>
            </a:ext>
            <a:ext uri="{147F2762-F138-4A5C-976F-8EAC2B608ADB}">
              <a16:predDERef xmlns:a16="http://schemas.microsoft.com/office/drawing/2014/main" pred="{C999CF2B-AABF-4DC1-B698-4549F9B00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236444</xdr:colOff>
      <xdr:row>2</xdr:row>
      <xdr:rowOff>47624</xdr:rowOff>
    </xdr:from>
    <xdr:to>
      <xdr:col>21</xdr:col>
      <xdr:colOff>541244</xdr:colOff>
      <xdr:row>17</xdr:row>
      <xdr:rowOff>179293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US">
              <a:extLst>
                <a:ext uri="{FF2B5EF4-FFF2-40B4-BE49-F238E27FC236}">
                  <a16:creationId xmlns:a16="http://schemas.microsoft.com/office/drawing/2014/main" id="{E6976F32-3BAE-E880-308A-9160242F7FD9}"/>
                </a:ext>
                <a:ext uri="{147F2762-F138-4A5C-976F-8EAC2B608ADB}">
                  <a16:predDERef xmlns:a16="http://schemas.microsoft.com/office/drawing/2014/main" pred="{D36A9C0A-EFB1-48BC-960D-0F6DFF435B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14444" y="1123389"/>
              <a:ext cx="1828800" cy="29891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</xdr:colOff>
      <xdr:row>2</xdr:row>
      <xdr:rowOff>85725</xdr:rowOff>
    </xdr:from>
    <xdr:to>
      <xdr:col>24</xdr:col>
      <xdr:colOff>992280</xdr:colOff>
      <xdr:row>5</xdr:row>
      <xdr:rowOff>155025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oject No 1">
              <a:extLst>
                <a:ext uri="{FF2B5EF4-FFF2-40B4-BE49-F238E27FC236}">
                  <a16:creationId xmlns:a16="http://schemas.microsoft.com/office/drawing/2014/main" id="{628BBEF2-A17A-4489-9B73-0389E1766A2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ject 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2" y="1152525"/>
              <a:ext cx="17640000" cy="64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192182</xdr:colOff>
      <xdr:row>0</xdr:row>
      <xdr:rowOff>101413</xdr:rowOff>
    </xdr:from>
    <xdr:to>
      <xdr:col>24</xdr:col>
      <xdr:colOff>192182</xdr:colOff>
      <xdr:row>0</xdr:row>
      <xdr:rowOff>883733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A47663A-7B77-4B88-B763-BC9619C6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7623" y="101413"/>
          <a:ext cx="2095500" cy="782320"/>
        </a:xfrm>
        <a:prstGeom prst="rect">
          <a:avLst/>
        </a:prstGeom>
      </xdr:spPr>
    </xdr:pic>
    <xdr:clientData/>
  </xdr:twoCellAnchor>
  <xdr:twoCellAnchor>
    <xdr:from>
      <xdr:col>0</xdr:col>
      <xdr:colOff>336176</xdr:colOff>
      <xdr:row>7</xdr:row>
      <xdr:rowOff>33611</xdr:rowOff>
    </xdr:from>
    <xdr:to>
      <xdr:col>9</xdr:col>
      <xdr:colOff>12605</xdr:colOff>
      <xdr:row>27</xdr:row>
      <xdr:rowOff>81240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B05BE5B-EE72-44A5-A00C-0D0AE1A4DE71}"/>
            </a:ext>
            <a:ext uri="{147F2762-F138-4A5C-976F-8EAC2B608ADB}">
              <a16:predDERef xmlns:a16="http://schemas.microsoft.com/office/drawing/2014/main" pred="{0A47663A-7B77-4B88-B763-BC9619C65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631507</xdr:colOff>
      <xdr:row>7</xdr:row>
      <xdr:rowOff>56023</xdr:rowOff>
    </xdr:from>
    <xdr:to>
      <xdr:col>18</xdr:col>
      <xdr:colOff>307935</xdr:colOff>
      <xdr:row>27</xdr:row>
      <xdr:rowOff>94734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37245E-0109-45C4-BEB9-2A6E2FA07E5A}"/>
            </a:ext>
            <a:ext uri="{147F2762-F138-4A5C-976F-8EAC2B608ADB}">
              <a16:predDERef xmlns:a16="http://schemas.microsoft.com/office/drawing/2014/main" pred="{DB05BE5B-EE72-44A5-A00C-0D0AE1A4D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438633</xdr:colOff>
      <xdr:row>28</xdr:row>
      <xdr:rowOff>147810</xdr:rowOff>
    </xdr:from>
    <xdr:to>
      <xdr:col>9</xdr:col>
      <xdr:colOff>69526</xdr:colOff>
      <xdr:row>50</xdr:row>
      <xdr:rowOff>143762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538C12-4E89-4782-AEFD-614A9FDBAD32}"/>
            </a:ext>
            <a:ext uri="{147F2762-F138-4A5C-976F-8EAC2B608ADB}">
              <a16:predDERef xmlns:a16="http://schemas.microsoft.com/office/drawing/2014/main" pred="{C237245E-0109-45C4-BEB9-2A6E2FA07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582704</xdr:colOff>
      <xdr:row>28</xdr:row>
      <xdr:rowOff>145677</xdr:rowOff>
    </xdr:from>
    <xdr:to>
      <xdr:col>18</xdr:col>
      <xdr:colOff>215504</xdr:colOff>
      <xdr:row>50</xdr:row>
      <xdr:rowOff>141477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B881F3-56C5-453B-8AE6-B10E15E33D45}"/>
            </a:ext>
            <a:ext uri="{147F2762-F138-4A5C-976F-8EAC2B608ADB}">
              <a16:predDERef xmlns:a16="http://schemas.microsoft.com/office/drawing/2014/main" pred="{C1538C12-4E89-4782-AEFD-614A9FDBA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995642</xdr:colOff>
      <xdr:row>2</xdr:row>
      <xdr:rowOff>89646</xdr:rowOff>
    </xdr:from>
    <xdr:to>
      <xdr:col>26</xdr:col>
      <xdr:colOff>638735</xdr:colOff>
      <xdr:row>10</xdr:row>
      <xdr:rowOff>22410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sponsible">
              <a:extLst>
                <a:ext uri="{FF2B5EF4-FFF2-40B4-BE49-F238E27FC236}">
                  <a16:creationId xmlns:a16="http://schemas.microsoft.com/office/drawing/2014/main" id="{63725EC4-B5B1-DC63-D41E-C4F194699EEB}"/>
                </a:ext>
                <a:ext uri="{147F2762-F138-4A5C-976F-8EAC2B608ADB}">
                  <a16:predDERef xmlns:a16="http://schemas.microsoft.com/office/drawing/2014/main" pred="{A3B881F3-56C5-453B-8AE6-B10E15E33D4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i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76583" y="1165411"/>
              <a:ext cx="1962711" cy="14567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13</xdr:row>
      <xdr:rowOff>85725</xdr:rowOff>
    </xdr:from>
    <xdr:to>
      <xdr:col>16</xdr:col>
      <xdr:colOff>390525</xdr:colOff>
      <xdr:row>38</xdr:row>
      <xdr:rowOff>9525</xdr:rowOff>
    </xdr:to>
    <xdr:graphicFrame macro="">
      <xdr:nvGraphicFramePr>
        <xdr:cNvPr id="2" name="Labor Spend on Design Desviations">
          <a:extLst>
            <a:ext uri="{FF2B5EF4-FFF2-40B4-BE49-F238E27FC236}">
              <a16:creationId xmlns:a16="http://schemas.microsoft.com/office/drawing/2014/main" id="{D05EEBDF-356D-40EB-9440-CD537FCA6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40</xdr:row>
      <xdr:rowOff>104773</xdr:rowOff>
    </xdr:from>
    <xdr:to>
      <xdr:col>20</xdr:col>
      <xdr:colOff>280050</xdr:colOff>
      <xdr:row>65</xdr:row>
      <xdr:rowOff>22273</xdr:rowOff>
    </xdr:to>
    <xdr:graphicFrame macro="">
      <xdr:nvGraphicFramePr>
        <xdr:cNvPr id="7" name="Elect Mat Used on Desviations">
          <a:extLst>
            <a:ext uri="{FF2B5EF4-FFF2-40B4-BE49-F238E27FC236}">
              <a16:creationId xmlns:a16="http://schemas.microsoft.com/office/drawing/2014/main" id="{BA137174-66B9-450B-A4FA-9538F23B09D6}"/>
            </a:ext>
            <a:ext uri="{147F2762-F138-4A5C-976F-8EAC2B608ADB}">
              <a16:predDERef xmlns:a16="http://schemas.microsoft.com/office/drawing/2014/main" pred="{D05EEBDF-356D-40EB-9440-CD537FCA6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38096</xdr:colOff>
      <xdr:row>2</xdr:row>
      <xdr:rowOff>38100</xdr:rowOff>
    </xdr:from>
    <xdr:to>
      <xdr:col>25</xdr:col>
      <xdr:colOff>457200</xdr:colOff>
      <xdr:row>6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oject No 2">
              <a:extLst>
                <a:ext uri="{FF2B5EF4-FFF2-40B4-BE49-F238E27FC236}">
                  <a16:creationId xmlns:a16="http://schemas.microsoft.com/office/drawing/2014/main" id="{8A85D470-0068-0C98-84EB-13FFA84B6B5C}"/>
                </a:ext>
                <a:ext uri="{147F2762-F138-4A5C-976F-8EAC2B608ADB}">
                  <a16:predDERef xmlns:a16="http://schemas.microsoft.com/office/drawing/2014/main" pred="{BA137174-66B9-450B-A4FA-9538F23B09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ject 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6" y="1104900"/>
              <a:ext cx="19469104" cy="74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479612</xdr:colOff>
      <xdr:row>0</xdr:row>
      <xdr:rowOff>39781</xdr:rowOff>
    </xdr:from>
    <xdr:to>
      <xdr:col>19</xdr:col>
      <xdr:colOff>257175</xdr:colOff>
      <xdr:row>0</xdr:row>
      <xdr:rowOff>951664</xdr:rowOff>
    </xdr:to>
    <xdr:pic>
      <xdr:nvPicPr>
        <xdr:cNvPr id="10" name="Picture 7">
          <a:extLst>
            <a:ext uri="{FF2B5EF4-FFF2-40B4-BE49-F238E27FC236}">
              <a16:creationId xmlns:a16="http://schemas.microsoft.com/office/drawing/2014/main" id="{3D06ACEE-93E0-458C-AFD7-A7C1E762A3C4}"/>
            </a:ext>
            <a:ext uri="{147F2762-F138-4A5C-976F-8EAC2B608ADB}">
              <a16:predDERef xmlns:a16="http://schemas.microsoft.com/office/drawing/2014/main" pred="{EA59D332-70EB-8451-E450-0BE1EC5F8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3612" y="39781"/>
          <a:ext cx="1301563" cy="91188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</xdr:row>
      <xdr:rowOff>28575</xdr:rowOff>
    </xdr:from>
    <xdr:to>
      <xdr:col>20</xdr:col>
      <xdr:colOff>200025</xdr:colOff>
      <xdr:row>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esponsible 1">
              <a:extLst>
                <a:ext uri="{FF2B5EF4-FFF2-40B4-BE49-F238E27FC236}">
                  <a16:creationId xmlns:a16="http://schemas.microsoft.com/office/drawing/2014/main" id="{C6A452CA-DA94-D302-BB9A-4733234D4775}"/>
                </a:ext>
                <a:ext uri="{147F2762-F138-4A5C-976F-8EAC2B608ADB}">
                  <a16:predDERef xmlns:a16="http://schemas.microsoft.com/office/drawing/2014/main" pred="{3D06ACEE-93E0-458C-AFD7-A7C1E762A3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ib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99" y="1847850"/>
              <a:ext cx="15401925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lda Vanessa Mata Olvera" id="{69CFE816-E4FF-4925-8232-F5F9B855425E}" userId="S::hilda.mata@na.scio-automation.com::ac0547ba-e0bd-4d39-a5a4-ec83ce232cbf" providerId="AD"/>
  <person displayName="Fidel Maldonado Mendoza" id="{2E774F21-BAE9-441D-BB6E-7CD6966DF361}" userId="S::fidel.maldonado@na.scio-automation.com::dc19862f-4cff-4487-842f-617b65354ce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Adame" refreshedDate="46076.725483912036" createdVersion="8" refreshedVersion="8" minRefreshableVersion="3" recordCount="80" xr:uid="{619057BC-6EC0-4467-82AC-C800EE19EFDE}">
  <cacheSource type="worksheet">
    <worksheetSource name="_xlnm.Database"/>
  </cacheSource>
  <cacheFields count="173">
    <cacheField name="LOCATION" numFmtId="0">
      <sharedItems/>
    </cacheField>
    <cacheField name="STATUS" numFmtId="0">
      <sharedItems count="3">
        <s v="Close"/>
        <s v="Follow Up"/>
        <s v="Open"/>
      </sharedItems>
    </cacheField>
    <cacheField name="Customer" numFmtId="0">
      <sharedItems/>
    </cacheField>
    <cacheField name="DESCRIPTION" numFmtId="0">
      <sharedItems/>
    </cacheField>
    <cacheField name="Project name:" numFmtId="0">
      <sharedItems containsBlank="1"/>
    </cacheField>
    <cacheField name="Project No" numFmtId="0">
      <sharedItems containsMixedTypes="1" containsNumber="1" containsInteger="1" minValue="3268" maxValue="3366" count="18">
        <n v="3300"/>
        <n v="3364"/>
        <n v="3365"/>
        <n v="3366"/>
        <n v="3268"/>
        <n v="3272"/>
        <s v="3272-CO06"/>
        <n v="3278"/>
        <n v="3297"/>
        <s v="3300-CO06"/>
        <n v="3328"/>
        <n v="3332"/>
        <n v="3334"/>
        <n v="3335"/>
        <n v="3336"/>
        <n v="3346"/>
        <n v="3351"/>
        <n v="3363"/>
      </sharedItems>
    </cacheField>
    <cacheField name="JOB" numFmtId="0">
      <sharedItems containsMixedTypes="1" containsNumber="1" containsInteger="1" minValue="3264" maxValue="3366" count="81">
        <n v="3300"/>
        <n v="3364"/>
        <n v="3365"/>
        <n v="3366"/>
        <s v="3268-A"/>
        <s v="3268-C"/>
        <s v="3272-A"/>
        <s v="3272-B"/>
        <s v="3272-C"/>
        <s v="3272-CO06"/>
        <s v="3272-H"/>
        <s v="3272-I"/>
        <s v="3272-J"/>
        <s v="3278-A"/>
        <s v="3278-B"/>
        <s v="3278-C"/>
        <s v="3278-D"/>
        <s v="3297-A"/>
        <s v="3297-B"/>
        <s v="3297-C"/>
        <s v="3300-CO06-A"/>
        <s v="3300-CO06-B"/>
        <s v="3300-CO06-C"/>
        <s v="3328-A"/>
        <s v="3328-B"/>
        <s v="3328-C"/>
        <s v="3328-D"/>
        <s v="3328-E"/>
        <s v="3328-F"/>
        <s v="3328-G"/>
        <s v="3328-H"/>
        <s v="3328-I"/>
        <s v="3328-J"/>
        <s v="3328-K"/>
        <s v="3328-L"/>
        <s v="3328-M"/>
        <s v="3328-N"/>
        <s v="3332-A"/>
        <s v="3332-B"/>
        <s v="3332-C"/>
        <s v="3334-A"/>
        <s v="3334-B"/>
        <s v="3334-D"/>
        <s v="3334-E"/>
        <s v="3335-A"/>
        <s v="3335-B"/>
        <s v="3335-F"/>
        <s v="3335-G"/>
        <s v="3336-A"/>
        <s v="3336-B"/>
        <s v="3336-C"/>
        <s v="3336-D"/>
        <s v="3336-E"/>
        <s v="3336-F"/>
        <s v="3336-G"/>
        <s v="3336-H"/>
        <s v="3336-I"/>
        <s v="3336-J"/>
        <s v="3336-K"/>
        <s v="3336-L"/>
        <s v="3336-M"/>
        <s v="3336-N"/>
        <s v="3336-O"/>
        <s v="3336-P"/>
        <s v="3336-Q"/>
        <s v="3336-R"/>
        <s v="3336-S"/>
        <s v="3336-T"/>
        <s v="3336-U"/>
        <s v="3336-V"/>
        <s v="3336-W"/>
        <s v="3336-X"/>
        <s v="3346-A"/>
        <s v="3346-B"/>
        <s v="3351-A"/>
        <s v="3351-B"/>
        <s v="3351-D"/>
        <s v="3351-E"/>
        <s v="3363-A"/>
        <s v="3363-B"/>
        <n v="3264" u="1"/>
      </sharedItems>
    </cacheField>
    <cacheField name="Budget CS" numFmtId="0">
      <sharedItems containsSemiMixedTypes="0" containsString="0" containsNumber="1" containsInteger="1" minValue="7" maxValue="300"/>
    </cacheField>
    <cacheField name="Change Orders Budget" numFmtId="0">
      <sharedItems containsNonDate="0" containsString="0" containsBlank="1"/>
    </cacheField>
    <cacheField name="Budget" numFmtId="166">
      <sharedItems containsSemiMixedTypes="0" containsString="0" containsNumber="1" containsInteger="1" minValue="7" maxValue="300"/>
    </cacheField>
    <cacheField name="Labor_x000a_Spent" numFmtId="2">
      <sharedItems containsSemiMixedTypes="0" containsString="0" containsNumber="1" minValue="0" maxValue="544.5"/>
    </cacheField>
    <cacheField name="Labor Spend on Design errors" numFmtId="2">
      <sharedItems containsString="0" containsBlank="1" containsNumber="1" minValue="0" maxValue="3.5"/>
    </cacheField>
    <cacheField name="Labor_x000a_Spent Customer changes" numFmtId="2">
      <sharedItems containsString="0" containsBlank="1" containsNumber="1" minValue="0" maxValue="7.5"/>
    </cacheField>
    <cacheField name="% of completion" numFmtId="9">
      <sharedItems containsSemiMixedTypes="0" containsString="0" containsNumber="1" minValue="0" maxValue="1"/>
    </cacheField>
    <cacheField name="Weighted advance" numFmtId="0">
      <sharedItems containsSemiMixedTypes="0" containsString="0" containsNumber="1" minValue="0" maxValue="544.5"/>
    </cacheField>
    <cacheField name="Labor Rate from CS" numFmtId="164">
      <sharedItems containsSemiMixedTypes="0" containsString="0" containsNumber="1" minValue="26.73" maxValue="43"/>
    </cacheField>
    <cacheField name="Budget vs Rate USD" numFmtId="164">
      <sharedItems containsSemiMixedTypes="0" containsString="0" containsNumber="1" minValue="187.11" maxValue="9435"/>
    </cacheField>
    <cacheField name="Spent Budget vs Rate USD" numFmtId="164">
      <sharedItems containsSemiMixedTypes="0" containsString="0" containsNumber="1" minValue="0" maxValue="17124.524999999998"/>
    </cacheField>
    <cacheField name="Labor_x000a_Spent %" numFmtId="9">
      <sharedItems containsSemiMixedTypes="0" containsString="0" containsNumber="1" minValue="0" maxValue="2.5"/>
    </cacheField>
    <cacheField name="Sell price" numFmtId="164">
      <sharedItems containsSemiMixedTypes="0" containsString="0" containsNumber="1" minValue="8485" maxValue="1377200"/>
    </cacheField>
    <cacheField name="Sell price Additionals" numFmtId="164">
      <sharedItems containsString="0" containsBlank="1" containsNumber="1" minValue="1000" maxValue="83640"/>
    </cacheField>
    <cacheField name="Additionals cost" numFmtId="164">
      <sharedItems containsString="0" containsBlank="1" containsNumber="1" minValue="2234.61" maxValue="68146.28"/>
    </cacheField>
    <cacheField name="Elect Mat Budget USD" numFmtId="164">
      <sharedItems containsSemiMixedTypes="0" containsString="0" containsNumber="1" minValue="260" maxValue="122365.88"/>
    </cacheField>
    <cacheField name="Elect Mt Used_x000a_USD" numFmtId="164">
      <sharedItems containsSemiMixedTypes="0" containsString="0" containsNumber="1" minValue="260" maxValue="122365.88"/>
    </cacheField>
    <cacheField name="Elect Mat Used on Design errors" numFmtId="164">
      <sharedItems containsNonDate="0" containsString="0" containsBlank="1"/>
    </cacheField>
    <cacheField name="Elect Mat Used on Customer changes" numFmtId="164">
      <sharedItems containsNonDate="0" containsString="0" containsBlank="1"/>
    </cacheField>
    <cacheField name="COST" numFmtId="164">
      <sharedItems containsString="0" containsBlank="1" containsNumber="1" minValue="6660.51" maxValue="1135731.1200000001"/>
    </cacheField>
    <cacheField name="Ext Budget" numFmtId="0">
      <sharedItems containsSemiMixedTypes="0" containsString="0" containsNumber="1" minValue="-41576.22" maxValue="1014421.4700000001"/>
    </cacheField>
    <cacheField name="Budget Total USD" numFmtId="44">
      <sharedItems containsSemiMixedTypes="0" containsString="0" containsNumber="1" minValue="33.460000000000719" maxValue="1211566.925"/>
    </cacheField>
    <cacheField name="Station GP_x000a_CostSheet" numFmtId="10">
      <sharedItems containsSemiMixedTypes="0" containsString="0" containsNumber="1" minValue="-0.41010000000000002" maxValue="0.28970000000000001"/>
    </cacheField>
    <cacheField name="Project GP Summary" numFmtId="10">
      <sharedItems containsString="0" containsBlank="1" containsNumber="1" minValue="-3.0999999999999999E-3" maxValue="0.23499999999999999"/>
    </cacheField>
    <cacheField name="Station GP_x000a_Calc" numFmtId="10">
      <sharedItems containsSemiMixedTypes="0" containsString="0" containsNumber="1" minValue="-0.40531206703910622" maxValue="0.99971281681557955"/>
    </cacheField>
    <cacheField name="Initial Date" numFmtId="165">
      <sharedItems containsNonDate="0" containsDate="1" containsString="0" containsBlank="1" minDate="2025-06-16T00:00:00" maxDate="2026-01-14T00:00:00"/>
    </cacheField>
    <cacheField name="Read info" numFmtId="165">
      <sharedItems/>
    </cacheField>
    <cacheField name="Read info_x000a_Status" numFmtId="167">
      <sharedItems containsSemiMixedTypes="0" containsString="0" containsNumber="1" containsInteger="1" minValue="0" maxValue="100"/>
    </cacheField>
    <cacheField name="Read Info  Progress" numFmtId="0">
      <sharedItems containsString="0" containsBlank="1" containsNumber="1" minValue="0.05" maxValue="0.05"/>
    </cacheField>
    <cacheField name="Read Info Contribution" numFmtId="0">
      <sharedItems containsSemiMixedTypes="0" containsString="0" containsNumber="1" minValue="0" maxValue="0.05"/>
    </cacheField>
    <cacheField name="Read Info_x000a_Est hrs" numFmtId="0">
      <sharedItems containsSemiMixedTypes="0" containsString="0" containsNumber="1" minValue="0" maxValue="15"/>
    </cacheField>
    <cacheField name="Long lead items" numFmtId="165">
      <sharedItems/>
    </cacheField>
    <cacheField name="Long lead items Status" numFmtId="167">
      <sharedItems containsSemiMixedTypes="0" containsString="0" containsNumber="1" containsInteger="1" minValue="0" maxValue="100"/>
    </cacheField>
    <cacheField name="Long lead items  Progress" numFmtId="9">
      <sharedItems containsSemiMixedTypes="0" containsString="0" containsNumber="1" minValue="0.05" maxValue="0.05"/>
    </cacheField>
    <cacheField name="Long lead items Contribution" numFmtId="9">
      <sharedItems containsSemiMixedTypes="0" containsString="0" containsNumber="1" minValue="0" maxValue="0.05"/>
    </cacheField>
    <cacheField name="Long lead items_x000a_Est hrs" numFmtId="0">
      <sharedItems containsSemiMixedTypes="0" containsString="0" containsNumber="1" minValue="0.35000000000000003" maxValue="15"/>
    </cacheField>
    <cacheField name="Long lead items Target Date" numFmtId="165">
      <sharedItems containsDate="1" containsBlank="1" containsMixedTypes="1" minDate="2025-06-30T00:00:00" maxDate="2026-01-23T00:00:00"/>
    </cacheField>
    <cacheField name="Long lead items Real Date" numFmtId="165">
      <sharedItems containsDate="1" containsBlank="1" containsMixedTypes="1" minDate="2025-07-02T00:00:00" maxDate="2026-01-13T00:00:00"/>
    </cacheField>
    <cacheField name="Switch Layout" numFmtId="165">
      <sharedItems/>
    </cacheField>
    <cacheField name="Switch Layout_x000a_Status" numFmtId="167">
      <sharedItems containsSemiMixedTypes="0" containsString="0" containsNumber="1" containsInteger="1" minValue="0" maxValue="100"/>
    </cacheField>
    <cacheField name="Switch Layout Progress" numFmtId="9">
      <sharedItems containsSemiMixedTypes="0" containsString="0" containsNumber="1" minValue="0.01" maxValue="0.01"/>
    </cacheField>
    <cacheField name="Switch Layout Contribution" numFmtId="9">
      <sharedItems containsSemiMixedTypes="0" containsString="0" containsNumber="1" minValue="0" maxValue="0.01"/>
    </cacheField>
    <cacheField name="Switch Layout_x000a_Est hrs" numFmtId="0">
      <sharedItems containsSemiMixedTypes="0" containsString="0" containsNumber="1" minValue="7.0000000000000007E-2" maxValue="3"/>
    </cacheField>
    <cacheField name="Switch Layout Target Date" numFmtId="165">
      <sharedItems containsNonDate="0" containsDate="1" containsString="0" containsBlank="1" minDate="2025-08-08T00:00:00" maxDate="2026-03-03T00:00:00"/>
    </cacheField>
    <cacheField name="Switch Layout Real Date" numFmtId="165">
      <sharedItems containsNonDate="0" containsDate="1" containsString="0" containsBlank="1" minDate="2025-08-14T00:00:00" maxDate="2026-02-11T00:00:00"/>
    </cacheField>
    <cacheField name="Create project" numFmtId="165">
      <sharedItems/>
    </cacheField>
    <cacheField name="Create porject_x000a_Status" numFmtId="167">
      <sharedItems containsSemiMixedTypes="0" containsString="0" containsNumber="1" containsInteger="1" minValue="0" maxValue="100"/>
    </cacheField>
    <cacheField name="Create porject Progress" numFmtId="9">
      <sharedItems containsSemiMixedTypes="0" containsString="0" containsNumber="1" minValue="0.01" maxValue="0.01"/>
    </cacheField>
    <cacheField name="Create project Contribution" numFmtId="9">
      <sharedItems containsSemiMixedTypes="0" containsString="0" containsNumber="1" minValue="0" maxValue="0.01"/>
    </cacheField>
    <cacheField name="Create project_x000a_Est hrs" numFmtId="0">
      <sharedItems containsSemiMixedTypes="0" containsString="0" containsNumber="1" minValue="7.0000000000000007E-2" maxValue="3"/>
    </cacheField>
    <cacheField name="Communication section" numFmtId="165">
      <sharedItems/>
    </cacheField>
    <cacheField name="Communication section_x000a_Status" numFmtId="167">
      <sharedItems containsSemiMixedTypes="0" containsString="0" containsNumber="1" containsInteger="1" minValue="0" maxValue="100"/>
    </cacheField>
    <cacheField name="Communication section_x000a_Progress" numFmtId="9">
      <sharedItems containsSemiMixedTypes="0" containsString="0" containsNumber="1" minValue="0.08" maxValue="0.08"/>
    </cacheField>
    <cacheField name="Communication section Contribution" numFmtId="9">
      <sharedItems containsSemiMixedTypes="0" containsString="0" containsNumber="1" minValue="0" maxValue="0.08"/>
    </cacheField>
    <cacheField name="Communication section_x000a_Est hrs" numFmtId="0">
      <sharedItems containsSemiMixedTypes="0" containsString="0" containsNumber="1" minValue="0.56000000000000005" maxValue="24"/>
    </cacheField>
    <cacheField name="Power Section" numFmtId="165">
      <sharedItems/>
    </cacheField>
    <cacheField name="Power Section_x000a_Status" numFmtId="167">
      <sharedItems containsSemiMixedTypes="0" containsString="0" containsNumber="1" containsInteger="1" minValue="0" maxValue="100"/>
    </cacheField>
    <cacheField name="Power Section_x000a_Progress" numFmtId="9">
      <sharedItems containsSemiMixedTypes="0" containsString="0" containsNumber="1" minValue="0.18" maxValue="0.18"/>
    </cacheField>
    <cacheField name="Power Section Contribution" numFmtId="9">
      <sharedItems containsSemiMixedTypes="0" containsString="0" containsNumber="1" minValue="0" maxValue="0.18"/>
    </cacheField>
    <cacheField name="Power Section_x000a_Est hrs" numFmtId="0">
      <sharedItems containsSemiMixedTypes="0" containsString="0" containsNumber="1" minValue="1.26" maxValue="54"/>
    </cacheField>
    <cacheField name="Control Section" numFmtId="165">
      <sharedItems/>
    </cacheField>
    <cacheField name="Control Section_x000a_Status" numFmtId="167">
      <sharedItems containsSemiMixedTypes="0" containsString="0" containsNumber="1" containsInteger="1" minValue="0" maxValue="100"/>
    </cacheField>
    <cacheField name="Control Section_x000a_Progress" numFmtId="9">
      <sharedItems containsSemiMixedTypes="0" containsString="0" containsNumber="1" minValue="0.28000000000000003" maxValue="0.28000000000000003"/>
    </cacheField>
    <cacheField name="Control Section Contribution" numFmtId="9">
      <sharedItems containsSemiMixedTypes="0" containsString="0" containsNumber="1" minValue="0" maxValue="0.28000000000000003"/>
    </cacheField>
    <cacheField name="Control Section_x000a_Est hrs" numFmtId="0">
      <sharedItems containsSemiMixedTypes="0" containsDate="1" containsString="0" containsMixedTypes="1" minDate="1900-01-01T19:12:00" maxDate="1899-12-31T00:45:04"/>
    </cacheField>
    <cacheField name="Special components" numFmtId="165">
      <sharedItems/>
    </cacheField>
    <cacheField name="Special components_x000a_Status" numFmtId="167">
      <sharedItems containsSemiMixedTypes="0" containsString="0" containsNumber="1" containsInteger="1" minValue="0" maxValue="100"/>
    </cacheField>
    <cacheField name="Special components_x000a_Progress" numFmtId="9">
      <sharedItems containsSemiMixedTypes="0" containsString="0" containsNumber="1" minValue="0.15" maxValue="0.15"/>
    </cacheField>
    <cacheField name="Special components Contribution" numFmtId="9">
      <sharedItems containsSemiMixedTypes="0" containsString="0" containsNumber="1" minValue="0" maxValue="0.15"/>
    </cacheField>
    <cacheField name="Special components_x000a_Est hrs" numFmtId="0">
      <sharedItems containsSemiMixedTypes="0" containsString="0" containsNumber="1" minValue="1.05" maxValue="45"/>
    </cacheField>
    <cacheField name="Pneumatic" numFmtId="165">
      <sharedItems/>
    </cacheField>
    <cacheField name="Pneumatic_x000a_Status" numFmtId="167">
      <sharedItems containsSemiMixedTypes="0" containsString="0" containsNumber="1" containsInteger="1" minValue="0" maxValue="100"/>
    </cacheField>
    <cacheField name="Pneumatic_x000a_Progress" numFmtId="9">
      <sharedItems containsSemiMixedTypes="0" containsString="0" containsNumber="1" minValue="0.16" maxValue="0.16"/>
    </cacheField>
    <cacheField name="Pneumatic Contribution" numFmtId="9">
      <sharedItems containsSemiMixedTypes="0" containsString="0" containsNumber="1" minValue="0" maxValue="0.16"/>
    </cacheField>
    <cacheField name="Pneumatic_x000a_Est hrs" numFmtId="0">
      <sharedItems containsSemiMixedTypes="0" containsString="0" containsNumber="1" minValue="1.1200000000000001" maxValue="48"/>
    </cacheField>
    <cacheField name="Enclosure" numFmtId="165">
      <sharedItems/>
    </cacheField>
    <cacheField name="Eclosure_x000a_Status" numFmtId="167">
      <sharedItems containsSemiMixedTypes="0" containsString="0" containsNumber="1" containsInteger="1" minValue="0" maxValue="100"/>
    </cacheField>
    <cacheField name="Eclosure_x000a_Progress" numFmtId="9">
      <sharedItems containsSemiMixedTypes="0" containsString="0" containsNumber="1" minValue="0.13" maxValue="0.13"/>
    </cacheField>
    <cacheField name="Eclosure Contribution" numFmtId="9">
      <sharedItems containsSemiMixedTypes="0" containsString="0" containsNumber="1" minValue="0" maxValue="0.13"/>
    </cacheField>
    <cacheField name="Eclosure_x000a_Est hrs" numFmtId="0">
      <sharedItems containsSemiMixedTypes="0" containsString="0" containsNumber="1" minValue="0.91" maxValue="39"/>
    </cacheField>
    <cacheField name="Reports" numFmtId="165">
      <sharedItems/>
    </cacheField>
    <cacheField name="Reports_x000a_Status" numFmtId="167">
      <sharedItems containsSemiMixedTypes="0" containsString="0" containsNumber="1" containsInteger="1" minValue="0" maxValue="100"/>
    </cacheField>
    <cacheField name="Reports_x000a_Progress" numFmtId="9">
      <sharedItems containsSemiMixedTypes="0" containsString="0" containsNumber="1" minValue="0.01" maxValue="0.01"/>
    </cacheField>
    <cacheField name="Reports Contribution" numFmtId="9">
      <sharedItems containsSemiMixedTypes="0" containsString="0" containsNumber="1" minValue="0" maxValue="0.01"/>
    </cacheField>
    <cacheField name="Reports_x000a_Est hrs" numFmtId="0">
      <sharedItems containsSemiMixedTypes="0" containsString="0" containsNumber="1" minValue="7.0000000000000007E-2" maxValue="3"/>
    </cacheField>
    <cacheField name="Design" numFmtId="9">
      <sharedItems containsSemiMixedTypes="0" containsString="0" containsNumber="1" minValue="0" maxValue="1"/>
    </cacheField>
    <cacheField name="Design Progress" numFmtId="9">
      <sharedItems containsSemiMixedTypes="0" containsString="0" containsNumber="1" minValue="0.54" maxValue="0.54"/>
    </cacheField>
    <cacheField name="Design Contribution" numFmtId="9">
      <sharedItems containsSemiMixedTypes="0" containsString="0" containsNumber="1" minValue="0" maxValue="0.54"/>
    </cacheField>
    <cacheField name="Design_x000a_Est hrs" numFmtId="0">
      <sharedItems containsSemiMixedTypes="0" containsString="0" containsNumber="1" minValue="3.7800000000000002" maxValue="162"/>
    </cacheField>
    <cacheField name="Desing hrs used" numFmtId="166">
      <sharedItems containsSemiMixedTypes="0" containsString="0" containsNumber="1" minValue="0" maxValue="162"/>
    </cacheField>
    <cacheField name="Design hrs remaining" numFmtId="166">
      <sharedItems containsSemiMixedTypes="0" containsString="0" containsNumber="1" minValue="0" maxValue="29.024999999999999"/>
    </cacheField>
    <cacheField name="Revision" numFmtId="165">
      <sharedItems/>
    </cacheField>
    <cacheField name="Revision_x000a_Status" numFmtId="167">
      <sharedItems containsSemiMixedTypes="0" containsString="0" containsNumber="1" containsInteger="1" minValue="0" maxValue="100"/>
    </cacheField>
    <cacheField name="Revision Progress" numFmtId="9">
      <sharedItems containsSemiMixedTypes="0" containsString="0" containsNumber="1" minValue="0.02" maxValue="0.02"/>
    </cacheField>
    <cacheField name="Revision Contribution" numFmtId="9">
      <sharedItems containsSemiMixedTypes="0" containsString="0" containsNumber="1" minValue="0" maxValue="0.02"/>
    </cacheField>
    <cacheField name="Revision_x000a_Est hrs" numFmtId="0">
      <sharedItems containsSemiMixedTypes="0" containsString="0" containsNumber="1" minValue="0.14000000000000001" maxValue="6"/>
    </cacheField>
    <cacheField name="Revision Date" numFmtId="165">
      <sharedItems containsNonDate="0" containsDate="1" containsString="0" containsBlank="1" minDate="2025-08-12T00:00:00" maxDate="2026-03-14T00:00:00"/>
    </cacheField>
    <cacheField name="Revision Real Date" numFmtId="165">
      <sharedItems containsNonDate="0" containsDate="1" containsString="0" containsBlank="1" minDate="2025-08-15T00:00:00" maxDate="2026-02-14T00:00:00"/>
    </cacheField>
    <cacheField name="Costumer Aprvl" numFmtId="165">
      <sharedItems/>
    </cacheField>
    <cacheField name="Costumer Aprvl_x000a_Status" numFmtId="167">
      <sharedItems containsSemiMixedTypes="0" containsString="0" containsNumber="1" containsInteger="1" minValue="0" maxValue="100"/>
    </cacheField>
    <cacheField name="Costumer Aprvl Progress" numFmtId="9">
      <sharedItems containsSemiMixedTypes="0" containsString="0" containsNumber="1" minValue="0.01" maxValue="0.01"/>
    </cacheField>
    <cacheField name="Costumer Aprvl Contribution" numFmtId="9">
      <sharedItems containsSemiMixedTypes="0" containsString="0" containsNumber="1" minValue="0" maxValue="0.01"/>
    </cacheField>
    <cacheField name="Costumer Aprvl_x000a_Est hrs" numFmtId="0">
      <sharedItems containsSemiMixedTypes="0" containsString="0" containsNumber="1" minValue="7.0000000000000007E-2" maxValue="3"/>
    </cacheField>
    <cacheField name="Costumer Aprvl Date" numFmtId="165">
      <sharedItems containsNonDate="0" containsDate="1" containsString="0" containsBlank="1" minDate="2025-08-28T00:00:00" maxDate="2026-03-18T00:00:00"/>
    </cacheField>
    <cacheField name="Costumer Aprvl Real Date" numFmtId="165">
      <sharedItems containsNonDate="0" containsDate="1" containsString="0" containsBlank="1" minDate="2025-08-29T00:00:00" maxDate="2026-02-18T00:00:00"/>
    </cacheField>
    <cacheField name="Meetings" numFmtId="165">
      <sharedItems/>
    </cacheField>
    <cacheField name="Meetings_x000a_Status" numFmtId="167">
      <sharedItems containsSemiMixedTypes="0" containsString="0" containsNumber="1" containsInteger="1" minValue="0" maxValue="100"/>
    </cacheField>
    <cacheField name="Meetings Progress" numFmtId="9">
      <sharedItems containsSemiMixedTypes="0" containsString="0" containsNumber="1" minValue="0.03" maxValue="0.03"/>
    </cacheField>
    <cacheField name="Meetings Contribution" numFmtId="9">
      <sharedItems containsSemiMixedTypes="0" containsString="0" containsNumber="1" minValue="0" maxValue="0.03"/>
    </cacheField>
    <cacheField name="Meetings_x000a_Est hrs" numFmtId="0">
      <sharedItems containsSemiMixedTypes="0" containsString="0" containsNumber="1" minValue="0.21" maxValue="9"/>
    </cacheField>
    <cacheField name="Purchasing release" numFmtId="165">
      <sharedItems/>
    </cacheField>
    <cacheField name="Purchasing release_x000a_Status" numFmtId="167">
      <sharedItems containsSemiMixedTypes="0" containsString="0" containsNumber="1" containsInteger="1" minValue="0" maxValue="100"/>
    </cacheField>
    <cacheField name="Purchasing release Progress" numFmtId="9">
      <sharedItems containsSemiMixedTypes="0" containsString="0" containsNumber="1" minValue="7.0000000000000007E-2" maxValue="7.0000000000000007E-2"/>
    </cacheField>
    <cacheField name="Purchasing release Contribution" numFmtId="9">
      <sharedItems containsSemiMixedTypes="0" containsString="0" containsNumber="1" minValue="0" maxValue="7.0000000000000007E-2"/>
    </cacheField>
    <cacheField name="Purchasing release_x000a_Est hrs" numFmtId="0">
      <sharedItems containsSemiMixedTypes="0" containsString="0" containsNumber="1" minValue="0.49000000000000005" maxValue="21.000000000000004"/>
    </cacheField>
    <cacheField name="Purchasing release Date" numFmtId="165">
      <sharedItems containsNonDate="0" containsDate="1" containsString="0" containsBlank="1" minDate="2025-08-29T00:00:00" maxDate="2026-03-19T00:00:00"/>
    </cacheField>
    <cacheField name="Purchasing release Real Date" numFmtId="165">
      <sharedItems containsNonDate="0" containsDate="1" containsString="0" containsBlank="1" minDate="2025-08-29T00:00:00" maxDate="2026-02-18T00:00:00"/>
    </cacheField>
    <cacheField name="Handoffs" numFmtId="165">
      <sharedItems/>
    </cacheField>
    <cacheField name="Hand offs/Meetings_x000a_Status" numFmtId="167">
      <sharedItems containsSemiMixedTypes="0" containsString="0" containsNumber="1" containsInteger="1" minValue="0" maxValue="100"/>
    </cacheField>
    <cacheField name="Hand offs/Meetings Progress" numFmtId="9">
      <sharedItems containsSemiMixedTypes="0" containsString="0" containsNumber="1" minValue="0.04" maxValue="0.04"/>
    </cacheField>
    <cacheField name="Hand offs/Meetings Contribution" numFmtId="9">
      <sharedItems containsSemiMixedTypes="0" containsString="0" containsNumber="1" minValue="0" maxValue="0.04"/>
    </cacheField>
    <cacheField name="Hand offs/Meetings_x000a_Est hrs" numFmtId="0">
      <sharedItems containsSemiMixedTypes="0" containsString="0" containsNumber="1" minValue="0.28000000000000003" maxValue="12"/>
    </cacheField>
    <cacheField name="Hand offs/Meetings Date" numFmtId="165">
      <sharedItems containsNonDate="0" containsDate="1" containsString="0" containsBlank="1" minDate="2025-09-02T00:00:00" maxDate="2026-03-21T00:00:00"/>
    </cacheField>
    <cacheField name="Hand offs/Meetings Real Date" numFmtId="165">
      <sharedItems containsNonDate="0" containsDate="1" containsString="0" containsBlank="1" minDate="2025-09-02T00:00:00" maxDate="2026-02-18T00:00:00"/>
    </cacheField>
    <cacheField name="Support" numFmtId="165">
      <sharedItems/>
    </cacheField>
    <cacheField name="Support_x000a_Status" numFmtId="167">
      <sharedItems containsSemiMixedTypes="0" containsString="0" containsNumber="1" containsInteger="1" minValue="0" maxValue="100"/>
    </cacheField>
    <cacheField name="Support Progress" numFmtId="9">
      <sharedItems containsSemiMixedTypes="0" containsString="0" containsNumber="1" minValue="0.05" maxValue="0.05"/>
    </cacheField>
    <cacheField name="Support Contribution" numFmtId="9">
      <sharedItems containsSemiMixedTypes="0" containsString="0" containsNumber="1" minValue="0" maxValue="0.05"/>
    </cacheField>
    <cacheField name="Support_x000a_Est hrs" numFmtId="0">
      <sharedItems containsSemiMixedTypes="0" containsString="0" containsNumber="1" minValue="0.35000000000000003" maxValue="15"/>
    </cacheField>
    <cacheField name="Support Date" numFmtId="0">
      <sharedItems containsNonDate="0" containsDate="1" containsString="0" containsBlank="1" minDate="2025-10-20T00:00:00" maxDate="2026-04-11T00:00:00"/>
    </cacheField>
    <cacheField name="Support Real Date" numFmtId="0">
      <sharedItems containsNonDate="0" containsString="0" containsBlank="1"/>
    </cacheField>
    <cacheField name="Documentation" numFmtId="165">
      <sharedItems/>
    </cacheField>
    <cacheField name="Documentation_x000a_Status" numFmtId="167">
      <sharedItems containsSemiMixedTypes="0" containsString="0" containsNumber="1" containsInteger="1" minValue="0" maxValue="100"/>
    </cacheField>
    <cacheField name="Documentation Progress" numFmtId="9">
      <sharedItems containsSemiMixedTypes="0" containsString="0" containsNumber="1" minValue="0.1" maxValue="0.1"/>
    </cacheField>
    <cacheField name="Documentation Contribution" numFmtId="9">
      <sharedItems containsSemiMixedTypes="0" containsString="0" containsNumber="1" minValue="0" maxValue="0.1"/>
    </cacheField>
    <cacheField name="Documentation_x000a_Est hrs" numFmtId="0">
      <sharedItems containsSemiMixedTypes="0" containsString="0" containsNumber="1" minValue="0.70000000000000007" maxValue="30"/>
    </cacheField>
    <cacheField name="Documentation Date" numFmtId="0">
      <sharedItems containsNonDate="0" containsDate="1" containsString="0" containsBlank="1" minDate="2025-10-17T00:00:00" maxDate="2026-04-07T00:00:00"/>
    </cacheField>
    <cacheField name="Documentation Real Date" numFmtId="0">
      <sharedItems containsNonDate="0" containsDate="1" containsString="0" containsBlank="1" minDate="2025-11-25T00:00:00" maxDate="2025-12-13T00:00:00"/>
    </cacheField>
    <cacheField name="Redlines" numFmtId="165">
      <sharedItems/>
    </cacheField>
    <cacheField name="Redlines_x000a_Status" numFmtId="167">
      <sharedItems containsSemiMixedTypes="0" containsString="0" containsNumber="1" containsInteger="1" minValue="0" maxValue="100"/>
    </cacheField>
    <cacheField name="Redlines Progress" numFmtId="9">
      <sharedItems containsSemiMixedTypes="0" containsString="0" containsNumber="1" minValue="0.03" maxValue="0.03"/>
    </cacheField>
    <cacheField name="Redlines Contribution" numFmtId="9">
      <sharedItems containsSemiMixedTypes="0" containsString="0" containsNumber="1" minValue="0" maxValue="0.03"/>
    </cacheField>
    <cacheField name="Redlines_x000a_Est hrs" numFmtId="0">
      <sharedItems containsSemiMixedTypes="0" containsString="0" containsNumber="1" minValue="0.21" maxValue="9"/>
    </cacheField>
    <cacheField name="Hrs to Finish" numFmtId="0">
      <sharedItems containsSemiMixedTypes="0" containsString="0" containsNumber="1" minValue="0" maxValue="65.025000000000006"/>
    </cacheField>
    <cacheField name="Sr. Designer" numFmtId="0">
      <sharedItems containsBlank="1"/>
    </cacheField>
    <cacheField name="Responsible" numFmtId="0">
      <sharedItems containsBlank="1" count="5">
        <s v="JUAN ADAME"/>
        <s v="ADRIAN CABELLO"/>
        <s v="HILDA MATA"/>
        <m/>
        <s v="FIDEL MALDONADO"/>
      </sharedItems>
    </cacheField>
    <cacheField name="Comments" numFmtId="165">
      <sharedItems containsNonDate="0" containsString="0" containsBlank="1"/>
    </cacheField>
    <cacheField name="% Hrs Status" numFmtId="0" formula="'Weighted advance'/Budget" databaseField="0"/>
    <cacheField name="Suma Sell Price" numFmtId="0" formula="'Sell price'" databaseField="0"/>
    <cacheField name="Suma gasto total" numFmtId="0" formula="'Budget Total USD'" databaseField="0"/>
    <cacheField name="Project GP" numFmtId="0" formula=" ('Suma Sell Price'-'Suma gasto total')/'Suma Sell Price'" databaseField="0"/>
    <cacheField name="Suma Shiping" numFmtId="0" formula="#NAME?" databaseField="0"/>
    <cacheField name="Sells price" numFmtId="0" formula="'Suma Shiping'+'Suma Sell Price'" databaseField="0"/>
    <cacheField name="Suma Gastos Tot" numFmtId="0" formula="'Budget Total USD'" databaseField="0"/>
    <cacheField name="= Gp de proyecto" numFmtId="0" formula=" ('Sells price'-'Suma Gastos Tot')/'Sells price'" databaseField="0"/>
    <cacheField name="Suma Sells price" numFmtId="0" formula="'Sell price'" databaseField="0"/>
    <cacheField name="Summa Sells additionals" numFmtId="0" formula="'Sell price Additionals'" databaseField="0"/>
    <cacheField name="VENTA PROYECTO" numFmtId="0" formula="'Suma Sells price'+'Summa Sells additionals'" databaseField="0"/>
    <cacheField name="TOTAL GASTOS REALES" numFmtId="0" formula="'Budget Total USD'" databaseField="0"/>
    <cacheField name="Current GP" numFmtId="0" formula=" ('VENTA PROYECTO'-'TOTAL GASTOS REALES')/'VENTA PROYECTO'" databaseField="0"/>
    <cacheField name="Suma labor spent usd" numFmtId="0" formula="'Spent Budget vs Rate USD'" databaseField="0"/>
    <cacheField name="Suma labor budget usd" numFmtId="0" formula="'Budget vs Rate USD'" databaseField="0"/>
    <cacheField name="% uso labor usd" numFmtId="0" formula="'Suma labor spent usd'/'Suma labor budget usd'" databaseField="0"/>
    <cacheField name="Suma labor hrs" numFmtId="0" formula="'Labor_x000a_Spent'" databaseField="0"/>
    <cacheField name="Suma horas cotizadas" numFmtId="0" formula="Budget" databaseField="0"/>
    <cacheField name="Horas Restantes" numFmtId="0" formula="'Suma horas cotizadas'-'Suma labor hrs'" databaseField="0"/>
  </cacheFields>
  <extLst>
    <ext xmlns:x14="http://schemas.microsoft.com/office/spreadsheetml/2009/9/main" uri="{725AE2AE-9491-48be-B2B4-4EB974FC3084}">
      <x14:pivotCacheDefinition pivotCacheId="20122976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MX"/>
    <x v="0"/>
    <s v="OP Mobility"/>
    <s v="STA A Font Assembly Conveyor Line"/>
    <s v="Font Assembly Conveyor Line"/>
    <x v="0"/>
    <x v="0"/>
    <n v="180"/>
    <m/>
    <n v="180"/>
    <n v="284.5"/>
    <m/>
    <m/>
    <n v="1"/>
    <n v="284.5"/>
    <n v="29.7"/>
    <n v="5346"/>
    <n v="8449.65"/>
    <n v="1.5805555555555555"/>
    <n v="496097"/>
    <n v="48903"/>
    <n v="42280.98"/>
    <n v="122365.88"/>
    <n v="122365.88"/>
    <m/>
    <m/>
    <n v="404454.78"/>
    <n v="276742.90000000002"/>
    <n v="449839.41000000003"/>
    <n v="0.1847"/>
    <n v="0.18210000000000001"/>
    <n v="0.17847027899785717"/>
    <m/>
    <s v="Finished"/>
    <n v="100"/>
    <n v="0.05"/>
    <n v="0.05"/>
    <n v="9"/>
    <s v="Finished"/>
    <n v="100"/>
    <n v="0.05"/>
    <n v="0.05"/>
    <n v="9"/>
    <m/>
    <m/>
    <s v="Finished"/>
    <n v="100"/>
    <n v="0.01"/>
    <n v="0.01"/>
    <n v="1.8"/>
    <m/>
    <m/>
    <s v="Finished"/>
    <n v="100"/>
    <n v="0.01"/>
    <n v="0.01"/>
    <n v="1.8"/>
    <s v="Finished"/>
    <n v="100"/>
    <n v="0.08"/>
    <n v="0.08"/>
    <n v="14.4"/>
    <s v="Finished"/>
    <n v="100"/>
    <n v="0.18"/>
    <n v="0.18"/>
    <n v="32.4"/>
    <s v="Finished"/>
    <n v="100"/>
    <n v="0.28000000000000003"/>
    <n v="0.28000000000000003"/>
    <n v="50.400000000000006"/>
    <s v="Finished"/>
    <n v="100"/>
    <n v="0.15"/>
    <n v="0.15"/>
    <n v="27"/>
    <s v="Finished"/>
    <n v="100"/>
    <n v="0.16"/>
    <n v="0.16"/>
    <n v="28.8"/>
    <s v="Finished"/>
    <n v="100"/>
    <n v="0.13"/>
    <n v="0.13"/>
    <n v="23.400000000000002"/>
    <s v="Finished"/>
    <n v="100"/>
    <n v="0.01"/>
    <n v="0.01"/>
    <n v="1.8"/>
    <n v="1"/>
    <n v="0.54"/>
    <n v="0.54"/>
    <n v="97.2"/>
    <n v="97.2"/>
    <n v="0"/>
    <s v="Finished"/>
    <n v="100"/>
    <n v="0.02"/>
    <n v="0.02"/>
    <n v="3.6"/>
    <m/>
    <m/>
    <s v="Finished"/>
    <n v="100"/>
    <n v="0.01"/>
    <n v="0.01"/>
    <n v="1.8"/>
    <m/>
    <m/>
    <s v="Finished"/>
    <n v="100"/>
    <n v="0.03"/>
    <n v="0.03"/>
    <n v="5.3999999999999995"/>
    <s v="Finished"/>
    <n v="100"/>
    <n v="7.0000000000000007E-2"/>
    <n v="7.0000000000000007E-2"/>
    <n v="12.600000000000001"/>
    <m/>
    <m/>
    <s v="Finished"/>
    <n v="100"/>
    <n v="0.04"/>
    <n v="0.04"/>
    <n v="7.2"/>
    <m/>
    <m/>
    <s v="Finished"/>
    <n v="100"/>
    <n v="0.05"/>
    <n v="0.05"/>
    <n v="9"/>
    <m/>
    <m/>
    <s v="Finished"/>
    <n v="100"/>
    <n v="0.1"/>
    <n v="0.1"/>
    <n v="18"/>
    <m/>
    <m/>
    <s v="Finished"/>
    <n v="100"/>
    <n v="0.03"/>
    <n v="0.03"/>
    <n v="5.3999999999999995"/>
    <n v="0"/>
    <s v="ADRIAN CABELLO"/>
    <x v="0"/>
    <m/>
  </r>
  <r>
    <s v="MI"/>
    <x v="1"/>
    <s v="REHAU"/>
    <s v="Punch and weld machine"/>
    <s v="Sonic P&amp;W MX5a Front Grille"/>
    <x v="1"/>
    <x v="1"/>
    <n v="70"/>
    <m/>
    <n v="70"/>
    <n v="68"/>
    <m/>
    <m/>
    <n v="0.97000000000000008"/>
    <n v="68"/>
    <n v="33.43"/>
    <n v="2340.1"/>
    <n v="2273.2399999999998"/>
    <n v="0.97142857142857142"/>
    <n v="254842"/>
    <m/>
    <m/>
    <n v="28587.58"/>
    <n v="28587.58"/>
    <m/>
    <m/>
    <n v="207598.51"/>
    <n v="176670.83"/>
    <n v="207531.64999999997"/>
    <n v="0.18540000000000001"/>
    <n v="0.18540000000000001"/>
    <n v="0.18564581191483365"/>
    <d v="2025-12-18T00:00:00"/>
    <s v="Finished"/>
    <n v="100"/>
    <n v="0.05"/>
    <n v="0.05"/>
    <n v="3.5"/>
    <s v="Finished"/>
    <n v="100"/>
    <n v="0.05"/>
    <n v="0.05"/>
    <n v="3.5"/>
    <d v="2026-01-12T00:00:00"/>
    <d v="2026-01-12T00:00:00"/>
    <s v="Finished"/>
    <n v="100"/>
    <n v="0.01"/>
    <n v="0.01"/>
    <n v="0.70000000000000007"/>
    <d v="2026-01-26T00:00:00"/>
    <d v="2026-01-29T00:00:00"/>
    <s v="Finished"/>
    <n v="100"/>
    <n v="0.01"/>
    <n v="0.01"/>
    <n v="0.70000000000000007"/>
    <s v="Finished"/>
    <n v="100"/>
    <n v="0.08"/>
    <n v="0.08"/>
    <n v="5.6000000000000005"/>
    <s v="Finished"/>
    <n v="100"/>
    <n v="0.18"/>
    <n v="0.18"/>
    <n v="12.6"/>
    <s v="Finished"/>
    <n v="100"/>
    <n v="0.28000000000000003"/>
    <n v="0.28000000000000003"/>
    <n v="19.600000000000001"/>
    <s v="Finished"/>
    <n v="100"/>
    <n v="0.15"/>
    <n v="0.15"/>
    <n v="10.5"/>
    <s v="Finished"/>
    <n v="100"/>
    <n v="0.16"/>
    <n v="0.16"/>
    <n v="11.200000000000001"/>
    <s v="Finished"/>
    <n v="100"/>
    <n v="0.13"/>
    <n v="0.13"/>
    <n v="9.1"/>
    <s v="Finished"/>
    <n v="100"/>
    <n v="0.01"/>
    <n v="0.01"/>
    <n v="0.70000000000000007"/>
    <n v="1"/>
    <n v="0.54"/>
    <n v="0.54"/>
    <n v="37.800000000000004"/>
    <n v="37.800000000000004"/>
    <n v="0"/>
    <s v="Finished"/>
    <n v="100"/>
    <n v="0.02"/>
    <n v="0.02"/>
    <n v="1.4000000000000001"/>
    <m/>
    <m/>
    <s v="Finished"/>
    <n v="100"/>
    <n v="0.01"/>
    <n v="0.01"/>
    <n v="0.70000000000000007"/>
    <m/>
    <m/>
    <s v="Finished"/>
    <n v="100"/>
    <n v="0.03"/>
    <n v="0.03"/>
    <n v="2.1"/>
    <s v="Finished"/>
    <n v="100"/>
    <n v="7.0000000000000007E-2"/>
    <n v="7.0000000000000007E-2"/>
    <n v="4.9000000000000004"/>
    <m/>
    <m/>
    <s v="Finished"/>
    <n v="100"/>
    <n v="0.04"/>
    <n v="0.04"/>
    <n v="2.8000000000000003"/>
    <m/>
    <m/>
    <s v="Finished"/>
    <n v="100"/>
    <n v="0.05"/>
    <n v="0.05"/>
    <n v="3.5"/>
    <m/>
    <m/>
    <s v="Finished"/>
    <n v="100"/>
    <n v="0.1"/>
    <n v="0.1"/>
    <n v="7"/>
    <m/>
    <m/>
    <s v="Not started"/>
    <n v="0"/>
    <n v="0.03"/>
    <n v="0"/>
    <n v="2.1"/>
    <n v="2.1"/>
    <s v="JUAN ADAME"/>
    <x v="1"/>
    <m/>
  </r>
  <r>
    <s v="MI"/>
    <x v="2"/>
    <s v="BAXTER"/>
    <s v="Long Support Standalone Screw Gun Station"/>
    <s v="Long Support Standalone Screw Gun Station"/>
    <x v="2"/>
    <x v="2"/>
    <n v="40"/>
    <m/>
    <n v="40"/>
    <n v="1"/>
    <m/>
    <m/>
    <n v="0"/>
    <n v="1"/>
    <n v="33.43"/>
    <n v="1337.2"/>
    <n v="33.43"/>
    <n v="2.5000000000000001E-2"/>
    <n v="113384"/>
    <m/>
    <m/>
    <n v="16335"/>
    <n v="16335"/>
    <m/>
    <m/>
    <n v="91575.64"/>
    <n v="73903.44"/>
    <n v="90271.87"/>
    <n v="0.1923"/>
    <m/>
    <n v="0.20383943060749316"/>
    <m/>
    <s v="Not started"/>
    <n v="0"/>
    <m/>
    <n v="0"/>
    <n v="0"/>
    <s v="Not started"/>
    <n v="0"/>
    <n v="0.05"/>
    <n v="0"/>
    <n v="2"/>
    <m/>
    <m/>
    <s v="Not started"/>
    <n v="0"/>
    <n v="0.01"/>
    <n v="0"/>
    <n v="0.4"/>
    <m/>
    <m/>
    <s v="Not started"/>
    <n v="0"/>
    <n v="0.01"/>
    <n v="0"/>
    <n v="0.4"/>
    <s v="Not started"/>
    <n v="0"/>
    <n v="0.08"/>
    <n v="0"/>
    <n v="3.2"/>
    <s v="Not started"/>
    <n v="0"/>
    <n v="0.18"/>
    <n v="0"/>
    <n v="7.1999999999999993"/>
    <s v="Not started"/>
    <n v="0"/>
    <n v="0.28000000000000003"/>
    <n v="0"/>
    <n v="11.200000000000001"/>
    <s v="Not started"/>
    <n v="0"/>
    <n v="0.15"/>
    <n v="0"/>
    <n v="6"/>
    <s v="Not started"/>
    <n v="0"/>
    <n v="0.16"/>
    <n v="0"/>
    <n v="6.4"/>
    <s v="Not started"/>
    <n v="0"/>
    <n v="0.13"/>
    <n v="0"/>
    <n v="5.2"/>
    <s v="Not started"/>
    <n v="0"/>
    <n v="0.01"/>
    <n v="0"/>
    <n v="0.4"/>
    <n v="0"/>
    <n v="0.54"/>
    <n v="0"/>
    <n v="21.6"/>
    <n v="0"/>
    <n v="21.6"/>
    <s v="Not started"/>
    <n v="0"/>
    <n v="0.02"/>
    <n v="0"/>
    <n v="0.8"/>
    <m/>
    <m/>
    <s v="Not started"/>
    <n v="0"/>
    <n v="0.01"/>
    <n v="0"/>
    <n v="0.4"/>
    <m/>
    <m/>
    <s v="Not started"/>
    <n v="0"/>
    <n v="0.03"/>
    <n v="0"/>
    <n v="1.2"/>
    <s v="Not started"/>
    <n v="0"/>
    <n v="7.0000000000000007E-2"/>
    <n v="0"/>
    <n v="2.8000000000000003"/>
    <m/>
    <m/>
    <s v="Not started"/>
    <n v="0"/>
    <n v="0.04"/>
    <n v="0"/>
    <n v="1.6"/>
    <m/>
    <m/>
    <s v="Not started"/>
    <n v="0"/>
    <n v="0.05"/>
    <n v="0"/>
    <n v="2"/>
    <m/>
    <m/>
    <s v="Not started"/>
    <n v="0"/>
    <n v="0.1"/>
    <n v="0"/>
    <n v="4"/>
    <m/>
    <m/>
    <s v="Not started"/>
    <n v="0"/>
    <n v="0.03"/>
    <n v="0"/>
    <n v="1.2"/>
    <n v="38"/>
    <s v="ADRIAN CABELLO"/>
    <x v="2"/>
    <m/>
  </r>
  <r>
    <s v="MI"/>
    <x v="0"/>
    <s v="CEC"/>
    <s v="Station 5 Automation-Part Gripper"/>
    <s v="Toyota TMMAL Station 5 Automation"/>
    <x v="3"/>
    <x v="3"/>
    <n v="24"/>
    <m/>
    <n v="24"/>
    <n v="17"/>
    <m/>
    <m/>
    <n v="0.8984000000000002"/>
    <n v="17"/>
    <n v="33.43"/>
    <n v="802.31999999999994"/>
    <n v="568.30999999999995"/>
    <n v="0.70833333333333337"/>
    <n v="21035.56"/>
    <m/>
    <m/>
    <n v="2096"/>
    <n v="2096"/>
    <m/>
    <m/>
    <n v="17200.62"/>
    <n v="14302.3"/>
    <n v="16966.61"/>
    <n v="0.18229999999999999"/>
    <n v="0.18229999999999999"/>
    <n v="0.19343197899176445"/>
    <d v="2026-01-13T00:00:00"/>
    <s v="Finished"/>
    <n v="100"/>
    <m/>
    <n v="0"/>
    <n v="0"/>
    <s v="Finished"/>
    <n v="100"/>
    <n v="0.05"/>
    <n v="0.05"/>
    <n v="1.2000000000000002"/>
    <m/>
    <m/>
    <s v="Finished"/>
    <n v="100"/>
    <n v="0.01"/>
    <n v="0.01"/>
    <n v="0.24"/>
    <m/>
    <m/>
    <s v="Finished"/>
    <n v="100"/>
    <n v="0.01"/>
    <n v="0.01"/>
    <n v="0.24"/>
    <s v="Finished"/>
    <n v="100"/>
    <n v="0.08"/>
    <n v="0.08"/>
    <n v="1.92"/>
    <s v="Finished"/>
    <n v="100"/>
    <n v="0.18"/>
    <n v="0.18"/>
    <n v="4.32"/>
    <s v="Finished"/>
    <n v="100"/>
    <n v="0.28000000000000003"/>
    <n v="0.28000000000000003"/>
    <n v="6.7200000000000006"/>
    <s v="Finished"/>
    <n v="100"/>
    <n v="0.15"/>
    <n v="0.15"/>
    <n v="3.5999999999999996"/>
    <s v="Almost ready"/>
    <n v="75"/>
    <n v="0.16"/>
    <n v="0.12"/>
    <n v="3.84"/>
    <s v="Finished"/>
    <n v="100"/>
    <n v="0.13"/>
    <n v="0.13"/>
    <n v="3.12"/>
    <s v="Finished"/>
    <n v="100"/>
    <n v="0.01"/>
    <n v="0.01"/>
    <n v="0.24"/>
    <n v="0.96000000000000008"/>
    <n v="0.54"/>
    <n v="0.51840000000000008"/>
    <n v="12.96"/>
    <n v="12.441600000000001"/>
    <n v="0.51839999999999975"/>
    <s v="Finished"/>
    <n v="100"/>
    <n v="0.02"/>
    <n v="0.02"/>
    <n v="0.48"/>
    <m/>
    <m/>
    <s v="Finished"/>
    <n v="100"/>
    <n v="0.01"/>
    <n v="0.01"/>
    <n v="0.24"/>
    <m/>
    <m/>
    <s v="Finished"/>
    <n v="100"/>
    <n v="0.03"/>
    <n v="0.03"/>
    <n v="0.72"/>
    <s v="Finished"/>
    <n v="100"/>
    <n v="7.0000000000000007E-2"/>
    <n v="7.0000000000000007E-2"/>
    <n v="1.6800000000000002"/>
    <m/>
    <m/>
    <s v="Finished"/>
    <n v="100"/>
    <n v="0.04"/>
    <n v="0.04"/>
    <n v="0.96"/>
    <m/>
    <m/>
    <s v="Finished"/>
    <n v="100"/>
    <n v="0.05"/>
    <n v="0.05"/>
    <n v="1.2000000000000002"/>
    <m/>
    <m/>
    <s v="Finished"/>
    <n v="100"/>
    <n v="0.1"/>
    <n v="0.1"/>
    <n v="2.4000000000000004"/>
    <m/>
    <m/>
    <s v="Not started"/>
    <n v="0"/>
    <n v="0.03"/>
    <n v="0"/>
    <n v="0.72"/>
    <n v="0.72"/>
    <s v="ADRIAN CABELLO"/>
    <x v="0"/>
    <m/>
  </r>
  <r>
    <s v="MX"/>
    <x v="1"/>
    <s v="Inteva"/>
    <s v="Robotic Welding Cell"/>
    <s v="Inteva GM L234 Welding Flex Line"/>
    <x v="4"/>
    <x v="4"/>
    <n v="300"/>
    <m/>
    <n v="300"/>
    <n v="544.5"/>
    <m/>
    <m/>
    <n v="1"/>
    <n v="544.5"/>
    <n v="31.45"/>
    <n v="9435"/>
    <n v="17124.524999999998"/>
    <n v="1.8149999999999999"/>
    <n v="1377200"/>
    <n v="83640"/>
    <n v="68146.28"/>
    <n v="111874.65"/>
    <n v="111874.65"/>
    <m/>
    <m/>
    <n v="1135731.1200000001"/>
    <n v="1014421.4700000001"/>
    <n v="1211566.925"/>
    <n v="0.17530000000000001"/>
    <n v="0.17560000000000001"/>
    <n v="0.16974974949172233"/>
    <m/>
    <s v="Finished"/>
    <n v="100"/>
    <n v="0.05"/>
    <n v="0.05"/>
    <n v="15"/>
    <s v="Finished"/>
    <n v="100"/>
    <n v="0.05"/>
    <n v="0.05"/>
    <n v="15"/>
    <m/>
    <m/>
    <s v="Finished"/>
    <n v="100"/>
    <n v="0.01"/>
    <n v="0.01"/>
    <n v="3"/>
    <m/>
    <m/>
    <s v="Finished"/>
    <n v="100"/>
    <n v="0.01"/>
    <n v="0.01"/>
    <n v="3"/>
    <s v="Finished"/>
    <n v="100"/>
    <n v="0.08"/>
    <n v="0.08"/>
    <n v="24"/>
    <s v="Finished"/>
    <n v="100"/>
    <n v="0.18"/>
    <n v="0.18"/>
    <n v="54"/>
    <s v="Finished"/>
    <n v="100"/>
    <n v="0.28000000000000003"/>
    <n v="0.28000000000000003"/>
    <n v="84.000000000000014"/>
    <s v="Finished"/>
    <n v="100"/>
    <n v="0.15"/>
    <n v="0.15"/>
    <n v="45"/>
    <s v="Finished"/>
    <n v="100"/>
    <n v="0.16"/>
    <n v="0.16"/>
    <n v="48"/>
    <s v="Finished"/>
    <n v="100"/>
    <n v="0.13"/>
    <n v="0.13"/>
    <n v="39"/>
    <s v="Finished"/>
    <n v="100"/>
    <n v="0.01"/>
    <n v="0.01"/>
    <n v="3"/>
    <n v="1"/>
    <n v="0.54"/>
    <n v="0.54"/>
    <n v="162"/>
    <n v="162"/>
    <n v="0"/>
    <s v="Finished"/>
    <n v="100"/>
    <n v="0.02"/>
    <n v="0.02"/>
    <n v="6"/>
    <m/>
    <m/>
    <s v="Finished"/>
    <n v="100"/>
    <n v="0.01"/>
    <n v="0.01"/>
    <n v="3"/>
    <m/>
    <m/>
    <s v="Finished"/>
    <n v="100"/>
    <n v="0.03"/>
    <n v="0.03"/>
    <n v="9"/>
    <s v="Finished"/>
    <n v="100"/>
    <n v="7.0000000000000007E-2"/>
    <n v="7.0000000000000007E-2"/>
    <n v="21.000000000000004"/>
    <m/>
    <m/>
    <s v="Finished"/>
    <n v="100"/>
    <n v="0.04"/>
    <n v="0.04"/>
    <n v="12"/>
    <m/>
    <m/>
    <s v="Finished"/>
    <n v="100"/>
    <n v="0.05"/>
    <n v="0.05"/>
    <n v="15"/>
    <m/>
    <m/>
    <s v="Finished"/>
    <n v="100"/>
    <n v="0.1"/>
    <n v="0.1"/>
    <n v="30"/>
    <m/>
    <m/>
    <s v="Finished"/>
    <n v="100"/>
    <n v="0.03"/>
    <n v="0.03"/>
    <n v="9"/>
    <n v="0"/>
    <s v="ADRIAN CABELLO"/>
    <x v="0"/>
    <m/>
  </r>
  <r>
    <s v="MX"/>
    <x v="1"/>
    <s v="Inteva"/>
    <s v="Rework Station"/>
    <s v="Inteva GM L234 Welding Flex Line"/>
    <x v="4"/>
    <x v="5"/>
    <n v="30"/>
    <m/>
    <n v="30"/>
    <n v="31.5"/>
    <m/>
    <m/>
    <n v="1"/>
    <n v="31.5"/>
    <n v="31.45"/>
    <n v="943.5"/>
    <n v="990.67499999999995"/>
    <n v="1.05"/>
    <n v="70125"/>
    <n v="83640"/>
    <n v="68146.28"/>
    <n v="25830.639999999999"/>
    <n v="25830.639999999999"/>
    <m/>
    <m/>
    <n v="59000.45"/>
    <n v="32226.309999999998"/>
    <n v="127193.905"/>
    <n v="0.15859999999999999"/>
    <n v="0.17560000000000001"/>
    <n v="0.15796613190730838"/>
    <m/>
    <s v="Finished"/>
    <n v="100"/>
    <n v="0.05"/>
    <n v="0.05"/>
    <n v="1.5"/>
    <s v="Finished"/>
    <n v="100"/>
    <n v="0.05"/>
    <n v="0.05"/>
    <n v="1.5"/>
    <m/>
    <m/>
    <s v="Finished"/>
    <n v="100"/>
    <n v="0.01"/>
    <n v="0.01"/>
    <n v="0.3"/>
    <m/>
    <m/>
    <s v="Finished"/>
    <n v="100"/>
    <n v="0.01"/>
    <n v="0.01"/>
    <n v="0.3"/>
    <s v="Finished"/>
    <n v="100"/>
    <n v="0.08"/>
    <n v="0.08"/>
    <n v="2.4"/>
    <s v="Finished"/>
    <n v="100"/>
    <n v="0.18"/>
    <n v="0.18"/>
    <n v="5.3999999999999995"/>
    <s v="Finished"/>
    <n v="100"/>
    <n v="0.28000000000000003"/>
    <n v="0.28000000000000003"/>
    <n v="8.4"/>
    <s v="Finished"/>
    <n v="100"/>
    <n v="0.15"/>
    <n v="0.15"/>
    <n v="4.5"/>
    <s v="Finished"/>
    <n v="100"/>
    <n v="0.16"/>
    <n v="0.16"/>
    <n v="4.8"/>
    <s v="Finished"/>
    <n v="100"/>
    <n v="0.13"/>
    <n v="0.13"/>
    <n v="3.9000000000000004"/>
    <s v="Finished"/>
    <n v="100"/>
    <n v="0.01"/>
    <n v="0.01"/>
    <n v="0.3"/>
    <n v="1"/>
    <n v="0.54"/>
    <n v="0.54"/>
    <n v="16.200000000000003"/>
    <n v="16.200000000000003"/>
    <n v="0"/>
    <s v="Finished"/>
    <n v="100"/>
    <n v="0.02"/>
    <n v="0.02"/>
    <n v="0.6"/>
    <m/>
    <m/>
    <s v="Finished"/>
    <n v="100"/>
    <n v="0.01"/>
    <n v="0.01"/>
    <n v="0.3"/>
    <m/>
    <m/>
    <s v="Finished"/>
    <n v="100"/>
    <n v="0.03"/>
    <n v="0.03"/>
    <n v="0.89999999999999991"/>
    <s v="Finished"/>
    <n v="100"/>
    <n v="7.0000000000000007E-2"/>
    <n v="7.0000000000000007E-2"/>
    <n v="2.1"/>
    <m/>
    <m/>
    <s v="Finished"/>
    <n v="100"/>
    <n v="0.04"/>
    <n v="0.04"/>
    <n v="1.2"/>
    <m/>
    <m/>
    <s v="Finished"/>
    <n v="100"/>
    <n v="0.05"/>
    <n v="0.05"/>
    <n v="1.5"/>
    <m/>
    <m/>
    <s v="Finished"/>
    <n v="100"/>
    <n v="0.1"/>
    <n v="0.1"/>
    <n v="3"/>
    <m/>
    <m/>
    <s v="Finished"/>
    <n v="100"/>
    <n v="0.03"/>
    <n v="0.03"/>
    <n v="0.89999999999999991"/>
    <n v="0"/>
    <s v="ADRIAN CABELLO"/>
    <x v="0"/>
    <m/>
  </r>
  <r>
    <s v="MX"/>
    <x v="0"/>
    <s v="OP Mobility"/>
    <s v="Rocker Panel Assembly Station LH - H50"/>
    <m/>
    <x v="5"/>
    <x v="6"/>
    <n v="104"/>
    <m/>
    <n v="104"/>
    <n v="173"/>
    <m/>
    <m/>
    <n v="1"/>
    <n v="173"/>
    <n v="31.45"/>
    <n v="3270.7999999999997"/>
    <n v="5440.8499999999995"/>
    <n v="1.6634615384615385"/>
    <n v="452146"/>
    <n v="37083.33"/>
    <n v="29631.85"/>
    <n v="114791.78"/>
    <n v="114791.78"/>
    <m/>
    <m/>
    <n v="362409.1"/>
    <n v="244346.52"/>
    <n v="394210.99999999994"/>
    <n v="0.19850000000000001"/>
    <n v="0.19850000000000001"/>
    <n v="0.19366941209255426"/>
    <m/>
    <s v="Finished"/>
    <n v="100"/>
    <n v="0.05"/>
    <n v="0.05"/>
    <n v="5.2"/>
    <s v="Finished"/>
    <n v="100"/>
    <n v="0.05"/>
    <n v="0.05"/>
    <n v="5.2"/>
    <m/>
    <m/>
    <s v="Finished"/>
    <n v="100"/>
    <n v="0.01"/>
    <n v="0.01"/>
    <n v="1.04"/>
    <m/>
    <m/>
    <s v="Finished"/>
    <n v="100"/>
    <n v="0.01"/>
    <n v="0.01"/>
    <n v="1.04"/>
    <s v="Finished"/>
    <n v="100"/>
    <n v="0.08"/>
    <n v="0.08"/>
    <n v="8.32"/>
    <s v="Finished"/>
    <n v="100"/>
    <n v="0.18"/>
    <n v="0.18"/>
    <n v="18.72"/>
    <s v="Finished"/>
    <n v="100"/>
    <n v="0.28000000000000003"/>
    <n v="0.28000000000000003"/>
    <n v="29.120000000000005"/>
    <s v="Finished"/>
    <n v="100"/>
    <n v="0.15"/>
    <n v="0.15"/>
    <n v="15.6"/>
    <s v="Finished"/>
    <n v="100"/>
    <n v="0.16"/>
    <n v="0.16"/>
    <n v="16.64"/>
    <s v="Finished"/>
    <n v="100"/>
    <n v="0.13"/>
    <n v="0.13"/>
    <n v="13.52"/>
    <s v="Finished"/>
    <n v="100"/>
    <n v="0.01"/>
    <n v="0.01"/>
    <n v="1.04"/>
    <n v="1"/>
    <n v="0.54"/>
    <n v="0.54"/>
    <n v="56.160000000000004"/>
    <n v="56.160000000000004"/>
    <n v="0"/>
    <s v="Finished"/>
    <n v="100"/>
    <n v="0.02"/>
    <n v="0.02"/>
    <n v="2.08"/>
    <m/>
    <m/>
    <s v="Finished"/>
    <n v="100"/>
    <n v="0.01"/>
    <n v="0.01"/>
    <n v="1.04"/>
    <m/>
    <m/>
    <s v="Finished"/>
    <n v="100"/>
    <n v="0.03"/>
    <n v="0.03"/>
    <n v="3.12"/>
    <s v="Finished"/>
    <n v="100"/>
    <n v="7.0000000000000007E-2"/>
    <n v="7.0000000000000007E-2"/>
    <n v="7.2800000000000011"/>
    <m/>
    <m/>
    <s v="Finished"/>
    <n v="100"/>
    <n v="0.04"/>
    <n v="0.04"/>
    <n v="4.16"/>
    <m/>
    <m/>
    <s v="Finished"/>
    <n v="100"/>
    <n v="0.05"/>
    <n v="0.05"/>
    <n v="5.2"/>
    <m/>
    <m/>
    <s v="Finished"/>
    <n v="100"/>
    <n v="0.1"/>
    <n v="0.1"/>
    <n v="10.4"/>
    <m/>
    <m/>
    <s v="Finished"/>
    <n v="100"/>
    <n v="0.03"/>
    <n v="0.03"/>
    <n v="3.12"/>
    <n v="0"/>
    <s v="ADRIAN CABELLO"/>
    <x v="0"/>
    <m/>
  </r>
  <r>
    <s v="MX"/>
    <x v="0"/>
    <s v="OP Mobility"/>
    <s v="Rocker Panel Assembly Station RH - H50"/>
    <m/>
    <x v="5"/>
    <x v="7"/>
    <n v="103"/>
    <m/>
    <n v="103"/>
    <n v="183"/>
    <m/>
    <m/>
    <n v="1"/>
    <n v="183"/>
    <n v="31.45"/>
    <n v="3239.35"/>
    <n v="5755.3499999999995"/>
    <n v="1.7766990291262137"/>
    <n v="452146"/>
    <n v="37083.33"/>
    <n v="29631.85"/>
    <n v="114791.78"/>
    <n v="114791.78"/>
    <m/>
    <m/>
    <n v="362409.1"/>
    <n v="244377.96999999997"/>
    <n v="394556.94999999995"/>
    <n v="0.19850000000000001"/>
    <n v="0.19850000000000001"/>
    <n v="0.19290428312978555"/>
    <m/>
    <s v="Finished"/>
    <n v="100"/>
    <n v="0.05"/>
    <n v="0.05"/>
    <n v="5.15"/>
    <s v="Finished"/>
    <n v="100"/>
    <n v="0.05"/>
    <n v="0.05"/>
    <n v="5.15"/>
    <m/>
    <m/>
    <s v="Finished"/>
    <n v="100"/>
    <n v="0.01"/>
    <n v="0.01"/>
    <n v="1.03"/>
    <m/>
    <m/>
    <s v="Finished"/>
    <n v="100"/>
    <n v="0.01"/>
    <n v="0.01"/>
    <n v="1.03"/>
    <s v="Finished"/>
    <n v="100"/>
    <n v="0.08"/>
    <n v="0.08"/>
    <n v="8.24"/>
    <s v="Finished"/>
    <n v="100"/>
    <n v="0.18"/>
    <n v="0.18"/>
    <n v="18.54"/>
    <s v="Finished"/>
    <n v="100"/>
    <n v="0.28000000000000003"/>
    <n v="0.28000000000000003"/>
    <n v="28.840000000000003"/>
    <s v="Finished"/>
    <n v="100"/>
    <n v="0.15"/>
    <n v="0.15"/>
    <n v="15.45"/>
    <s v="Finished"/>
    <n v="100"/>
    <n v="0.16"/>
    <n v="0.16"/>
    <n v="16.48"/>
    <s v="Finished"/>
    <n v="100"/>
    <n v="0.13"/>
    <n v="0.13"/>
    <n v="13.39"/>
    <s v="Finished"/>
    <n v="100"/>
    <n v="0.01"/>
    <n v="0.01"/>
    <n v="1.03"/>
    <n v="1"/>
    <n v="0.54"/>
    <n v="0.54"/>
    <n v="55.620000000000005"/>
    <n v="55.620000000000005"/>
    <n v="0"/>
    <s v="Finished"/>
    <n v="100"/>
    <n v="0.02"/>
    <n v="0.02"/>
    <n v="2.06"/>
    <m/>
    <m/>
    <s v="Finished"/>
    <n v="100"/>
    <n v="0.01"/>
    <n v="0.01"/>
    <n v="1.03"/>
    <m/>
    <m/>
    <s v="Finished"/>
    <n v="100"/>
    <n v="0.03"/>
    <n v="0.03"/>
    <n v="3.09"/>
    <s v="Finished"/>
    <n v="100"/>
    <n v="7.0000000000000007E-2"/>
    <n v="7.0000000000000007E-2"/>
    <n v="7.2100000000000009"/>
    <m/>
    <m/>
    <s v="Finished"/>
    <n v="100"/>
    <n v="0.04"/>
    <n v="0.04"/>
    <n v="4.12"/>
    <m/>
    <m/>
    <s v="Finished"/>
    <n v="100"/>
    <n v="0.05"/>
    <n v="0.05"/>
    <n v="5.15"/>
    <m/>
    <m/>
    <s v="Finished"/>
    <n v="100"/>
    <n v="0.1"/>
    <n v="0.1"/>
    <n v="10.3"/>
    <m/>
    <m/>
    <s v="Finished"/>
    <n v="100"/>
    <n v="0.03"/>
    <n v="0.03"/>
    <n v="3.09"/>
    <n v="0"/>
    <s v="ADRIAN CABELLO"/>
    <x v="0"/>
    <m/>
  </r>
  <r>
    <s v="MX"/>
    <x v="0"/>
    <s v="OP Mobility"/>
    <s v="Brackets Assembly Station - H50"/>
    <m/>
    <x v="5"/>
    <x v="8"/>
    <n v="123"/>
    <m/>
    <n v="123"/>
    <n v="206"/>
    <m/>
    <m/>
    <n v="1"/>
    <n v="206"/>
    <n v="31.45"/>
    <n v="3868.35"/>
    <n v="6478.7"/>
    <n v="1.6747967479674797"/>
    <n v="653494"/>
    <n v="37083.33"/>
    <n v="29631.85"/>
    <n v="101212.59"/>
    <n v="101212.59"/>
    <m/>
    <m/>
    <n v="523795.55"/>
    <n v="418714.61"/>
    <n v="556037.74999999988"/>
    <n v="0.19850000000000001"/>
    <n v="0.19850000000000001"/>
    <n v="0.19447477712113667"/>
    <m/>
    <s v="Finished"/>
    <n v="100"/>
    <n v="0.05"/>
    <n v="0.05"/>
    <n v="6.15"/>
    <s v="Finished"/>
    <n v="100"/>
    <n v="0.05"/>
    <n v="0.05"/>
    <n v="6.15"/>
    <m/>
    <m/>
    <s v="Finished"/>
    <n v="100"/>
    <n v="0.01"/>
    <n v="0.01"/>
    <n v="1.23"/>
    <m/>
    <m/>
    <s v="Finished"/>
    <n v="100"/>
    <n v="0.01"/>
    <n v="0.01"/>
    <n v="1.23"/>
    <s v="Finished"/>
    <n v="100"/>
    <n v="0.08"/>
    <n v="0.08"/>
    <n v="9.84"/>
    <s v="Finished"/>
    <n v="100"/>
    <n v="0.18"/>
    <n v="0.18"/>
    <n v="22.14"/>
    <s v="Finished"/>
    <n v="100"/>
    <n v="0.28000000000000003"/>
    <n v="0.28000000000000003"/>
    <n v="34.440000000000005"/>
    <s v="Finished"/>
    <n v="100"/>
    <n v="0.15"/>
    <n v="0.15"/>
    <n v="18.45"/>
    <s v="Finished"/>
    <n v="100"/>
    <n v="0.16"/>
    <n v="0.16"/>
    <n v="19.68"/>
    <s v="Finished"/>
    <n v="100"/>
    <n v="0.13"/>
    <n v="0.13"/>
    <n v="15.99"/>
    <s v="Finished"/>
    <n v="100"/>
    <n v="0.01"/>
    <n v="0.01"/>
    <n v="1.23"/>
    <n v="1"/>
    <n v="0.54"/>
    <n v="0.54"/>
    <n v="66.42"/>
    <n v="66.42"/>
    <n v="0"/>
    <s v="Finished"/>
    <n v="100"/>
    <n v="0.02"/>
    <n v="0.02"/>
    <n v="2.46"/>
    <m/>
    <m/>
    <s v="Finished"/>
    <n v="100"/>
    <n v="0.01"/>
    <n v="0.01"/>
    <n v="1.23"/>
    <m/>
    <m/>
    <s v="Finished"/>
    <n v="100"/>
    <n v="0.03"/>
    <n v="0.03"/>
    <n v="3.69"/>
    <s v="Finished"/>
    <n v="100"/>
    <n v="7.0000000000000007E-2"/>
    <n v="7.0000000000000007E-2"/>
    <n v="8.6100000000000012"/>
    <m/>
    <m/>
    <s v="Finished"/>
    <n v="100"/>
    <n v="0.04"/>
    <n v="0.04"/>
    <n v="4.92"/>
    <m/>
    <m/>
    <s v="Finished"/>
    <n v="100"/>
    <n v="0.05"/>
    <n v="0.05"/>
    <n v="6.15"/>
    <m/>
    <m/>
    <s v="Finished"/>
    <n v="100"/>
    <n v="0.1"/>
    <n v="0.1"/>
    <n v="12.3"/>
    <m/>
    <m/>
    <s v="Finished"/>
    <n v="100"/>
    <n v="0.03"/>
    <n v="0.03"/>
    <n v="3.69"/>
    <n v="0"/>
    <s v="ADRIAN CABELLO"/>
    <x v="0"/>
    <m/>
  </r>
  <r>
    <s v="MX"/>
    <x v="2"/>
    <s v="OP Mobility"/>
    <s v="CO06 - Scan to Pack"/>
    <s v="G65 &amp; G67 Scan to Pack"/>
    <x v="6"/>
    <x v="9"/>
    <n v="20"/>
    <m/>
    <n v="20"/>
    <n v="0"/>
    <m/>
    <m/>
    <n v="0"/>
    <n v="0"/>
    <n v="26.73"/>
    <n v="534.6"/>
    <n v="0"/>
    <n v="0"/>
    <n v="111000"/>
    <m/>
    <m/>
    <n v="30648"/>
    <n v="30648"/>
    <m/>
    <m/>
    <n v="86785.5"/>
    <n v="55602.9"/>
    <n v="86250.9"/>
    <n v="0.21809999999999999"/>
    <m/>
    <n v="0.22296486486486491"/>
    <m/>
    <s v="Not started"/>
    <n v="0"/>
    <m/>
    <n v="0"/>
    <n v="0"/>
    <s v="Not started"/>
    <n v="0"/>
    <n v="0.05"/>
    <n v="0"/>
    <n v="1"/>
    <m/>
    <m/>
    <s v="Not started"/>
    <n v="0"/>
    <n v="0.01"/>
    <n v="0"/>
    <n v="0.2"/>
    <m/>
    <m/>
    <s v="Not started"/>
    <n v="0"/>
    <n v="0.01"/>
    <n v="0"/>
    <n v="0.2"/>
    <s v="Not started"/>
    <n v="0"/>
    <n v="0.08"/>
    <n v="0"/>
    <n v="1.6"/>
    <s v="Not started"/>
    <n v="0"/>
    <n v="0.18"/>
    <n v="0"/>
    <n v="3.5999999999999996"/>
    <s v="Not started"/>
    <n v="0"/>
    <n v="0.28000000000000003"/>
    <n v="0"/>
    <n v="5.6000000000000005"/>
    <s v="Not started"/>
    <n v="0"/>
    <n v="0.15"/>
    <n v="0"/>
    <n v="3"/>
    <s v="Not started"/>
    <n v="0"/>
    <n v="0.16"/>
    <n v="0"/>
    <n v="3.2"/>
    <s v="Not started"/>
    <n v="0"/>
    <n v="0.13"/>
    <n v="0"/>
    <n v="2.6"/>
    <s v="Not started"/>
    <n v="0"/>
    <n v="0.01"/>
    <n v="0"/>
    <n v="0.2"/>
    <n v="0"/>
    <n v="0.54"/>
    <n v="0"/>
    <n v="10.8"/>
    <n v="0"/>
    <n v="10.8"/>
    <s v="Not started"/>
    <n v="0"/>
    <n v="0.02"/>
    <n v="0"/>
    <n v="0.4"/>
    <m/>
    <m/>
    <s v="Not started"/>
    <n v="0"/>
    <n v="0.01"/>
    <n v="0"/>
    <n v="0.2"/>
    <m/>
    <m/>
    <s v="Not started"/>
    <n v="0"/>
    <n v="0.03"/>
    <n v="0"/>
    <n v="0.6"/>
    <s v="Not started"/>
    <n v="0"/>
    <n v="7.0000000000000007E-2"/>
    <n v="0"/>
    <n v="1.4000000000000001"/>
    <m/>
    <m/>
    <s v="Not started"/>
    <n v="0"/>
    <n v="0.04"/>
    <n v="0"/>
    <n v="0.8"/>
    <m/>
    <m/>
    <s v="Not started"/>
    <n v="0"/>
    <n v="0.05"/>
    <n v="0"/>
    <n v="1"/>
    <m/>
    <m/>
    <s v="Not started"/>
    <n v="0"/>
    <n v="0.1"/>
    <n v="0"/>
    <n v="2"/>
    <m/>
    <m/>
    <s v="Not started"/>
    <n v="0"/>
    <n v="0.03"/>
    <n v="0"/>
    <n v="0.6"/>
    <n v="19"/>
    <m/>
    <x v="3"/>
    <m/>
  </r>
  <r>
    <s v="MX"/>
    <x v="1"/>
    <s v="OP Mobility"/>
    <s v="Rocker Panel Assembly Station LH - H52 "/>
    <s v="BMW Rockers Assembly Stations"/>
    <x v="5"/>
    <x v="10"/>
    <n v="26"/>
    <m/>
    <n v="26"/>
    <n v="48"/>
    <m/>
    <m/>
    <n v="0.96000000000000008"/>
    <n v="48"/>
    <n v="31.45"/>
    <n v="817.69999999999993"/>
    <n v="1509.6"/>
    <n v="1.8461538461538463"/>
    <n v="431200"/>
    <n v="37083.33"/>
    <n v="29631.85"/>
    <n v="114791.78"/>
    <n v="114791.78"/>
    <m/>
    <m/>
    <n v="345620.81"/>
    <n v="230011.33"/>
    <n v="375944.55999999994"/>
    <n v="0.19850000000000001"/>
    <n v="0.19850000000000001"/>
    <n v="0.19686291743970324"/>
    <m/>
    <s v="Finished"/>
    <n v="100"/>
    <n v="0.05"/>
    <n v="0.05"/>
    <n v="1.3"/>
    <s v="Finished"/>
    <n v="100"/>
    <n v="0.05"/>
    <n v="0.05"/>
    <n v="1.3"/>
    <m/>
    <m/>
    <s v="Finished"/>
    <n v="100"/>
    <n v="0.01"/>
    <n v="0.01"/>
    <n v="0.26"/>
    <m/>
    <m/>
    <s v="Finished"/>
    <n v="100"/>
    <n v="0.01"/>
    <n v="0.01"/>
    <n v="0.26"/>
    <s v="Finished"/>
    <n v="100"/>
    <n v="0.08"/>
    <n v="0.08"/>
    <n v="2.08"/>
    <s v="Finished"/>
    <n v="100"/>
    <n v="0.18"/>
    <n v="0.18"/>
    <n v="4.68"/>
    <s v="Finished"/>
    <n v="100"/>
    <n v="0.28000000000000003"/>
    <n v="0.28000000000000003"/>
    <n v="7.2800000000000011"/>
    <s v="Finished"/>
    <n v="100"/>
    <n v="0.15"/>
    <n v="0.15"/>
    <n v="3.9"/>
    <s v="Finished"/>
    <n v="100"/>
    <n v="0.16"/>
    <n v="0.16"/>
    <n v="4.16"/>
    <s v="Finished"/>
    <n v="100"/>
    <n v="0.13"/>
    <n v="0.13"/>
    <n v="3.38"/>
    <s v="Finished"/>
    <n v="100"/>
    <n v="0.01"/>
    <n v="0.01"/>
    <n v="0.26"/>
    <n v="1"/>
    <n v="0.54"/>
    <n v="0.54"/>
    <n v="14.040000000000001"/>
    <n v="14.040000000000001"/>
    <n v="0"/>
    <s v="Finished"/>
    <n v="100"/>
    <n v="0.02"/>
    <n v="0.02"/>
    <n v="0.52"/>
    <m/>
    <m/>
    <s v="Finished"/>
    <n v="100"/>
    <n v="0.01"/>
    <n v="0.01"/>
    <n v="0.26"/>
    <m/>
    <m/>
    <s v="Finished"/>
    <n v="100"/>
    <n v="0.03"/>
    <n v="0.03"/>
    <n v="0.78"/>
    <s v="Finished"/>
    <n v="100"/>
    <n v="7.0000000000000007E-2"/>
    <n v="7.0000000000000007E-2"/>
    <n v="1.8200000000000003"/>
    <m/>
    <m/>
    <s v="Finished"/>
    <n v="100"/>
    <n v="0.04"/>
    <n v="0.04"/>
    <n v="1.04"/>
    <m/>
    <m/>
    <s v="In process"/>
    <n v="50"/>
    <n v="0.05"/>
    <n v="2.5000000000000001E-2"/>
    <n v="1.3"/>
    <m/>
    <m/>
    <s v="Finished"/>
    <n v="100"/>
    <n v="0.1"/>
    <n v="0.1"/>
    <n v="2.6"/>
    <m/>
    <m/>
    <s v="In process"/>
    <n v="50"/>
    <n v="0.03"/>
    <n v="1.4999999999999999E-2"/>
    <n v="0.78"/>
    <n v="2.08"/>
    <s v="JUAN ADAME"/>
    <x v="0"/>
    <m/>
  </r>
  <r>
    <s v="MX"/>
    <x v="1"/>
    <s v="OP Mobility"/>
    <s v="Rocker Panel Assembly Station RH - H52"/>
    <s v="BMW Rockers Assembly Stations"/>
    <x v="5"/>
    <x v="11"/>
    <n v="25"/>
    <m/>
    <n v="25"/>
    <n v="43.5"/>
    <m/>
    <m/>
    <n v="0.96000000000000008"/>
    <n v="43.5"/>
    <n v="31.45"/>
    <n v="786.25"/>
    <n v="1368.075"/>
    <n v="1.74"/>
    <n v="431200"/>
    <n v="37083.33"/>
    <n v="29631.85"/>
    <n v="114791.78"/>
    <n v="114791.78"/>
    <m/>
    <m/>
    <n v="345620.81"/>
    <n v="230042.78"/>
    <n v="375834.48499999999"/>
    <n v="0.19850000000000001"/>
    <n v="0.19850000000000001"/>
    <n v="0.1971181934137291"/>
    <m/>
    <s v="Finished"/>
    <n v="100"/>
    <n v="0.05"/>
    <n v="0.05"/>
    <n v="1.25"/>
    <s v="Finished"/>
    <n v="100"/>
    <n v="0.05"/>
    <n v="0.05"/>
    <n v="1.25"/>
    <m/>
    <m/>
    <s v="Finished"/>
    <n v="100"/>
    <n v="0.01"/>
    <n v="0.01"/>
    <n v="0.25"/>
    <m/>
    <m/>
    <s v="Finished"/>
    <n v="100"/>
    <n v="0.01"/>
    <n v="0.01"/>
    <n v="0.25"/>
    <s v="Finished"/>
    <n v="100"/>
    <n v="0.08"/>
    <n v="0.08"/>
    <n v="2"/>
    <s v="Finished"/>
    <n v="100"/>
    <n v="0.18"/>
    <n v="0.18"/>
    <n v="4.5"/>
    <s v="Finished"/>
    <n v="100"/>
    <n v="0.28000000000000003"/>
    <n v="0.28000000000000003"/>
    <n v="7.0000000000000009"/>
    <s v="Finished"/>
    <n v="100"/>
    <n v="0.15"/>
    <n v="0.15"/>
    <n v="3.75"/>
    <s v="Finished"/>
    <n v="100"/>
    <n v="0.16"/>
    <n v="0.16"/>
    <n v="4"/>
    <s v="Finished"/>
    <n v="100"/>
    <n v="0.13"/>
    <n v="0.13"/>
    <n v="3.25"/>
    <s v="Finished"/>
    <n v="100"/>
    <n v="0.01"/>
    <n v="0.01"/>
    <n v="0.25"/>
    <n v="1"/>
    <n v="0.54"/>
    <n v="0.54"/>
    <n v="13.5"/>
    <n v="13.5"/>
    <n v="0"/>
    <s v="Finished"/>
    <n v="100"/>
    <n v="0.02"/>
    <n v="0.02"/>
    <n v="0.5"/>
    <m/>
    <m/>
    <s v="Finished"/>
    <n v="100"/>
    <n v="0.01"/>
    <n v="0.01"/>
    <n v="0.25"/>
    <m/>
    <m/>
    <s v="Finished"/>
    <n v="100"/>
    <n v="0.03"/>
    <n v="0.03"/>
    <n v="0.75"/>
    <s v="Finished"/>
    <n v="100"/>
    <n v="7.0000000000000007E-2"/>
    <n v="7.0000000000000007E-2"/>
    <n v="1.7500000000000002"/>
    <m/>
    <m/>
    <s v="Finished"/>
    <n v="100"/>
    <n v="0.04"/>
    <n v="0.04"/>
    <n v="1"/>
    <m/>
    <m/>
    <s v="In process"/>
    <n v="50"/>
    <n v="0.05"/>
    <n v="2.5000000000000001E-2"/>
    <n v="1.25"/>
    <m/>
    <m/>
    <s v="Finished"/>
    <n v="100"/>
    <n v="0.1"/>
    <n v="0.1"/>
    <n v="2.5"/>
    <m/>
    <m/>
    <s v="In process"/>
    <n v="50"/>
    <n v="0.03"/>
    <n v="1.4999999999999999E-2"/>
    <n v="0.75"/>
    <n v="2"/>
    <s v="JUAN ADAME"/>
    <x v="0"/>
    <m/>
  </r>
  <r>
    <s v="MX"/>
    <x v="1"/>
    <s v="OP Mobility"/>
    <s v="Brackets Assembly Station - H52"/>
    <s v="BMW Rockers Assembly Stations"/>
    <x v="5"/>
    <x v="12"/>
    <n v="30"/>
    <m/>
    <n v="30"/>
    <n v="75"/>
    <m/>
    <m/>
    <n v="0.96000000000000008"/>
    <n v="75"/>
    <n v="31.45"/>
    <n v="943.5"/>
    <n v="2358.75"/>
    <n v="2.5"/>
    <n v="644314"/>
    <n v="37083.33"/>
    <n v="29631.85"/>
    <n v="105847.59"/>
    <n v="105847.59"/>
    <m/>
    <m/>
    <n v="516436.87"/>
    <n v="409645.78"/>
    <n v="547483.97"/>
    <n v="0.19850000000000001"/>
    <n v="0.19850000000000001"/>
    <n v="0.19627368022423849"/>
    <m/>
    <s v="Finished"/>
    <n v="100"/>
    <n v="0.05"/>
    <n v="0.05"/>
    <n v="1.5"/>
    <s v="Finished"/>
    <n v="100"/>
    <n v="0.05"/>
    <n v="0.05"/>
    <n v="1.5"/>
    <m/>
    <m/>
    <s v="Finished"/>
    <n v="100"/>
    <n v="0.01"/>
    <n v="0.01"/>
    <n v="0.3"/>
    <m/>
    <m/>
    <s v="Finished"/>
    <n v="100"/>
    <n v="0.01"/>
    <n v="0.01"/>
    <n v="0.3"/>
    <s v="Finished"/>
    <n v="100"/>
    <n v="0.08"/>
    <n v="0.08"/>
    <n v="2.4"/>
    <s v="Finished"/>
    <n v="100"/>
    <n v="0.18"/>
    <n v="0.18"/>
    <n v="5.3999999999999995"/>
    <s v="Finished"/>
    <n v="100"/>
    <n v="0.28000000000000003"/>
    <n v="0.28000000000000003"/>
    <n v="8.4"/>
    <s v="Finished"/>
    <n v="100"/>
    <n v="0.15"/>
    <n v="0.15"/>
    <n v="4.5"/>
    <s v="Finished"/>
    <n v="100"/>
    <n v="0.16"/>
    <n v="0.16"/>
    <n v="4.8"/>
    <s v="Finished"/>
    <n v="100"/>
    <n v="0.13"/>
    <n v="0.13"/>
    <n v="3.9000000000000004"/>
    <s v="Finished"/>
    <n v="100"/>
    <n v="0.01"/>
    <n v="0.01"/>
    <n v="0.3"/>
    <n v="1"/>
    <n v="0.54"/>
    <n v="0.54"/>
    <n v="16.200000000000003"/>
    <n v="16.200000000000003"/>
    <n v="0"/>
    <s v="Finished"/>
    <n v="100"/>
    <n v="0.02"/>
    <n v="0.02"/>
    <n v="0.6"/>
    <m/>
    <m/>
    <s v="Finished"/>
    <n v="100"/>
    <n v="0.01"/>
    <n v="0.01"/>
    <n v="0.3"/>
    <m/>
    <m/>
    <s v="Finished"/>
    <n v="100"/>
    <n v="0.03"/>
    <n v="0.03"/>
    <n v="0.89999999999999991"/>
    <s v="Finished"/>
    <n v="100"/>
    <n v="7.0000000000000007E-2"/>
    <n v="7.0000000000000007E-2"/>
    <n v="2.1"/>
    <m/>
    <m/>
    <s v="Finished"/>
    <n v="100"/>
    <n v="0.04"/>
    <n v="0.04"/>
    <n v="1.2"/>
    <m/>
    <m/>
    <s v="In process"/>
    <n v="50"/>
    <n v="0.05"/>
    <n v="2.5000000000000001E-2"/>
    <n v="1.5"/>
    <m/>
    <m/>
    <s v="Finished"/>
    <n v="100"/>
    <n v="0.1"/>
    <n v="0.1"/>
    <n v="3"/>
    <m/>
    <m/>
    <s v="In process"/>
    <n v="50"/>
    <n v="0.03"/>
    <n v="1.4999999999999999E-2"/>
    <n v="0.89999999999999991"/>
    <n v="2.4"/>
    <s v="JUAN ADAME"/>
    <x v="2"/>
    <m/>
  </r>
  <r>
    <s v="MX"/>
    <x v="0"/>
    <s v="Continental"/>
    <s v="ID917 Automatic Screw Driving Station KW &amp; PB"/>
    <m/>
    <x v="7"/>
    <x v="13"/>
    <n v="50"/>
    <m/>
    <n v="50"/>
    <n v="69.5"/>
    <m/>
    <m/>
    <n v="1"/>
    <n v="69.5"/>
    <n v="29.7"/>
    <n v="1485"/>
    <n v="2064.15"/>
    <n v="1.39"/>
    <n v="297389"/>
    <n v="3698"/>
    <n v="3147.18"/>
    <n v="51744.74"/>
    <n v="51744.74"/>
    <m/>
    <m/>
    <n v="245730.98"/>
    <n v="192501.24000000002"/>
    <n v="249457.31"/>
    <n v="0.16739999999999999"/>
    <n v="0.18110000000000001"/>
    <n v="0.17175776508209784"/>
    <m/>
    <s v="Finished"/>
    <n v="100"/>
    <n v="0.05"/>
    <n v="0.05"/>
    <n v="2.5"/>
    <s v="Finished"/>
    <n v="100"/>
    <n v="0.05"/>
    <n v="0.05"/>
    <n v="2.5"/>
    <m/>
    <m/>
    <s v="Finished"/>
    <n v="100"/>
    <n v="0.01"/>
    <n v="0.01"/>
    <n v="0.5"/>
    <m/>
    <m/>
    <s v="Finished"/>
    <n v="100"/>
    <n v="0.01"/>
    <n v="0.01"/>
    <n v="0.5"/>
    <s v="Finished"/>
    <n v="100"/>
    <n v="0.08"/>
    <n v="0.08"/>
    <n v="4"/>
    <s v="Finished"/>
    <n v="100"/>
    <n v="0.18"/>
    <n v="0.18"/>
    <n v="9"/>
    <s v="Finished"/>
    <n v="100"/>
    <n v="0.28000000000000003"/>
    <n v="0.28000000000000003"/>
    <n v="14.000000000000002"/>
    <s v="Finished"/>
    <n v="100"/>
    <n v="0.15"/>
    <n v="0.15"/>
    <n v="7.5"/>
    <s v="Finished"/>
    <n v="100"/>
    <n v="0.16"/>
    <n v="0.16"/>
    <n v="8"/>
    <s v="Finished"/>
    <n v="100"/>
    <n v="0.13"/>
    <n v="0.13"/>
    <n v="6.5"/>
    <s v="Finished"/>
    <n v="100"/>
    <n v="0.01"/>
    <n v="0.01"/>
    <n v="0.5"/>
    <n v="1"/>
    <n v="0.54"/>
    <n v="0.54"/>
    <n v="27"/>
    <n v="27"/>
    <n v="0"/>
    <s v="Finished"/>
    <n v="100"/>
    <n v="0.02"/>
    <n v="0.02"/>
    <n v="1"/>
    <m/>
    <m/>
    <s v="Finished"/>
    <n v="100"/>
    <n v="0.01"/>
    <n v="0.01"/>
    <n v="0.5"/>
    <m/>
    <m/>
    <s v="Finished"/>
    <n v="100"/>
    <n v="0.03"/>
    <n v="0.03"/>
    <n v="1.5"/>
    <s v="Finished"/>
    <n v="100"/>
    <n v="7.0000000000000007E-2"/>
    <n v="7.0000000000000007E-2"/>
    <n v="3.5000000000000004"/>
    <m/>
    <m/>
    <s v="Finished"/>
    <n v="100"/>
    <n v="0.04"/>
    <n v="0.04"/>
    <n v="2"/>
    <m/>
    <m/>
    <s v="Finished"/>
    <n v="100"/>
    <n v="0.05"/>
    <n v="0.05"/>
    <n v="2.5"/>
    <m/>
    <m/>
    <s v="Finished"/>
    <n v="100"/>
    <n v="0.1"/>
    <n v="0.1"/>
    <n v="5"/>
    <m/>
    <m/>
    <s v="Finished"/>
    <n v="100"/>
    <n v="0.03"/>
    <n v="0.03"/>
    <n v="1.5"/>
    <n v="0"/>
    <s v="ADRIAN CABELLO"/>
    <x v="1"/>
    <m/>
  </r>
  <r>
    <s v="MX"/>
    <x v="0"/>
    <s v="Continental"/>
    <s v="ID925 Automatic Screw Driving Station Silver Box"/>
    <m/>
    <x v="7"/>
    <x v="14"/>
    <n v="50"/>
    <m/>
    <n v="50"/>
    <n v="53.5"/>
    <m/>
    <m/>
    <n v="1"/>
    <n v="53.5"/>
    <n v="29.7"/>
    <n v="1485"/>
    <n v="1588.95"/>
    <n v="1.07"/>
    <n v="286501"/>
    <n v="3698"/>
    <n v="3147.18"/>
    <n v="51744.74"/>
    <n v="51744.74"/>
    <m/>
    <m/>
    <n v="238140.82"/>
    <n v="184911.08000000002"/>
    <n v="241391.95"/>
    <n v="0.16880000000000001"/>
    <n v="0.18110000000000001"/>
    <n v="0.1684330246665805"/>
    <m/>
    <s v="Finished"/>
    <n v="100"/>
    <n v="0.05"/>
    <n v="0.05"/>
    <n v="2.5"/>
    <s v="Finished"/>
    <n v="100"/>
    <n v="0.05"/>
    <n v="0.05"/>
    <n v="2.5"/>
    <m/>
    <m/>
    <s v="Finished"/>
    <n v="100"/>
    <n v="0.01"/>
    <n v="0.01"/>
    <n v="0.5"/>
    <m/>
    <m/>
    <s v="Finished"/>
    <n v="100"/>
    <n v="0.01"/>
    <n v="0.01"/>
    <n v="0.5"/>
    <s v="Finished"/>
    <n v="100"/>
    <n v="0.08"/>
    <n v="0.08"/>
    <n v="4"/>
    <s v="Finished"/>
    <n v="100"/>
    <n v="0.18"/>
    <n v="0.18"/>
    <n v="9"/>
    <s v="Finished"/>
    <n v="100"/>
    <n v="0.28000000000000003"/>
    <n v="0.28000000000000003"/>
    <n v="14.000000000000002"/>
    <s v="Finished"/>
    <n v="100"/>
    <n v="0.15"/>
    <n v="0.15"/>
    <n v="7.5"/>
    <s v="Finished"/>
    <n v="100"/>
    <n v="0.16"/>
    <n v="0.16"/>
    <n v="8"/>
    <s v="Finished"/>
    <n v="100"/>
    <n v="0.13"/>
    <n v="0.13"/>
    <n v="6.5"/>
    <s v="Finished"/>
    <n v="100"/>
    <n v="0.01"/>
    <n v="0.01"/>
    <n v="0.5"/>
    <n v="1"/>
    <n v="0.54"/>
    <n v="0.54"/>
    <n v="27"/>
    <n v="27"/>
    <n v="0"/>
    <s v="Finished"/>
    <n v="100"/>
    <n v="0.02"/>
    <n v="0.02"/>
    <n v="1"/>
    <m/>
    <m/>
    <s v="Finished"/>
    <n v="100"/>
    <n v="0.01"/>
    <n v="0.01"/>
    <n v="0.5"/>
    <m/>
    <m/>
    <s v="Finished"/>
    <n v="100"/>
    <n v="0.03"/>
    <n v="0.03"/>
    <n v="1.5"/>
    <s v="Finished"/>
    <n v="100"/>
    <n v="7.0000000000000007E-2"/>
    <n v="7.0000000000000007E-2"/>
    <n v="3.5000000000000004"/>
    <m/>
    <m/>
    <s v="Finished"/>
    <n v="100"/>
    <n v="0.04"/>
    <n v="0.04"/>
    <n v="2"/>
    <m/>
    <m/>
    <s v="Finished"/>
    <n v="100"/>
    <n v="0.05"/>
    <n v="0.05"/>
    <n v="2.5"/>
    <m/>
    <m/>
    <s v="Finished"/>
    <n v="100"/>
    <n v="0.1"/>
    <n v="0.1"/>
    <n v="5"/>
    <m/>
    <m/>
    <s v="Finished"/>
    <n v="100"/>
    <n v="0.03"/>
    <n v="0.03"/>
    <n v="1.5"/>
    <n v="0"/>
    <s v="ADRIAN CABELLO"/>
    <x v="1"/>
    <m/>
  </r>
  <r>
    <s v="MX"/>
    <x v="0"/>
    <s v="Continental"/>
    <s v="ID926 Automatic Screw Driving Station Silver Box"/>
    <m/>
    <x v="7"/>
    <x v="15"/>
    <n v="50"/>
    <m/>
    <n v="50"/>
    <n v="84.5"/>
    <m/>
    <m/>
    <n v="1"/>
    <n v="84.5"/>
    <n v="29.7"/>
    <n v="1485"/>
    <n v="2509.65"/>
    <n v="1.69"/>
    <n v="292555"/>
    <n v="3698"/>
    <n v="3147.18"/>
    <n v="51744.74"/>
    <n v="51744.74"/>
    <m/>
    <m/>
    <n v="243193.32"/>
    <n v="189963.58000000002"/>
    <n v="247365.15"/>
    <n v="0.16839999999999999"/>
    <n v="0.18110000000000001"/>
    <n v="0.16522373570781562"/>
    <m/>
    <s v="Finished"/>
    <n v="100"/>
    <n v="0.05"/>
    <n v="0.05"/>
    <n v="2.5"/>
    <s v="Finished"/>
    <n v="100"/>
    <n v="0.05"/>
    <n v="0.05"/>
    <n v="2.5"/>
    <m/>
    <m/>
    <s v="Finished"/>
    <n v="100"/>
    <n v="0.01"/>
    <n v="0.01"/>
    <n v="0.5"/>
    <m/>
    <m/>
    <s v="Finished"/>
    <n v="100"/>
    <n v="0.01"/>
    <n v="0.01"/>
    <n v="0.5"/>
    <s v="Finished"/>
    <n v="100"/>
    <n v="0.08"/>
    <n v="0.08"/>
    <n v="4"/>
    <s v="Finished"/>
    <n v="100"/>
    <n v="0.18"/>
    <n v="0.18"/>
    <n v="9"/>
    <s v="Finished"/>
    <n v="100"/>
    <n v="0.28000000000000003"/>
    <n v="0.28000000000000003"/>
    <n v="14.000000000000002"/>
    <s v="Finished"/>
    <n v="100"/>
    <n v="0.15"/>
    <n v="0.15"/>
    <n v="7.5"/>
    <s v="Finished"/>
    <n v="100"/>
    <n v="0.16"/>
    <n v="0.16"/>
    <n v="8"/>
    <s v="Finished"/>
    <n v="100"/>
    <n v="0.13"/>
    <n v="0.13"/>
    <n v="6.5"/>
    <s v="Finished"/>
    <n v="100"/>
    <n v="0.01"/>
    <n v="0.01"/>
    <n v="0.5"/>
    <n v="1"/>
    <n v="0.54"/>
    <n v="0.54"/>
    <n v="27"/>
    <n v="27"/>
    <n v="0"/>
    <s v="Finished"/>
    <n v="100"/>
    <n v="0.02"/>
    <n v="0.02"/>
    <n v="1"/>
    <m/>
    <m/>
    <s v="Finished"/>
    <n v="100"/>
    <n v="0.01"/>
    <n v="0.01"/>
    <n v="0.5"/>
    <m/>
    <m/>
    <s v="Finished"/>
    <n v="100"/>
    <n v="0.03"/>
    <n v="0.03"/>
    <n v="1.5"/>
    <s v="Finished"/>
    <n v="100"/>
    <n v="7.0000000000000007E-2"/>
    <n v="7.0000000000000007E-2"/>
    <n v="3.5000000000000004"/>
    <m/>
    <m/>
    <s v="Finished"/>
    <n v="100"/>
    <n v="0.04"/>
    <n v="0.04"/>
    <n v="2"/>
    <m/>
    <m/>
    <s v="Finished"/>
    <n v="100"/>
    <n v="0.05"/>
    <n v="0.05"/>
    <n v="2.5"/>
    <m/>
    <m/>
    <s v="Finished"/>
    <n v="100"/>
    <n v="0.1"/>
    <n v="0.1"/>
    <n v="5"/>
    <m/>
    <m/>
    <s v="Finished"/>
    <n v="100"/>
    <n v="0.03"/>
    <n v="0.03"/>
    <n v="1.5"/>
    <n v="0"/>
    <s v="ADRIAN CABELLO"/>
    <x v="1"/>
    <m/>
  </r>
  <r>
    <s v="MX"/>
    <x v="0"/>
    <s v="Continental"/>
    <s v="ID931 Manual Screw Driving Station &amp; Assy Light conduct KW-PB"/>
    <m/>
    <x v="7"/>
    <x v="16"/>
    <n v="60"/>
    <m/>
    <n v="60"/>
    <n v="75"/>
    <m/>
    <m/>
    <n v="1"/>
    <n v="75"/>
    <n v="29.7"/>
    <n v="1782"/>
    <n v="2227.5"/>
    <n v="1.25"/>
    <n v="190230"/>
    <n v="3698"/>
    <n v="3147.18"/>
    <n v="45193.56"/>
    <n v="45193.56"/>
    <m/>
    <m/>
    <n v="149464.35999999999"/>
    <n v="102488.79999999999"/>
    <n v="153057.03999999998"/>
    <n v="0.28970000000000001"/>
    <n v="0.18110000000000001"/>
    <n v="0.21195468643221371"/>
    <m/>
    <s v="Finished"/>
    <n v="100"/>
    <n v="0.05"/>
    <n v="0.05"/>
    <n v="3"/>
    <s v="Finished"/>
    <n v="100"/>
    <n v="0.05"/>
    <n v="0.05"/>
    <n v="3"/>
    <m/>
    <m/>
    <s v="Finished"/>
    <n v="100"/>
    <n v="0.01"/>
    <n v="0.01"/>
    <n v="0.6"/>
    <m/>
    <m/>
    <s v="Finished"/>
    <n v="100"/>
    <n v="0.01"/>
    <n v="0.01"/>
    <n v="0.6"/>
    <s v="Finished"/>
    <n v="100"/>
    <n v="0.08"/>
    <n v="0.08"/>
    <n v="4.8"/>
    <s v="Finished"/>
    <n v="100"/>
    <n v="0.18"/>
    <n v="0.18"/>
    <n v="10.799999999999999"/>
    <s v="Finished"/>
    <n v="100"/>
    <n v="0.28000000000000003"/>
    <n v="0.28000000000000003"/>
    <n v="16.8"/>
    <s v="Finished"/>
    <n v="100"/>
    <n v="0.15"/>
    <n v="0.15"/>
    <n v="9"/>
    <s v="Finished"/>
    <n v="100"/>
    <n v="0.16"/>
    <n v="0.16"/>
    <n v="9.6"/>
    <s v="Finished"/>
    <n v="100"/>
    <n v="0.13"/>
    <n v="0.13"/>
    <n v="7.8000000000000007"/>
    <s v="Finished"/>
    <n v="100"/>
    <n v="0.01"/>
    <n v="0.01"/>
    <n v="0.6"/>
    <n v="1"/>
    <n v="0.54"/>
    <n v="0.54"/>
    <n v="32.400000000000006"/>
    <n v="32.400000000000006"/>
    <n v="0"/>
    <s v="Finished"/>
    <n v="100"/>
    <n v="0.02"/>
    <n v="0.02"/>
    <n v="1.2"/>
    <m/>
    <m/>
    <s v="Finished"/>
    <n v="100"/>
    <n v="0.01"/>
    <n v="0.01"/>
    <n v="0.6"/>
    <m/>
    <m/>
    <s v="Finished"/>
    <n v="100"/>
    <n v="0.03"/>
    <n v="0.03"/>
    <n v="1.7999999999999998"/>
    <s v="Finished"/>
    <n v="100"/>
    <n v="7.0000000000000007E-2"/>
    <n v="7.0000000000000007E-2"/>
    <n v="4.2"/>
    <m/>
    <m/>
    <s v="Finished"/>
    <n v="100"/>
    <n v="0.04"/>
    <n v="0.04"/>
    <n v="2.4"/>
    <m/>
    <m/>
    <s v="Finished"/>
    <n v="100"/>
    <n v="0.05"/>
    <n v="0.05"/>
    <n v="3"/>
    <m/>
    <m/>
    <s v="Finished"/>
    <n v="100"/>
    <n v="0.1"/>
    <n v="0.1"/>
    <n v="6"/>
    <m/>
    <m/>
    <s v="Finished"/>
    <n v="100"/>
    <n v="0.03"/>
    <n v="0.03"/>
    <n v="1.7999999999999998"/>
    <n v="0"/>
    <s v="ADRIAN CABELLO"/>
    <x v="1"/>
    <m/>
  </r>
  <r>
    <s v="MX"/>
    <x v="2"/>
    <s v="OP Mobility"/>
    <s v="Spoiler punch &amp; Stick Assembly"/>
    <s v="Jeep J4U Complex Machines"/>
    <x v="8"/>
    <x v="17"/>
    <n v="60"/>
    <m/>
    <n v="60"/>
    <n v="9"/>
    <m/>
    <m/>
    <n v="0.37400000000000005"/>
    <n v="9"/>
    <n v="29.7"/>
    <n v="1782"/>
    <n v="267.3"/>
    <n v="0.15"/>
    <n v="136797"/>
    <n v="14706.66"/>
    <n v="12259.64"/>
    <n v="35639.11"/>
    <n v="35639.11"/>
    <m/>
    <m/>
    <n v="112384.96000000001"/>
    <n v="74963.850000000006"/>
    <n v="123129.90000000001"/>
    <n v="0.17849999999999999"/>
    <n v="0.18210000000000001"/>
    <n v="0.18952710951263543"/>
    <m/>
    <s v="Finished"/>
    <n v="100"/>
    <m/>
    <n v="0"/>
    <n v="0"/>
    <s v="Finished"/>
    <n v="100"/>
    <n v="0.05"/>
    <n v="0.05"/>
    <n v="3"/>
    <d v="2026-01-22T00:00:00"/>
    <m/>
    <s v="Not started"/>
    <n v="0"/>
    <n v="0.01"/>
    <n v="0"/>
    <n v="0.6"/>
    <d v="2026-03-02T00:00:00"/>
    <m/>
    <s v="In process"/>
    <n v="50"/>
    <n v="0.01"/>
    <n v="5.0000000000000001E-3"/>
    <n v="0.6"/>
    <s v="In process"/>
    <n v="50"/>
    <n v="0.08"/>
    <n v="0.04"/>
    <n v="4.8"/>
    <s v="In process"/>
    <n v="50"/>
    <n v="0.18"/>
    <n v="0.09"/>
    <n v="10.799999999999999"/>
    <s v="In process"/>
    <n v="50"/>
    <n v="0.28000000000000003"/>
    <n v="0.14000000000000001"/>
    <n v="16.8"/>
    <s v="In process"/>
    <n v="50"/>
    <n v="0.15"/>
    <n v="7.4999999999999997E-2"/>
    <n v="9"/>
    <s v="In process"/>
    <n v="50"/>
    <n v="0.16"/>
    <n v="0.08"/>
    <n v="9.6"/>
    <s v="In process"/>
    <n v="50"/>
    <n v="0.13"/>
    <n v="6.5000000000000002E-2"/>
    <n v="7.8000000000000007"/>
    <s v="In process"/>
    <n v="50"/>
    <n v="0.01"/>
    <n v="5.0000000000000001E-3"/>
    <n v="0.6"/>
    <n v="0.5"/>
    <n v="0.54"/>
    <n v="0.27"/>
    <n v="32.400000000000006"/>
    <n v="16.200000000000003"/>
    <n v="16.200000000000003"/>
    <s v="Draft"/>
    <n v="25"/>
    <n v="0.02"/>
    <n v="5.0000000000000001E-3"/>
    <n v="1.2"/>
    <d v="2026-03-13T00:00:00"/>
    <m/>
    <s v="Under review"/>
    <n v="90"/>
    <n v="0.01"/>
    <n v="9.0000000000000011E-3"/>
    <n v="0.6"/>
    <d v="2026-03-17T00:00:00"/>
    <m/>
    <s v="Almost ready"/>
    <n v="75"/>
    <n v="0.03"/>
    <n v="2.2499999999999999E-2"/>
    <n v="1.7999999999999998"/>
    <s v="Draft"/>
    <n v="25"/>
    <n v="7.0000000000000007E-2"/>
    <n v="1.7500000000000002E-2"/>
    <n v="4.2"/>
    <d v="2026-03-18T00:00:00"/>
    <m/>
    <s v="Not started"/>
    <n v="0"/>
    <n v="0.04"/>
    <n v="0"/>
    <n v="2.4"/>
    <d v="2026-03-20T00:00:00"/>
    <m/>
    <s v="Not started"/>
    <n v="0"/>
    <n v="0.05"/>
    <n v="0"/>
    <n v="3"/>
    <d v="2026-04-10T00:00:00"/>
    <m/>
    <s v="Not started"/>
    <n v="0"/>
    <n v="0.1"/>
    <n v="0"/>
    <n v="6"/>
    <d v="2026-03-23T00:00:00"/>
    <m/>
    <s v="Not started"/>
    <n v="0"/>
    <n v="0.03"/>
    <n v="0"/>
    <n v="1.7999999999999998"/>
    <n v="37.799999999999997"/>
    <s v="ADRIAN CABELLO"/>
    <x v="4"/>
    <m/>
  </r>
  <r>
    <s v="MX"/>
    <x v="2"/>
    <s v="OP Mobility"/>
    <s v="Masking cell"/>
    <s v="Jeep J4U Complex Machines"/>
    <x v="8"/>
    <x v="18"/>
    <n v="120"/>
    <m/>
    <n v="120"/>
    <n v="77.5"/>
    <m/>
    <m/>
    <n v="0.81890000000000018"/>
    <n v="77.5"/>
    <n v="29.7"/>
    <n v="3564"/>
    <n v="2301.75"/>
    <n v="0.64583333333333337"/>
    <n v="203035"/>
    <n v="14706.66"/>
    <n v="12259.64"/>
    <n v="52586.21"/>
    <n v="52586.21"/>
    <m/>
    <m/>
    <n v="165616.76999999999"/>
    <n v="109466.56"/>
    <n v="176614.15999999997"/>
    <n v="0.18429999999999999"/>
    <n v="0.18210000000000001"/>
    <n v="0.190511389661881"/>
    <m/>
    <s v="Finished"/>
    <n v="100"/>
    <m/>
    <n v="0"/>
    <n v="0"/>
    <s v="Finished"/>
    <n v="100"/>
    <n v="0.05"/>
    <n v="0.05"/>
    <n v="6"/>
    <d v="2026-01-22T00:00:00"/>
    <m/>
    <s v="Finished"/>
    <n v="100"/>
    <n v="0.01"/>
    <n v="0.01"/>
    <n v="1.2"/>
    <d v="2026-03-02T00:00:00"/>
    <m/>
    <s v="Finished"/>
    <n v="100"/>
    <n v="0.01"/>
    <n v="0.01"/>
    <n v="1.2"/>
    <s v="Finished"/>
    <n v="100"/>
    <n v="0.08"/>
    <n v="0.08"/>
    <n v="9.6"/>
    <s v="Finished"/>
    <n v="100"/>
    <n v="0.18"/>
    <n v="0.18"/>
    <n v="21.599999999999998"/>
    <s v="Finished"/>
    <n v="100"/>
    <n v="0.28000000000000003"/>
    <n v="0.28000000000000003"/>
    <n v="33.6"/>
    <s v="Under review"/>
    <n v="90"/>
    <n v="0.15"/>
    <n v="0.13500000000000001"/>
    <n v="18"/>
    <s v="Finished"/>
    <n v="100"/>
    <n v="0.16"/>
    <n v="0.16"/>
    <n v="19.2"/>
    <s v="Finished"/>
    <n v="100"/>
    <n v="0.13"/>
    <n v="0.13"/>
    <n v="15.600000000000001"/>
    <s v="Finished"/>
    <n v="100"/>
    <n v="0.01"/>
    <n v="0.01"/>
    <n v="1.2"/>
    <n v="0.98499999999999999"/>
    <n v="0.54"/>
    <n v="0.53190000000000004"/>
    <n v="64.800000000000011"/>
    <n v="63.828000000000003"/>
    <n v="0.97200000000000841"/>
    <s v="Finished"/>
    <n v="100"/>
    <n v="0.02"/>
    <n v="0.02"/>
    <n v="2.4"/>
    <d v="2026-03-13T00:00:00"/>
    <m/>
    <s v="Under review"/>
    <n v="90"/>
    <n v="0.01"/>
    <n v="9.0000000000000011E-3"/>
    <n v="1.2"/>
    <d v="2026-03-17T00:00:00"/>
    <m/>
    <s v="Finished"/>
    <n v="100"/>
    <n v="0.03"/>
    <n v="0.03"/>
    <n v="3.5999999999999996"/>
    <s v="Under review"/>
    <n v="90"/>
    <n v="7.0000000000000007E-2"/>
    <n v="6.3E-2"/>
    <n v="8.4"/>
    <d v="2026-03-18T00:00:00"/>
    <m/>
    <s v="Almost ready"/>
    <n v="75"/>
    <n v="0.04"/>
    <n v="0.03"/>
    <n v="4.8"/>
    <d v="2026-03-20T00:00:00"/>
    <m/>
    <s v="Not started"/>
    <n v="0"/>
    <n v="0.05"/>
    <n v="0"/>
    <n v="6"/>
    <d v="2026-04-10T00:00:00"/>
    <m/>
    <s v="Almost ready"/>
    <n v="75"/>
    <n v="0.1"/>
    <n v="7.4999999999999997E-2"/>
    <n v="12"/>
    <d v="2026-03-23T00:00:00"/>
    <m/>
    <s v="Not started"/>
    <n v="0"/>
    <n v="0.03"/>
    <n v="0"/>
    <n v="3.5999999999999996"/>
    <n v="36"/>
    <s v="ADRIAN CABELLO"/>
    <x v="4"/>
    <m/>
  </r>
  <r>
    <s v="MX"/>
    <x v="2"/>
    <s v="OP Mobility"/>
    <s v="Masking cell"/>
    <s v="Jeep J4U Complex Machines"/>
    <x v="8"/>
    <x v="19"/>
    <n v="36"/>
    <m/>
    <n v="36"/>
    <n v="70.5"/>
    <m/>
    <m/>
    <n v="0.81890000000000018"/>
    <n v="70.5"/>
    <n v="29.7"/>
    <n v="1069.2"/>
    <n v="2093.85"/>
    <n v="1.9583333333333333"/>
    <n v="183548"/>
    <n v="14706.66"/>
    <n v="12259.64"/>
    <n v="52586.21"/>
    <n v="52586.21"/>
    <m/>
    <m/>
    <n v="149369.44"/>
    <n v="95714.030000000013"/>
    <n v="162653.73000000004"/>
    <n v="0.1862"/>
    <n v="0.18210000000000001"/>
    <n v="0.18062801011179622"/>
    <m/>
    <s v="Finished"/>
    <n v="100"/>
    <m/>
    <n v="0"/>
    <n v="0"/>
    <s v="Finished"/>
    <n v="100"/>
    <n v="0.05"/>
    <n v="0.05"/>
    <n v="1.8"/>
    <d v="2026-01-22T00:00:00"/>
    <m/>
    <s v="Finished"/>
    <n v="100"/>
    <n v="0.01"/>
    <n v="0.01"/>
    <n v="0.36"/>
    <d v="2026-03-02T00:00:00"/>
    <m/>
    <s v="Finished"/>
    <n v="100"/>
    <n v="0.01"/>
    <n v="0.01"/>
    <n v="0.36"/>
    <s v="Finished"/>
    <n v="100"/>
    <n v="0.08"/>
    <n v="0.08"/>
    <n v="2.88"/>
    <s v="Finished"/>
    <n v="100"/>
    <n v="0.18"/>
    <n v="0.18"/>
    <n v="6.4799999999999995"/>
    <s v="Finished"/>
    <n v="100"/>
    <n v="0.28000000000000003"/>
    <n v="0.28000000000000003"/>
    <n v="10.080000000000002"/>
    <s v="Under review"/>
    <n v="90"/>
    <n v="0.15"/>
    <n v="0.13500000000000001"/>
    <n v="5.3999999999999995"/>
    <s v="Finished"/>
    <n v="100"/>
    <n v="0.16"/>
    <n v="0.16"/>
    <n v="5.76"/>
    <s v="Finished"/>
    <n v="100"/>
    <n v="0.13"/>
    <n v="0.13"/>
    <n v="4.68"/>
    <s v="Finished"/>
    <n v="100"/>
    <n v="0.01"/>
    <n v="0.01"/>
    <n v="0.36"/>
    <n v="0.98499999999999999"/>
    <n v="0.54"/>
    <n v="0.53190000000000004"/>
    <n v="19.440000000000001"/>
    <n v="19.148400000000002"/>
    <n v="0.29159999999999897"/>
    <s v="Finished"/>
    <n v="100"/>
    <n v="0.02"/>
    <n v="0.02"/>
    <n v="0.72"/>
    <d v="2026-03-13T00:00:00"/>
    <m/>
    <s v="Under review"/>
    <n v="90"/>
    <n v="0.01"/>
    <n v="9.0000000000000011E-3"/>
    <n v="0.36"/>
    <d v="2026-03-17T00:00:00"/>
    <m/>
    <s v="Finished"/>
    <n v="100"/>
    <n v="0.03"/>
    <n v="0.03"/>
    <n v="1.08"/>
    <s v="Under review"/>
    <n v="90"/>
    <n v="7.0000000000000007E-2"/>
    <n v="6.3E-2"/>
    <n v="2.5200000000000005"/>
    <d v="2026-03-18T00:00:00"/>
    <m/>
    <s v="Almost ready"/>
    <n v="75"/>
    <n v="0.04"/>
    <n v="0.03"/>
    <n v="1.44"/>
    <d v="2026-03-20T00:00:00"/>
    <m/>
    <s v="Not started"/>
    <n v="0"/>
    <n v="0.05"/>
    <n v="0"/>
    <n v="1.8"/>
    <d v="2026-04-10T00:00:00"/>
    <m/>
    <s v="Almost ready"/>
    <n v="75"/>
    <n v="0.1"/>
    <n v="7.4999999999999997E-2"/>
    <n v="3.6"/>
    <d v="2026-03-23T00:00:00"/>
    <m/>
    <s v="Not started"/>
    <n v="0"/>
    <n v="0.03"/>
    <n v="0"/>
    <n v="1.08"/>
    <n v="10.8"/>
    <s v="ADRIAN CABELLO"/>
    <x v="4"/>
    <m/>
  </r>
  <r>
    <s v="MI"/>
    <x v="2"/>
    <s v="OP Mobility"/>
    <s v="3300 CO Phase 3"/>
    <s v="Conveyor Ergonomy Changes"/>
    <x v="9"/>
    <x v="20"/>
    <n v="20"/>
    <m/>
    <n v="20"/>
    <n v="4"/>
    <m/>
    <m/>
    <n v="0.13975000000000001"/>
    <n v="4"/>
    <n v="26.73"/>
    <n v="534.6"/>
    <n v="106.92"/>
    <n v="0.2"/>
    <n v="89500"/>
    <m/>
    <m/>
    <n v="22363.57"/>
    <n v="22363.57"/>
    <m/>
    <m/>
    <n v="126203.11"/>
    <n v="103304.94"/>
    <n v="125775.43000000001"/>
    <n v="-0.41010000000000002"/>
    <n v="-3.0999999999999999E-3"/>
    <n v="-0.40531206703910622"/>
    <m/>
    <s v="Finished"/>
    <n v="100"/>
    <m/>
    <n v="0"/>
    <n v="0"/>
    <s v="In process"/>
    <n v="50"/>
    <n v="0.05"/>
    <n v="2.5000000000000001E-2"/>
    <n v="1"/>
    <m/>
    <m/>
    <s v="Not started"/>
    <n v="0"/>
    <n v="0.01"/>
    <n v="0"/>
    <n v="0.2"/>
    <m/>
    <m/>
    <s v="Finished"/>
    <n v="100"/>
    <n v="0.01"/>
    <n v="0.01"/>
    <n v="0.2"/>
    <s v="Draft"/>
    <n v="25"/>
    <n v="0.08"/>
    <n v="0.02"/>
    <n v="1.6"/>
    <s v="Not started"/>
    <n v="0"/>
    <n v="0.18"/>
    <n v="0"/>
    <n v="3.5999999999999996"/>
    <s v="Not started"/>
    <n v="0"/>
    <n v="0.28000000000000003"/>
    <n v="0"/>
    <n v="5.6000000000000005"/>
    <s v="Finished"/>
    <n v="100"/>
    <n v="0.15"/>
    <n v="0.15"/>
    <n v="3"/>
    <s v="Not started"/>
    <n v="0"/>
    <n v="0.16"/>
    <n v="0"/>
    <n v="3.2"/>
    <s v="Draft"/>
    <n v="25"/>
    <n v="0.13"/>
    <n v="3.2500000000000001E-2"/>
    <n v="2.6"/>
    <s v="Not started"/>
    <n v="0"/>
    <n v="0.01"/>
    <n v="0"/>
    <n v="0.2"/>
    <n v="0.21249999999999999"/>
    <n v="0.54"/>
    <n v="0.11475"/>
    <n v="10.8"/>
    <n v="2.2949999999999999"/>
    <n v="8.5050000000000008"/>
    <s v="Not started"/>
    <n v="0"/>
    <n v="0.02"/>
    <n v="0"/>
    <n v="0.4"/>
    <m/>
    <m/>
    <s v="Not started"/>
    <n v="0"/>
    <n v="0.01"/>
    <n v="0"/>
    <n v="0.2"/>
    <m/>
    <m/>
    <s v="Not started"/>
    <n v="0"/>
    <n v="0.03"/>
    <n v="0"/>
    <n v="0.6"/>
    <s v="Not started"/>
    <n v="0"/>
    <n v="7.0000000000000007E-2"/>
    <n v="0"/>
    <n v="1.4000000000000001"/>
    <m/>
    <m/>
    <s v="Not started"/>
    <n v="0"/>
    <n v="0.04"/>
    <n v="0"/>
    <n v="0.8"/>
    <m/>
    <m/>
    <s v="Not started"/>
    <n v="0"/>
    <n v="0.05"/>
    <n v="0"/>
    <n v="1"/>
    <m/>
    <m/>
    <s v="Not started"/>
    <n v="0"/>
    <n v="0.1"/>
    <n v="0"/>
    <n v="2"/>
    <m/>
    <m/>
    <s v="Not started"/>
    <n v="0"/>
    <n v="0.03"/>
    <n v="0"/>
    <n v="0.6"/>
    <n v="16.705000000000002"/>
    <s v="ADRIAN CABELLO"/>
    <x v="0"/>
    <m/>
  </r>
  <r>
    <s v="MI"/>
    <x v="2"/>
    <s v="OP Mobility"/>
    <s v="3300 CO Phase 3"/>
    <s v="PTL &amp; Additions"/>
    <x v="9"/>
    <x v="21"/>
    <n v="30"/>
    <m/>
    <n v="30"/>
    <n v="3"/>
    <m/>
    <m/>
    <n v="0.22615000000000005"/>
    <n v="3"/>
    <n v="26.73"/>
    <n v="801.9"/>
    <n v="80.19"/>
    <n v="0.1"/>
    <n v="143300"/>
    <m/>
    <m/>
    <n v="13794.08"/>
    <n v="13794.08"/>
    <m/>
    <m/>
    <n v="112472.95"/>
    <n v="97876.97"/>
    <n v="111751.24"/>
    <n v="0.21510000000000001"/>
    <n v="-3.0999999999999999E-3"/>
    <n v="0.22015882763433353"/>
    <m/>
    <s v="Finished"/>
    <n v="100"/>
    <m/>
    <n v="0"/>
    <n v="0"/>
    <s v="In process"/>
    <n v="50"/>
    <n v="0.05"/>
    <n v="2.5000000000000001E-2"/>
    <n v="1.5"/>
    <m/>
    <m/>
    <s v="Not started"/>
    <n v="0"/>
    <n v="0.01"/>
    <n v="0"/>
    <n v="0.3"/>
    <m/>
    <m/>
    <s v="Finished"/>
    <n v="100"/>
    <n v="0.01"/>
    <n v="0.01"/>
    <n v="0.3"/>
    <s v="Draft"/>
    <n v="25"/>
    <n v="0.08"/>
    <n v="0.02"/>
    <n v="2.4"/>
    <s v="Not started"/>
    <n v="0"/>
    <n v="0.18"/>
    <n v="0"/>
    <n v="5.3999999999999995"/>
    <s v="Not started"/>
    <n v="0"/>
    <n v="0.28000000000000003"/>
    <n v="0"/>
    <n v="8.4"/>
    <s v="Finished"/>
    <n v="100"/>
    <n v="0.15"/>
    <n v="0.15"/>
    <n v="4.5"/>
    <s v="Finished"/>
    <n v="100"/>
    <n v="0.16"/>
    <n v="0.16"/>
    <n v="4.8"/>
    <s v="Draft"/>
    <n v="25"/>
    <n v="0.13"/>
    <n v="3.2500000000000001E-2"/>
    <n v="3.9000000000000004"/>
    <s v="Not started"/>
    <n v="0"/>
    <n v="0.01"/>
    <n v="0"/>
    <n v="0.3"/>
    <n v="0.37250000000000005"/>
    <n v="0.54"/>
    <n v="0.20115000000000005"/>
    <n v="16.200000000000003"/>
    <n v="6.0345000000000013"/>
    <n v="10.165500000000002"/>
    <s v="Not started"/>
    <n v="0"/>
    <n v="0.02"/>
    <n v="0"/>
    <n v="0.6"/>
    <m/>
    <m/>
    <s v="Not started"/>
    <n v="0"/>
    <n v="0.01"/>
    <n v="0"/>
    <n v="0.3"/>
    <m/>
    <m/>
    <s v="Not started"/>
    <n v="0"/>
    <n v="0.03"/>
    <n v="0"/>
    <n v="0.89999999999999991"/>
    <s v="Not started"/>
    <n v="0"/>
    <n v="7.0000000000000007E-2"/>
    <n v="0"/>
    <n v="2.1"/>
    <m/>
    <m/>
    <s v="Not started"/>
    <n v="0"/>
    <n v="0.04"/>
    <n v="0"/>
    <n v="1.2"/>
    <m/>
    <m/>
    <s v="Not started"/>
    <n v="0"/>
    <n v="0.05"/>
    <n v="0"/>
    <n v="1.5"/>
    <m/>
    <m/>
    <s v="Not started"/>
    <n v="0"/>
    <n v="0.1"/>
    <n v="0"/>
    <n v="3"/>
    <m/>
    <m/>
    <s v="Not started"/>
    <n v="0"/>
    <n v="0.03"/>
    <n v="0"/>
    <n v="0.89999999999999991"/>
    <n v="22.465500000000002"/>
    <s v="ADRIAN CABELLO"/>
    <x v="0"/>
    <m/>
  </r>
  <r>
    <s v="MI"/>
    <x v="2"/>
    <s v="OP Mobility"/>
    <s v="3300 CO Phase 3"/>
    <s v=" Banner Strip Lights"/>
    <x v="9"/>
    <x v="22"/>
    <n v="10"/>
    <m/>
    <n v="10"/>
    <n v="3"/>
    <m/>
    <m/>
    <n v="0.34900000000000003"/>
    <n v="3"/>
    <n v="26.73"/>
    <n v="267.3"/>
    <n v="80.19"/>
    <n v="0.3"/>
    <n v="8835"/>
    <m/>
    <m/>
    <n v="472"/>
    <n v="472"/>
    <m/>
    <m/>
    <n v="6933.58"/>
    <n v="6194.28"/>
    <n v="6746.4699999999993"/>
    <n v="0.2152"/>
    <n v="-3.0999999999999999E-3"/>
    <n v="0.23639275608375784"/>
    <m/>
    <s v="Finished"/>
    <n v="100"/>
    <m/>
    <n v="0"/>
    <n v="0"/>
    <s v="In process"/>
    <n v="50"/>
    <n v="0.05"/>
    <n v="2.5000000000000001E-2"/>
    <n v="0.5"/>
    <m/>
    <m/>
    <s v="Not started"/>
    <n v="0"/>
    <n v="0.01"/>
    <n v="0"/>
    <n v="0.1"/>
    <m/>
    <m/>
    <s v="Finished"/>
    <n v="100"/>
    <n v="0.01"/>
    <n v="0.01"/>
    <n v="0.1"/>
    <s v="Finished"/>
    <n v="100"/>
    <n v="0.08"/>
    <n v="0.08"/>
    <n v="0.8"/>
    <s v="Not started"/>
    <n v="0"/>
    <n v="0.18"/>
    <n v="0"/>
    <n v="1.7999999999999998"/>
    <s v="Draft"/>
    <n v="25"/>
    <n v="0.28000000000000003"/>
    <n v="7.0000000000000007E-2"/>
    <n v="2.8000000000000003"/>
    <s v="Finished"/>
    <n v="100"/>
    <n v="0.15"/>
    <n v="0.15"/>
    <n v="1.5"/>
    <s v="Finished"/>
    <n v="100"/>
    <n v="0.16"/>
    <n v="0.16"/>
    <n v="1.6"/>
    <s v="Finished"/>
    <n v="100"/>
    <n v="0.13"/>
    <n v="0.13"/>
    <n v="1.3"/>
    <s v="Not started"/>
    <n v="0"/>
    <n v="0.01"/>
    <n v="0"/>
    <n v="0.1"/>
    <n v="0.6"/>
    <n v="0.54"/>
    <n v="0.32400000000000001"/>
    <n v="5.4"/>
    <n v="3.24"/>
    <n v="2.16"/>
    <s v="Not started"/>
    <n v="0"/>
    <n v="0.02"/>
    <n v="0"/>
    <n v="0.2"/>
    <m/>
    <m/>
    <s v="Not started"/>
    <n v="0"/>
    <n v="0.01"/>
    <n v="0"/>
    <n v="0.1"/>
    <m/>
    <m/>
    <s v="Not started"/>
    <n v="0"/>
    <n v="0.03"/>
    <n v="0"/>
    <n v="0.3"/>
    <s v="Not started"/>
    <n v="0"/>
    <n v="7.0000000000000007E-2"/>
    <n v="0"/>
    <n v="0.70000000000000007"/>
    <m/>
    <m/>
    <s v="Not started"/>
    <n v="0"/>
    <n v="0.04"/>
    <n v="0"/>
    <n v="0.4"/>
    <m/>
    <m/>
    <s v="Not started"/>
    <n v="0"/>
    <n v="0.05"/>
    <n v="0"/>
    <n v="0.5"/>
    <m/>
    <m/>
    <s v="Not started"/>
    <n v="0"/>
    <n v="0.1"/>
    <n v="0"/>
    <n v="1"/>
    <m/>
    <m/>
    <s v="Not started"/>
    <n v="0"/>
    <n v="0.03"/>
    <n v="0"/>
    <n v="0.3"/>
    <n v="6.2600000000000007"/>
    <s v="ADRIAN CABELLO"/>
    <x v="0"/>
    <m/>
  </r>
  <r>
    <s v="MX"/>
    <x v="0"/>
    <s v="VALEO"/>
    <s v="1 set of LH-RH Fixtures for St.10"/>
    <s v="Valeo Ford 833 HL"/>
    <x v="10"/>
    <x v="23"/>
    <n v="30"/>
    <m/>
    <n v="30"/>
    <n v="20.5"/>
    <m/>
    <m/>
    <n v="0.94500000000000006"/>
    <n v="20.5"/>
    <n v="26.73"/>
    <n v="801.9"/>
    <n v="547.96500000000003"/>
    <n v="0.68333333333333335"/>
    <n v="45410"/>
    <n v="10493.57"/>
    <n v="8236.48"/>
    <n v="6866"/>
    <n v="6866"/>
    <m/>
    <m/>
    <n v="35641.82"/>
    <n v="27973.919999999998"/>
    <n v="43624.364999999991"/>
    <n v="0.21510000000000001"/>
    <n v="0.23499999999999999"/>
    <n v="0.22070281876238726"/>
    <d v="2025-06-16T00:00:00"/>
    <s v="Finished"/>
    <n v="100"/>
    <n v="0.05"/>
    <n v="0.05"/>
    <n v="1.5"/>
    <s v="Finished"/>
    <n v="100"/>
    <n v="0.05"/>
    <n v="0.05"/>
    <n v="1.5"/>
    <d v="2025-06-30T00:00:00"/>
    <d v="2025-07-02T00:00:00"/>
    <s v="Finished"/>
    <n v="100"/>
    <n v="0.01"/>
    <n v="0.01"/>
    <n v="0.3"/>
    <d v="2025-09-05T00:00:00"/>
    <d v="2025-09-30T00:00:00"/>
    <s v="Finished"/>
    <n v="100"/>
    <n v="0.01"/>
    <n v="0.01"/>
    <n v="0.3"/>
    <s v="Finished"/>
    <n v="100"/>
    <n v="0.08"/>
    <n v="0.08"/>
    <n v="2.4"/>
    <s v="Finished"/>
    <n v="100"/>
    <n v="0.18"/>
    <n v="0.18"/>
    <n v="5.3999999999999995"/>
    <s v="Finished"/>
    <n v="100"/>
    <n v="0.28000000000000003"/>
    <n v="0.28000000000000003"/>
    <n v="8.4"/>
    <s v="Finished"/>
    <n v="100"/>
    <n v="0.15"/>
    <n v="0.15"/>
    <n v="4.5"/>
    <s v="Finished"/>
    <n v="100"/>
    <n v="0.16"/>
    <n v="0.16"/>
    <n v="4.8"/>
    <s v="Finished"/>
    <n v="100"/>
    <n v="0.13"/>
    <n v="0.13"/>
    <n v="3.9000000000000004"/>
    <s v="Finished"/>
    <n v="100"/>
    <n v="0.01"/>
    <n v="0.01"/>
    <n v="0.3"/>
    <n v="1"/>
    <n v="0.54"/>
    <n v="0.54"/>
    <n v="16.200000000000003"/>
    <n v="16.200000000000003"/>
    <n v="0"/>
    <s v="Finished"/>
    <n v="100"/>
    <n v="0.02"/>
    <n v="0.02"/>
    <n v="0.6"/>
    <d v="2025-09-16T00:00:00"/>
    <d v="2025-10-01T00:00:00"/>
    <s v="Finished"/>
    <n v="100"/>
    <n v="0.01"/>
    <n v="0.01"/>
    <n v="0.3"/>
    <d v="2025-09-19T00:00:00"/>
    <d v="2025-10-06T00:00:00"/>
    <s v="Finished"/>
    <n v="100"/>
    <n v="0.03"/>
    <n v="0.03"/>
    <n v="0.89999999999999991"/>
    <s v="Finished"/>
    <n v="100"/>
    <n v="7.0000000000000007E-2"/>
    <n v="7.0000000000000007E-2"/>
    <n v="2.1"/>
    <d v="2025-09-19T00:00:00"/>
    <d v="2025-10-09T00:00:00"/>
    <s v="Finished"/>
    <n v="100"/>
    <n v="0.04"/>
    <n v="0.04"/>
    <n v="1.2"/>
    <d v="2025-09-23T00:00:00"/>
    <d v="2025-10-23T00:00:00"/>
    <s v="In process"/>
    <n v="50"/>
    <n v="0.05"/>
    <n v="2.5000000000000001E-2"/>
    <n v="1.5"/>
    <m/>
    <m/>
    <s v="Finished"/>
    <n v="100"/>
    <n v="0.1"/>
    <n v="0.1"/>
    <n v="3"/>
    <m/>
    <d v="2025-11-25T00:00:00"/>
    <s v="Not started"/>
    <n v="0"/>
    <n v="0.03"/>
    <n v="0"/>
    <n v="0.89999999999999991"/>
    <n v="2.4"/>
    <s v="JUAN ADAME"/>
    <x v="2"/>
    <m/>
  </r>
  <r>
    <s v="MX"/>
    <x v="0"/>
    <s v="VALEO"/>
    <s v="1 set of LH-RH Fixtures for St.20"/>
    <s v="Valeo Ford 833 HL"/>
    <x v="10"/>
    <x v="24"/>
    <n v="20"/>
    <m/>
    <n v="20"/>
    <n v="14.5"/>
    <m/>
    <m/>
    <n v="0.94500000000000006"/>
    <n v="14.5"/>
    <n v="26.73"/>
    <n v="534.6"/>
    <n v="387.58499999999998"/>
    <n v="0.72499999999999998"/>
    <n v="30695"/>
    <n v="10493.57"/>
    <n v="8236.48"/>
    <n v="2144"/>
    <n v="2144"/>
    <m/>
    <m/>
    <n v="24091.07"/>
    <n v="21412.47"/>
    <n v="32180.535"/>
    <n v="0.21510000000000001"/>
    <n v="0.23499999999999999"/>
    <n v="0.21993630884508877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09-30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10-01T00:00:00"/>
    <s v="Finished"/>
    <n v="100"/>
    <n v="0.01"/>
    <n v="0.01"/>
    <n v="0.2"/>
    <d v="2025-09-19T00:00:00"/>
    <d v="2025-10-06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2"/>
    <m/>
  </r>
  <r>
    <s v="MX"/>
    <x v="0"/>
    <s v="VALEO"/>
    <s v="1 set of LH-RH Fixtures for St.80"/>
    <s v="Valeo Ford 833 HL"/>
    <x v="10"/>
    <x v="25"/>
    <n v="30"/>
    <m/>
    <n v="30"/>
    <n v="21"/>
    <m/>
    <m/>
    <n v="0.94500000000000006"/>
    <n v="21"/>
    <n v="26.73"/>
    <n v="801.9"/>
    <n v="561.33000000000004"/>
    <n v="0.7"/>
    <n v="56030"/>
    <n v="10493.57"/>
    <n v="8236.48"/>
    <n v="6240"/>
    <n v="6240"/>
    <m/>
    <m/>
    <n v="43977.74"/>
    <n v="36935.839999999997"/>
    <n v="51973.649999999994"/>
    <n v="0.21510000000000001"/>
    <n v="0.23499999999999999"/>
    <n v="0.21939728716758883"/>
    <d v="2025-06-16T00:00:00"/>
    <s v="Finished"/>
    <n v="100"/>
    <n v="0.05"/>
    <n v="0.05"/>
    <n v="1.5"/>
    <s v="Finished"/>
    <n v="100"/>
    <n v="0.05"/>
    <n v="0.05"/>
    <n v="1.5"/>
    <d v="2025-06-30T00:00:00"/>
    <d v="2025-07-02T00:00:00"/>
    <s v="Finished"/>
    <n v="100"/>
    <n v="0.01"/>
    <n v="0.01"/>
    <n v="0.3"/>
    <d v="2025-09-05T00:00:00"/>
    <d v="2025-09-05T00:00:00"/>
    <s v="Finished"/>
    <n v="100"/>
    <n v="0.01"/>
    <n v="0.01"/>
    <n v="0.3"/>
    <s v="Finished"/>
    <n v="100"/>
    <n v="0.08"/>
    <n v="0.08"/>
    <n v="2.4"/>
    <s v="Finished"/>
    <n v="100"/>
    <n v="0.18"/>
    <n v="0.18"/>
    <n v="5.3999999999999995"/>
    <s v="Finished"/>
    <n v="100"/>
    <n v="0.28000000000000003"/>
    <n v="0.28000000000000003"/>
    <n v="8.4"/>
    <s v="Finished"/>
    <n v="100"/>
    <n v="0.15"/>
    <n v="0.15"/>
    <n v="4.5"/>
    <s v="Finished"/>
    <n v="100"/>
    <n v="0.16"/>
    <n v="0.16"/>
    <n v="4.8"/>
    <s v="Finished"/>
    <n v="100"/>
    <n v="0.13"/>
    <n v="0.13"/>
    <n v="3.9000000000000004"/>
    <s v="Finished"/>
    <n v="100"/>
    <n v="0.01"/>
    <n v="0.01"/>
    <n v="0.3"/>
    <n v="1"/>
    <n v="0.54"/>
    <n v="0.54"/>
    <n v="16.200000000000003"/>
    <n v="16.200000000000003"/>
    <n v="0"/>
    <s v="Finished"/>
    <n v="100"/>
    <n v="0.02"/>
    <n v="0.02"/>
    <n v="0.6"/>
    <d v="2025-09-16T00:00:00"/>
    <d v="2025-09-15T00:00:00"/>
    <s v="Finished"/>
    <n v="100"/>
    <n v="0.01"/>
    <n v="0.01"/>
    <n v="0.3"/>
    <d v="2025-09-19T00:00:00"/>
    <d v="2025-10-01T00:00:00"/>
    <s v="Finished"/>
    <n v="100"/>
    <n v="0.03"/>
    <n v="0.03"/>
    <n v="0.89999999999999991"/>
    <s v="Finished"/>
    <n v="100"/>
    <n v="7.0000000000000007E-2"/>
    <n v="7.0000000000000007E-2"/>
    <n v="2.1"/>
    <d v="2025-09-19T00:00:00"/>
    <d v="2025-10-09T00:00:00"/>
    <s v="Finished"/>
    <n v="100"/>
    <n v="0.04"/>
    <n v="0.04"/>
    <n v="1.2"/>
    <d v="2025-09-23T00:00:00"/>
    <d v="2025-10-23T00:00:00"/>
    <s v="In process"/>
    <n v="50"/>
    <n v="0.05"/>
    <n v="2.5000000000000001E-2"/>
    <n v="1.5"/>
    <m/>
    <m/>
    <s v="Finished"/>
    <n v="100"/>
    <n v="0.1"/>
    <n v="0.1"/>
    <n v="3"/>
    <m/>
    <d v="2025-11-25T00:00:00"/>
    <s v="Not started"/>
    <n v="0"/>
    <n v="0.03"/>
    <n v="0"/>
    <n v="0.89999999999999991"/>
    <n v="2.4"/>
    <s v="JUAN ADAME"/>
    <x v="1"/>
    <m/>
  </r>
  <r>
    <s v="MX"/>
    <x v="0"/>
    <s v="VALEO"/>
    <s v="1 set of LH-RH Fixtures for St.130"/>
    <s v="Valeo Ford 833 HL"/>
    <x v="10"/>
    <x v="26"/>
    <n v="20"/>
    <m/>
    <n v="20"/>
    <n v="12.5"/>
    <m/>
    <m/>
    <n v="0.94500000000000006"/>
    <n v="12.5"/>
    <n v="26.73"/>
    <n v="534.6"/>
    <n v="334.125"/>
    <n v="0.625"/>
    <n v="19290"/>
    <n v="10493.57"/>
    <n v="8236.48"/>
    <n v="1490"/>
    <n v="1490"/>
    <m/>
    <m/>
    <n v="15140.34"/>
    <n v="13115.74"/>
    <n v="23176.345000000001"/>
    <n v="0.21510000000000001"/>
    <n v="0.23499999999999999"/>
    <n v="0.22551244167962675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09-05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09-15T00:00:00"/>
    <s v="Finished"/>
    <n v="100"/>
    <n v="0.01"/>
    <n v="0.01"/>
    <n v="0.2"/>
    <d v="2025-09-19T00:00:00"/>
    <d v="2025-10-01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1"/>
    <m/>
  </r>
  <r>
    <s v="MX"/>
    <x v="0"/>
    <s v="VALEO"/>
    <s v="1 set of LH-RH Fixtures for St.140"/>
    <s v="Valeo Ford 833 HL"/>
    <x v="10"/>
    <x v="27"/>
    <n v="20"/>
    <m/>
    <n v="20"/>
    <n v="13"/>
    <m/>
    <m/>
    <n v="0.94500000000000006"/>
    <n v="13"/>
    <n v="26.73"/>
    <n v="534.6"/>
    <n v="347.49"/>
    <n v="0.65"/>
    <n v="23935"/>
    <n v="10493.57"/>
    <n v="8236.48"/>
    <n v="1860"/>
    <n v="1860"/>
    <m/>
    <m/>
    <n v="18786.62"/>
    <n v="16392.02"/>
    <n v="26835.99"/>
    <n v="0.21510000000000001"/>
    <n v="0.23499999999999999"/>
    <n v="0.22291581366200117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09-05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09-12T00:00:00"/>
    <s v="Finished"/>
    <n v="100"/>
    <n v="0.01"/>
    <n v="0.01"/>
    <n v="0.2"/>
    <d v="2025-09-19T00:00:00"/>
    <d v="2025-10-01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4"/>
    <m/>
  </r>
  <r>
    <s v="MX"/>
    <x v="0"/>
    <s v="VALEO"/>
    <s v="1 set of LH-RH Fixtures for St.150"/>
    <s v="Valeo Ford 833 HL"/>
    <x v="10"/>
    <x v="28"/>
    <n v="20"/>
    <m/>
    <n v="20"/>
    <n v="14.5"/>
    <m/>
    <m/>
    <n v="0.94500000000000006"/>
    <n v="14.5"/>
    <n v="26.73"/>
    <n v="534.6"/>
    <n v="387.58499999999998"/>
    <n v="0.72499999999999998"/>
    <n v="39980"/>
    <n v="10493.57"/>
    <n v="8236.48"/>
    <n v="7776"/>
    <n v="7776"/>
    <m/>
    <m/>
    <n v="31381.599999999999"/>
    <n v="23071"/>
    <n v="39471.065000000002"/>
    <n v="0.21510000000000001"/>
    <n v="0.23499999999999999"/>
    <n v="0.21874474737368688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09-05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09-12T00:00:00"/>
    <s v="Finished"/>
    <n v="100"/>
    <n v="0.01"/>
    <n v="0.01"/>
    <n v="0.2"/>
    <d v="2025-09-19T00:00:00"/>
    <d v="2025-10-01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1"/>
    <m/>
  </r>
  <r>
    <s v="MX"/>
    <x v="0"/>
    <s v="VALEO"/>
    <s v="1 set of LH-RH Fixtures for St.190"/>
    <s v="Valeo Ford 833 HL"/>
    <x v="10"/>
    <x v="29"/>
    <n v="20"/>
    <m/>
    <n v="20"/>
    <n v="13"/>
    <m/>
    <m/>
    <n v="0.94500000000000006"/>
    <n v="13"/>
    <n v="26.73"/>
    <n v="534.6"/>
    <n v="347.49"/>
    <n v="0.65"/>
    <n v="32000"/>
    <n v="10493.57"/>
    <n v="8236.48"/>
    <n v="3400"/>
    <n v="3400"/>
    <m/>
    <m/>
    <n v="25117.29"/>
    <n v="21182.690000000002"/>
    <n v="33166.660000000003"/>
    <n v="0.21510000000000001"/>
    <n v="0.23499999999999999"/>
    <n v="0.22093187499999989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09-05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09-18T00:00:00"/>
    <s v="Finished"/>
    <n v="100"/>
    <n v="0.01"/>
    <n v="0.01"/>
    <n v="0.2"/>
    <d v="2025-09-19T00:00:00"/>
    <d v="2025-10-01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4"/>
    <m/>
  </r>
  <r>
    <s v="MX"/>
    <x v="0"/>
    <s v="VALEO"/>
    <s v="1 set of LH-RH Fixtures for St.160"/>
    <s v="Valeo Ford 833 HL"/>
    <x v="10"/>
    <x v="30"/>
    <n v="20"/>
    <m/>
    <n v="20"/>
    <n v="17"/>
    <m/>
    <m/>
    <n v="0.94500000000000006"/>
    <n v="17"/>
    <n v="26.73"/>
    <n v="534.6"/>
    <n v="454.41"/>
    <n v="0.85"/>
    <n v="49060"/>
    <n v="10493.57"/>
    <n v="8236.48"/>
    <n v="9412"/>
    <n v="9412"/>
    <m/>
    <m/>
    <n v="38507.199999999997"/>
    <n v="28560.6"/>
    <n v="46663.490000000005"/>
    <n v="0.21510000000000001"/>
    <n v="0.23499999999999999"/>
    <n v="0.21673440684875658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10-10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10-15T00:00:00"/>
    <s v="Finished"/>
    <n v="100"/>
    <n v="0.01"/>
    <n v="0.01"/>
    <n v="0.2"/>
    <d v="2025-09-19T00:00:00"/>
    <d v="2025-10-22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0"/>
    <m/>
  </r>
  <r>
    <s v="MX"/>
    <x v="0"/>
    <s v="VALEO"/>
    <s v="1 set of LH-RH Fixtures for St.170"/>
    <s v="Valeo Ford 833 HL"/>
    <x v="10"/>
    <x v="31"/>
    <n v="20"/>
    <m/>
    <n v="20"/>
    <n v="11"/>
    <m/>
    <m/>
    <n v="0.94500000000000006"/>
    <n v="11"/>
    <n v="26.73"/>
    <n v="534.6"/>
    <n v="294.03000000000003"/>
    <n v="0.55000000000000004"/>
    <n v="47120"/>
    <n v="10493.57"/>
    <n v="8236.48"/>
    <n v="5886"/>
    <n v="5886"/>
    <m/>
    <m/>
    <n v="36984.800000000003"/>
    <n v="30564.200000000004"/>
    <n v="44980.710000000006"/>
    <n v="0.21510000000000001"/>
    <n v="0.23499999999999999"/>
    <n v="0.22019885398981318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10-15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10-16T00:00:00"/>
    <s v="Finished"/>
    <n v="100"/>
    <n v="0.01"/>
    <n v="0.01"/>
    <n v="0.2"/>
    <d v="2025-09-19T00:00:00"/>
    <d v="2025-10-22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2"/>
    <m/>
  </r>
  <r>
    <s v="MX"/>
    <x v="0"/>
    <s v="VALEO"/>
    <s v="1 set of LH-RH Fixtures for St.180"/>
    <s v="Valeo Ford 833 HL"/>
    <x v="10"/>
    <x v="32"/>
    <n v="20"/>
    <m/>
    <n v="20"/>
    <n v="11"/>
    <m/>
    <m/>
    <n v="0.94500000000000006"/>
    <n v="11"/>
    <n v="26.73"/>
    <n v="534.6"/>
    <n v="294.03000000000003"/>
    <n v="0.55000000000000004"/>
    <n v="46000"/>
    <n v="10493.57"/>
    <n v="8236.48"/>
    <n v="5290"/>
    <n v="5290"/>
    <m/>
    <m/>
    <n v="36105.949999999997"/>
    <n v="30281.35"/>
    <n v="44101.86"/>
    <n v="0.21510000000000001"/>
    <n v="0.23499999999999999"/>
    <n v="0.22031782608695658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10-15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10-16T00:00:00"/>
    <s v="Finished"/>
    <n v="100"/>
    <n v="0.01"/>
    <n v="0.01"/>
    <n v="0.2"/>
    <d v="2025-09-19T00:00:00"/>
    <d v="2025-10-22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2"/>
    <m/>
  </r>
  <r>
    <s v="MX"/>
    <x v="0"/>
    <s v="VALEO"/>
    <s v="1 set of LH-RH Fixtures for St.50"/>
    <s v="Valeo Ford 833 HL"/>
    <x v="10"/>
    <x v="33"/>
    <n v="20"/>
    <m/>
    <n v="20"/>
    <n v="10.5"/>
    <m/>
    <m/>
    <n v="0.94500000000000006"/>
    <n v="10.5"/>
    <n v="26.73"/>
    <n v="534.6"/>
    <n v="280.66500000000002"/>
    <n v="0.52500000000000002"/>
    <n v="29820"/>
    <n v="10493.57"/>
    <n v="8236.48"/>
    <n v="2230"/>
    <n v="2230"/>
    <m/>
    <m/>
    <n v="23405.98"/>
    <n v="20641.38"/>
    <n v="31388.525000000001"/>
    <n v="0.21510000000000001"/>
    <n v="0.23499999999999999"/>
    <n v="0.22360680751173703"/>
    <d v="2025-06-16T00:00:00"/>
    <s v="Finished"/>
    <n v="100"/>
    <n v="0.05"/>
    <n v="0.05"/>
    <n v="1"/>
    <s v="Finished"/>
    <n v="100"/>
    <n v="0.05"/>
    <n v="0.05"/>
    <n v="1"/>
    <d v="2025-06-30T00:00:00"/>
    <d v="2025-07-02T00:00:00"/>
    <s v="Finished"/>
    <n v="100"/>
    <n v="0.01"/>
    <n v="0.01"/>
    <n v="0.2"/>
    <d v="2025-09-05T00:00:00"/>
    <d v="2025-09-05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9-16T00:00:00"/>
    <d v="2025-09-12T00:00:00"/>
    <s v="Finished"/>
    <n v="100"/>
    <n v="0.01"/>
    <n v="0.01"/>
    <n v="0.2"/>
    <d v="2025-09-19T00:00:00"/>
    <d v="2025-10-01T00:00:00"/>
    <s v="Finished"/>
    <n v="100"/>
    <n v="0.03"/>
    <n v="0.03"/>
    <n v="0.6"/>
    <s v="Finished"/>
    <n v="100"/>
    <n v="7.0000000000000007E-2"/>
    <n v="7.0000000000000007E-2"/>
    <n v="1.4000000000000001"/>
    <d v="2025-09-19T00:00:00"/>
    <d v="2025-10-09T00:00:00"/>
    <s v="Finished"/>
    <n v="100"/>
    <n v="0.04"/>
    <n v="0.04"/>
    <n v="0.8"/>
    <d v="2025-09-23T00:00:00"/>
    <d v="2025-10-23T00:00:00"/>
    <s v="In process"/>
    <n v="50"/>
    <n v="0.05"/>
    <n v="2.5000000000000001E-2"/>
    <n v="1"/>
    <m/>
    <m/>
    <s v="Finished"/>
    <n v="100"/>
    <n v="0.1"/>
    <n v="0.1"/>
    <n v="2"/>
    <m/>
    <d v="2025-11-25T00:00:00"/>
    <s v="Not started"/>
    <n v="0"/>
    <n v="0.03"/>
    <n v="0"/>
    <n v="0.6"/>
    <n v="1.6"/>
    <s v="JUAN ADAME"/>
    <x v="4"/>
    <m/>
  </r>
  <r>
    <s v="MX"/>
    <x v="0"/>
    <s v="VALEO"/>
    <s v="Bonding Fixtures St.120"/>
    <s v="Valeo Ford 833 HL"/>
    <x v="10"/>
    <x v="34"/>
    <n v="9"/>
    <m/>
    <n v="9"/>
    <n v="11"/>
    <m/>
    <n v="5"/>
    <n v="0.94500000000000006"/>
    <n v="11"/>
    <n v="26.73"/>
    <n v="240.57"/>
    <n v="294.03000000000003"/>
    <n v="1.2222222222222223"/>
    <n v="19750"/>
    <n v="10493.57"/>
    <n v="8236.48"/>
    <n v="7400"/>
    <n v="7400"/>
    <m/>
    <m/>
    <n v="15500.29"/>
    <n v="7859.7200000000012"/>
    <n v="23790.230000000003"/>
    <n v="0.21510000000000001"/>
    <n v="0.23499999999999999"/>
    <n v="0.21246835443037965"/>
    <d v="2025-06-16T00:00:00"/>
    <s v="Finished"/>
    <n v="100"/>
    <n v="0.05"/>
    <n v="0.05"/>
    <n v="0.45"/>
    <s v="Finished"/>
    <n v="100"/>
    <n v="0.05"/>
    <n v="0.05"/>
    <n v="0.45"/>
    <d v="2025-06-30T00:00:00"/>
    <d v="2025-07-02T00:00:00"/>
    <s v="Finished"/>
    <n v="100"/>
    <n v="0.01"/>
    <n v="0.01"/>
    <n v="0.09"/>
    <d v="2025-09-05T00:00:00"/>
    <d v="2025-09-05T00:00:00"/>
    <s v="Finished"/>
    <n v="100"/>
    <n v="0.01"/>
    <n v="0.01"/>
    <n v="0.09"/>
    <s v="Finished"/>
    <n v="100"/>
    <n v="0.08"/>
    <n v="0.08"/>
    <n v="0.72"/>
    <s v="Finished"/>
    <n v="100"/>
    <n v="0.18"/>
    <n v="0.18"/>
    <n v="1.6199999999999999"/>
    <s v="Finished"/>
    <n v="100"/>
    <n v="0.28000000000000003"/>
    <n v="0.28000000000000003"/>
    <n v="2.5200000000000005"/>
    <s v="Finished"/>
    <n v="100"/>
    <n v="0.15"/>
    <n v="0.15"/>
    <n v="1.3499999999999999"/>
    <s v="Finished"/>
    <n v="100"/>
    <n v="0.16"/>
    <n v="0.16"/>
    <n v="1.44"/>
    <s v="Finished"/>
    <n v="100"/>
    <n v="0.13"/>
    <n v="0.13"/>
    <n v="1.17"/>
    <s v="Finished"/>
    <n v="100"/>
    <n v="0.01"/>
    <n v="0.01"/>
    <n v="0.09"/>
    <n v="1"/>
    <n v="0.54"/>
    <n v="0.54"/>
    <n v="4.8600000000000003"/>
    <n v="4.8600000000000003"/>
    <n v="0"/>
    <s v="Finished"/>
    <n v="100"/>
    <n v="0.02"/>
    <n v="0.02"/>
    <n v="0.18"/>
    <d v="2025-09-16T00:00:00"/>
    <d v="2025-09-22T00:00:00"/>
    <s v="Finished"/>
    <n v="100"/>
    <n v="0.01"/>
    <n v="0.01"/>
    <n v="0.09"/>
    <d v="2025-09-19T00:00:00"/>
    <d v="2025-10-22T00:00:00"/>
    <s v="Finished"/>
    <n v="100"/>
    <n v="0.03"/>
    <n v="0.03"/>
    <n v="0.27"/>
    <s v="Finished"/>
    <n v="100"/>
    <n v="7.0000000000000007E-2"/>
    <n v="7.0000000000000007E-2"/>
    <n v="0.63000000000000012"/>
    <d v="2025-09-19T00:00:00"/>
    <d v="2025-10-09T00:00:00"/>
    <s v="Finished"/>
    <n v="100"/>
    <n v="0.04"/>
    <n v="0.04"/>
    <n v="0.36"/>
    <d v="2025-09-23T00:00:00"/>
    <d v="2025-10-23T00:00:00"/>
    <s v="In process"/>
    <n v="50"/>
    <n v="0.05"/>
    <n v="2.5000000000000001E-2"/>
    <n v="0.45"/>
    <m/>
    <m/>
    <s v="Finished"/>
    <n v="100"/>
    <n v="0.1"/>
    <n v="0.1"/>
    <n v="0.9"/>
    <m/>
    <d v="2025-11-25T00:00:00"/>
    <s v="Not started"/>
    <n v="0"/>
    <n v="0.03"/>
    <n v="0"/>
    <n v="0.27"/>
    <n v="0.72"/>
    <s v="JUAN ADAME"/>
    <x v="0"/>
    <m/>
  </r>
  <r>
    <s v="MX"/>
    <x v="0"/>
    <s v="VALEO"/>
    <s v="EOAT for the Lens St.120"/>
    <s v="Valeo Ford 833 HL"/>
    <x v="10"/>
    <x v="35"/>
    <n v="9"/>
    <m/>
    <n v="9"/>
    <n v="6"/>
    <m/>
    <m/>
    <n v="0.94500000000000006"/>
    <n v="6"/>
    <n v="26.73"/>
    <n v="240.57"/>
    <n v="160.38"/>
    <n v="0.66666666666666663"/>
    <n v="27180"/>
    <n v="10493.57"/>
    <n v="8236.48"/>
    <n v="4280"/>
    <n v="4280"/>
    <m/>
    <m/>
    <n v="21330.45"/>
    <n v="16809.88"/>
    <n v="29486.74"/>
    <n v="0.215"/>
    <n v="0.23499999999999999"/>
    <n v="0.21816556291390721"/>
    <d v="2025-06-16T00:00:00"/>
    <s v="Finished"/>
    <n v="100"/>
    <n v="0.05"/>
    <n v="0.05"/>
    <n v="0.45"/>
    <s v="Finished"/>
    <n v="100"/>
    <n v="0.05"/>
    <n v="0.05"/>
    <n v="0.45"/>
    <d v="2025-06-30T00:00:00"/>
    <m/>
    <s v="Finished"/>
    <n v="100"/>
    <n v="0.01"/>
    <n v="0.01"/>
    <n v="0.09"/>
    <d v="2025-09-05T00:00:00"/>
    <d v="2025-09-22T00:00:00"/>
    <s v="Finished"/>
    <n v="100"/>
    <n v="0.01"/>
    <n v="0.01"/>
    <n v="0.09"/>
    <s v="Finished"/>
    <n v="100"/>
    <n v="0.08"/>
    <n v="0.08"/>
    <n v="0.72"/>
    <s v="Finished"/>
    <n v="100"/>
    <n v="0.18"/>
    <n v="0.18"/>
    <n v="1.6199999999999999"/>
    <s v="Finished"/>
    <n v="100"/>
    <n v="0.28000000000000003"/>
    <n v="0.28000000000000003"/>
    <n v="2.5200000000000005"/>
    <s v="Finished"/>
    <n v="100"/>
    <n v="0.15"/>
    <n v="0.15"/>
    <n v="1.3499999999999999"/>
    <s v="Finished"/>
    <n v="100"/>
    <n v="0.16"/>
    <n v="0.16"/>
    <n v="1.44"/>
    <s v="Finished"/>
    <n v="100"/>
    <n v="0.13"/>
    <n v="0.13"/>
    <n v="1.17"/>
    <s v="Finished"/>
    <n v="100"/>
    <n v="0.01"/>
    <n v="0.01"/>
    <n v="0.09"/>
    <n v="1"/>
    <n v="0.54"/>
    <n v="0.54"/>
    <n v="4.8600000000000003"/>
    <n v="4.8600000000000003"/>
    <n v="0"/>
    <s v="Finished"/>
    <n v="100"/>
    <n v="0.02"/>
    <n v="0.02"/>
    <n v="0.18"/>
    <d v="2025-09-16T00:00:00"/>
    <d v="2025-09-26T00:00:00"/>
    <s v="Finished"/>
    <n v="100"/>
    <n v="0.01"/>
    <n v="0.01"/>
    <n v="0.09"/>
    <d v="2025-09-19T00:00:00"/>
    <d v="2025-10-22T00:00:00"/>
    <s v="Finished"/>
    <n v="100"/>
    <n v="0.03"/>
    <n v="0.03"/>
    <n v="0.27"/>
    <s v="Finished"/>
    <n v="100"/>
    <n v="7.0000000000000007E-2"/>
    <n v="7.0000000000000007E-2"/>
    <n v="0.63000000000000012"/>
    <d v="2025-09-19T00:00:00"/>
    <d v="2025-10-09T00:00:00"/>
    <s v="Finished"/>
    <n v="100"/>
    <n v="0.04"/>
    <n v="0.04"/>
    <n v="0.36"/>
    <d v="2025-09-23T00:00:00"/>
    <d v="2025-10-23T00:00:00"/>
    <s v="In process"/>
    <n v="50"/>
    <n v="0.05"/>
    <n v="2.5000000000000001E-2"/>
    <n v="0.45"/>
    <m/>
    <m/>
    <s v="Finished"/>
    <n v="100"/>
    <n v="0.1"/>
    <n v="0.1"/>
    <n v="0.9"/>
    <m/>
    <d v="2025-11-25T00:00:00"/>
    <s v="Not started"/>
    <n v="0"/>
    <n v="0.03"/>
    <n v="0"/>
    <n v="0.27"/>
    <n v="0.72"/>
    <s v="JUAN ADAME"/>
    <x v="0"/>
    <m/>
  </r>
  <r>
    <s v="MX"/>
    <x v="0"/>
    <s v="VALEO"/>
    <s v="EOAT for the Housing St.120"/>
    <s v="Valeo Ford 833 HL"/>
    <x v="10"/>
    <x v="36"/>
    <n v="7"/>
    <m/>
    <n v="7"/>
    <n v="5"/>
    <m/>
    <m/>
    <n v="0.94500000000000006"/>
    <n v="5"/>
    <n v="26.73"/>
    <n v="187.11"/>
    <n v="133.65"/>
    <n v="0.7142857142857143"/>
    <n v="8485"/>
    <n v="25428.57"/>
    <n v="8236.48"/>
    <n v="260"/>
    <n v="260"/>
    <m/>
    <m/>
    <n v="6660.51"/>
    <n v="6213.4000000000005"/>
    <n v="14843.529999999999"/>
    <n v="0.215"/>
    <n v="0.23499999999999999"/>
    <n v="0.22132586918090746"/>
    <d v="2025-06-16T00:00:00"/>
    <s v="Finished"/>
    <n v="100"/>
    <n v="0.05"/>
    <n v="0.05"/>
    <n v="0.35000000000000003"/>
    <s v="Finished"/>
    <n v="100"/>
    <n v="0.05"/>
    <n v="0.05"/>
    <n v="0.35000000000000003"/>
    <d v="2025-06-30T00:00:00"/>
    <m/>
    <s v="Finished"/>
    <n v="100"/>
    <n v="0.01"/>
    <n v="0.01"/>
    <n v="7.0000000000000007E-2"/>
    <d v="2025-09-05T00:00:00"/>
    <d v="2025-09-05T00:00:00"/>
    <s v="Finished"/>
    <n v="100"/>
    <n v="0.01"/>
    <n v="0.01"/>
    <n v="7.0000000000000007E-2"/>
    <s v="Finished"/>
    <n v="100"/>
    <n v="0.08"/>
    <n v="0.08"/>
    <n v="0.56000000000000005"/>
    <s v="Finished"/>
    <n v="100"/>
    <n v="0.18"/>
    <n v="0.18"/>
    <n v="1.26"/>
    <s v="Finished"/>
    <n v="100"/>
    <n v="0.28000000000000003"/>
    <n v="0.28000000000000003"/>
    <n v="1.9600000000000002"/>
    <s v="Finished"/>
    <n v="100"/>
    <n v="0.15"/>
    <n v="0.15"/>
    <n v="1.05"/>
    <s v="Finished"/>
    <n v="100"/>
    <n v="0.16"/>
    <n v="0.16"/>
    <n v="1.1200000000000001"/>
    <s v="Finished"/>
    <n v="100"/>
    <n v="0.13"/>
    <n v="0.13"/>
    <n v="0.91"/>
    <s v="Finished"/>
    <n v="100"/>
    <n v="0.01"/>
    <n v="0.01"/>
    <n v="7.0000000000000007E-2"/>
    <n v="1"/>
    <n v="0.54"/>
    <n v="0.54"/>
    <n v="3.7800000000000002"/>
    <n v="3.7800000000000002"/>
    <n v="0"/>
    <s v="Finished"/>
    <n v="100"/>
    <n v="0.02"/>
    <n v="0.02"/>
    <n v="0.14000000000000001"/>
    <d v="2025-09-16T00:00:00"/>
    <d v="2025-09-22T00:00:00"/>
    <s v="Finished"/>
    <n v="100"/>
    <n v="0.01"/>
    <n v="0.01"/>
    <n v="7.0000000000000007E-2"/>
    <d v="2025-09-19T00:00:00"/>
    <d v="2025-10-22T00:00:00"/>
    <s v="Finished"/>
    <n v="100"/>
    <n v="0.03"/>
    <n v="0.03"/>
    <n v="0.21"/>
    <s v="Finished"/>
    <n v="100"/>
    <n v="7.0000000000000007E-2"/>
    <n v="7.0000000000000007E-2"/>
    <n v="0.49000000000000005"/>
    <d v="2025-09-19T00:00:00"/>
    <d v="2025-10-09T00:00:00"/>
    <s v="Finished"/>
    <n v="100"/>
    <n v="0.04"/>
    <n v="0.04"/>
    <n v="0.28000000000000003"/>
    <d v="2025-09-23T00:00:00"/>
    <d v="2025-10-23T00:00:00"/>
    <s v="In process"/>
    <n v="50"/>
    <n v="0.05"/>
    <n v="2.5000000000000001E-2"/>
    <n v="0.35000000000000003"/>
    <m/>
    <m/>
    <s v="Finished"/>
    <n v="100"/>
    <n v="0.1"/>
    <n v="0.1"/>
    <n v="0.70000000000000007"/>
    <m/>
    <d v="2025-11-25T00:00:00"/>
    <s v="Not started"/>
    <n v="0"/>
    <n v="0.03"/>
    <n v="0"/>
    <n v="0.21"/>
    <n v="0.56000000000000005"/>
    <s v="JUAN ADAME"/>
    <x v="0"/>
    <m/>
  </r>
  <r>
    <s v="MX"/>
    <x v="2"/>
    <s v="Inteva"/>
    <s v="A. IP Assy &amp; Verification Machine - M1J0208ASY01-1 No1 RevH"/>
    <s v="INTEVA J02 y J08 IP NAVISTAR"/>
    <x v="11"/>
    <x v="37"/>
    <n v="100"/>
    <m/>
    <n v="100"/>
    <n v="28"/>
    <m/>
    <m/>
    <n v="0.40225"/>
    <n v="28.000000000000004"/>
    <n v="34"/>
    <n v="3400"/>
    <n v="952"/>
    <n v="0.28000000000000003"/>
    <n v="172749"/>
    <n v="8193"/>
    <n v="6820.28"/>
    <n v="40552.730000000003"/>
    <n v="40552.730000000003"/>
    <m/>
    <m/>
    <n v="139545.12"/>
    <n v="95592.389999999985"/>
    <n v="143917.4"/>
    <n v="0.19220000000000001"/>
    <n v="0.1651"/>
    <n v="0.20637966066373759"/>
    <d v="2025-10-25T00:00:00"/>
    <s v="Finished"/>
    <n v="100"/>
    <n v="0.05"/>
    <n v="0.05"/>
    <n v="5"/>
    <s v="Finished"/>
    <n v="100"/>
    <n v="0.05"/>
    <n v="0.05"/>
    <n v="5"/>
    <d v="2025-11-25T00:00:00"/>
    <d v="2025-11-25T00:00:00"/>
    <s v="Draft"/>
    <n v="25"/>
    <n v="0.01"/>
    <n v="2.5000000000000001E-3"/>
    <n v="1"/>
    <d v="2026-02-02T00:00:00"/>
    <m/>
    <s v="In process"/>
    <n v="50"/>
    <n v="0.01"/>
    <n v="5.0000000000000001E-3"/>
    <n v="1"/>
    <s v="In process"/>
    <n v="50"/>
    <n v="0.08"/>
    <n v="0.04"/>
    <n v="8"/>
    <s v="In process"/>
    <n v="50"/>
    <n v="0.18"/>
    <n v="0.09"/>
    <n v="18"/>
    <s v="In process"/>
    <n v="50"/>
    <n v="0.28000000000000003"/>
    <n v="0.14000000000000001"/>
    <n v="28.000000000000004"/>
    <s v="In process"/>
    <n v="50"/>
    <n v="0.15"/>
    <n v="7.4999999999999997E-2"/>
    <n v="15"/>
    <s v="In process"/>
    <n v="50"/>
    <n v="0.16"/>
    <n v="0.08"/>
    <n v="16"/>
    <s v="Draft"/>
    <n v="25"/>
    <n v="0.13"/>
    <n v="3.2500000000000001E-2"/>
    <n v="13"/>
    <s v="Not started"/>
    <n v="0"/>
    <n v="0.01"/>
    <n v="0"/>
    <n v="1"/>
    <n v="0.46249999999999997"/>
    <n v="0.54"/>
    <n v="0.24975"/>
    <n v="54"/>
    <n v="24.975000000000001"/>
    <n v="29.024999999999999"/>
    <s v="Not started"/>
    <n v="0"/>
    <n v="0.02"/>
    <n v="0"/>
    <n v="2"/>
    <d v="2026-02-18T00:00:00"/>
    <m/>
    <s v="Not started"/>
    <n v="0"/>
    <n v="0.01"/>
    <n v="0"/>
    <n v="1"/>
    <d v="2026-02-23T00:00:00"/>
    <m/>
    <s v="In process"/>
    <n v="50"/>
    <n v="0.03"/>
    <n v="1.4999999999999999E-2"/>
    <n v="3"/>
    <s v="In process"/>
    <n v="50"/>
    <n v="7.0000000000000007E-2"/>
    <n v="3.5000000000000003E-2"/>
    <n v="7.0000000000000009"/>
    <d v="2026-02-24T00:00:00"/>
    <m/>
    <s v="Not started"/>
    <n v="0"/>
    <n v="0.04"/>
    <n v="0"/>
    <n v="4"/>
    <d v="2026-02-26T00:00:00"/>
    <m/>
    <s v="Not started"/>
    <n v="0"/>
    <n v="0.05"/>
    <n v="0"/>
    <n v="5"/>
    <d v="2026-03-25T00:00:00"/>
    <m/>
    <s v="Not started"/>
    <n v="0"/>
    <n v="0.1"/>
    <n v="0"/>
    <n v="10"/>
    <d v="2026-04-06T00:00:00"/>
    <m/>
    <s v="Not started"/>
    <n v="0"/>
    <n v="0.03"/>
    <n v="0"/>
    <n v="3"/>
    <n v="65.025000000000006"/>
    <s v="ADRIAN CABELLO"/>
    <x v="4"/>
    <m/>
  </r>
  <r>
    <s v="MX"/>
    <x v="2"/>
    <s v="Inteva"/>
    <s v="B. IP Assy &amp; Verification Machine - M1J0208ASY03 No3 RevH"/>
    <s v="INTEVA J02 y J08 IP NAVISTAR"/>
    <x v="11"/>
    <x v="38"/>
    <n v="64"/>
    <m/>
    <n v="64"/>
    <n v="19"/>
    <m/>
    <m/>
    <n v="0.40225"/>
    <n v="19"/>
    <n v="34"/>
    <n v="2176"/>
    <n v="646"/>
    <n v="0.296875"/>
    <n v="141762"/>
    <n v="8193"/>
    <n v="6820.28"/>
    <n v="34658.33"/>
    <n v="34658.33"/>
    <m/>
    <m/>
    <n v="119560.78"/>
    <n v="82726.45"/>
    <n v="124851.06"/>
    <n v="0.15659999999999999"/>
    <n v="0.1651"/>
    <n v="0.16740184252479509"/>
    <d v="2025-10-25T00:00:00"/>
    <s v="Finished"/>
    <n v="100"/>
    <n v="0.05"/>
    <n v="0.05"/>
    <n v="3.2"/>
    <s v="Finished"/>
    <n v="100"/>
    <n v="0.05"/>
    <n v="0.05"/>
    <n v="3.2"/>
    <d v="2025-11-25T00:00:00"/>
    <d v="2025-11-25T00:00:00"/>
    <s v="Draft"/>
    <n v="25"/>
    <n v="0.01"/>
    <n v="2.5000000000000001E-3"/>
    <n v="0.64"/>
    <d v="2026-02-02T00:00:00"/>
    <m/>
    <s v="In process"/>
    <n v="50"/>
    <n v="0.01"/>
    <n v="5.0000000000000001E-3"/>
    <n v="0.64"/>
    <s v="In process"/>
    <n v="50"/>
    <n v="0.08"/>
    <n v="0.04"/>
    <n v="5.12"/>
    <s v="In process"/>
    <n v="50"/>
    <n v="0.18"/>
    <n v="0.09"/>
    <n v="11.52"/>
    <s v="In process"/>
    <n v="50"/>
    <n v="0.28000000000000003"/>
    <n v="0.14000000000000001"/>
    <n v="17.920000000000002"/>
    <s v="In process"/>
    <n v="50"/>
    <n v="0.15"/>
    <n v="7.4999999999999997E-2"/>
    <n v="9.6"/>
    <s v="In process"/>
    <n v="50"/>
    <n v="0.16"/>
    <n v="0.08"/>
    <n v="10.24"/>
    <s v="Draft"/>
    <n v="25"/>
    <n v="0.13"/>
    <n v="3.2500000000000001E-2"/>
    <n v="8.32"/>
    <s v="Not started"/>
    <n v="0"/>
    <n v="0.01"/>
    <n v="0"/>
    <n v="0.64"/>
    <n v="0.46249999999999997"/>
    <n v="0.54"/>
    <n v="0.24975"/>
    <n v="34.56"/>
    <n v="15.984"/>
    <n v="18.576000000000001"/>
    <s v="Not started"/>
    <n v="0"/>
    <n v="0.02"/>
    <n v="0"/>
    <n v="1.28"/>
    <d v="2026-02-18T00:00:00"/>
    <m/>
    <s v="Not started"/>
    <n v="0"/>
    <n v="0.01"/>
    <n v="0"/>
    <n v="0.64"/>
    <d v="2026-02-23T00:00:00"/>
    <m/>
    <s v="In process"/>
    <n v="50"/>
    <n v="0.03"/>
    <n v="1.4999999999999999E-2"/>
    <n v="1.92"/>
    <s v="In process"/>
    <n v="50"/>
    <n v="7.0000000000000007E-2"/>
    <n v="3.5000000000000003E-2"/>
    <n v="4.4800000000000004"/>
    <d v="2026-02-24T00:00:00"/>
    <m/>
    <s v="Not started"/>
    <n v="0"/>
    <n v="0.04"/>
    <n v="0"/>
    <n v="2.56"/>
    <d v="2026-02-26T00:00:00"/>
    <m/>
    <s v="Not started"/>
    <n v="0"/>
    <n v="0.05"/>
    <n v="0"/>
    <n v="3.2"/>
    <d v="2026-03-25T00:00:00"/>
    <m/>
    <s v="Not started"/>
    <n v="0"/>
    <n v="0.1"/>
    <n v="0"/>
    <n v="6.4"/>
    <d v="2026-04-06T00:00:00"/>
    <m/>
    <s v="Not started"/>
    <n v="0"/>
    <n v="0.03"/>
    <n v="0"/>
    <n v="1.92"/>
    <n v="41.616000000000007"/>
    <s v="ADRIAN CABELLO"/>
    <x v="4"/>
    <m/>
  </r>
  <r>
    <s v="MX"/>
    <x v="2"/>
    <s v="Inteva"/>
    <s v="C. IP &amp; Fuse Cover Final Assy &amp; Verification Machine - M1J0208ASY04-1 No4A RevH"/>
    <s v="INTEVA J02 y J08 IP NAVISTAR"/>
    <x v="11"/>
    <x v="39"/>
    <n v="95"/>
    <m/>
    <n v="95"/>
    <n v="30"/>
    <m/>
    <m/>
    <n v="0.58385000000000009"/>
    <n v="30"/>
    <n v="34"/>
    <n v="3230"/>
    <n v="1020"/>
    <n v="0.31578947368421051"/>
    <n v="150156"/>
    <n v="8193"/>
    <n v="6820.28"/>
    <n v="36425.730000000003"/>
    <n v="36425.730000000003"/>
    <m/>
    <m/>
    <n v="127680.17"/>
    <n v="88024.44"/>
    <n v="132290.45000000001"/>
    <n v="0.1497"/>
    <n v="0.1651"/>
    <n v="0.16440122272836241"/>
    <d v="2025-10-25T00:00:00"/>
    <s v="Finished"/>
    <n v="100"/>
    <n v="0.05"/>
    <n v="0.05"/>
    <n v="4.75"/>
    <s v="Finished"/>
    <n v="100"/>
    <n v="0.05"/>
    <n v="0.05"/>
    <n v="4.75"/>
    <d v="2025-11-25T00:00:00"/>
    <d v="2025-11-25T00:00:00"/>
    <s v="Draft"/>
    <n v="25"/>
    <n v="0.01"/>
    <n v="2.5000000000000001E-3"/>
    <n v="0.95000000000000007"/>
    <d v="2026-02-02T00:00:00"/>
    <m/>
    <s v="Finished"/>
    <n v="100"/>
    <n v="0.01"/>
    <n v="0.01"/>
    <n v="0.95000000000000007"/>
    <s v="Almost ready"/>
    <n v="75"/>
    <n v="0.08"/>
    <n v="0.06"/>
    <n v="7.6000000000000005"/>
    <s v="Almost ready"/>
    <n v="75"/>
    <n v="0.18"/>
    <n v="0.13500000000000001"/>
    <n v="17.099999999999998"/>
    <s v="Almost ready"/>
    <n v="75"/>
    <n v="0.28000000000000003"/>
    <n v="0.21000000000000005"/>
    <n v="26.6"/>
    <s v="Almost ready"/>
    <n v="75"/>
    <n v="0.15"/>
    <n v="0.1125"/>
    <n v="14.25"/>
    <s v="Almost ready"/>
    <n v="75"/>
    <n v="0.16"/>
    <n v="0.12"/>
    <n v="15.200000000000001"/>
    <s v="Almost ready"/>
    <n v="75"/>
    <n v="0.13"/>
    <n v="9.7500000000000003E-2"/>
    <n v="12.35"/>
    <s v="Almost ready"/>
    <n v="75"/>
    <n v="0.01"/>
    <n v="7.4999999999999997E-3"/>
    <n v="0.95000000000000007"/>
    <n v="0.75250000000000017"/>
    <n v="0.54"/>
    <n v="0.4063500000000001"/>
    <n v="51.300000000000004"/>
    <n v="38.60325000000001"/>
    <n v="12.696749999999994"/>
    <s v="Not started"/>
    <n v="0"/>
    <n v="0.02"/>
    <n v="0"/>
    <n v="1.9000000000000001"/>
    <d v="2026-02-18T00:00:00"/>
    <m/>
    <s v="Not started"/>
    <n v="0"/>
    <n v="0.01"/>
    <n v="0"/>
    <n v="0.95000000000000007"/>
    <d v="2026-02-23T00:00:00"/>
    <m/>
    <s v="Almost ready"/>
    <n v="75"/>
    <n v="0.03"/>
    <n v="2.2499999999999999E-2"/>
    <n v="2.85"/>
    <s v="Almost ready"/>
    <n v="75"/>
    <n v="7.0000000000000007E-2"/>
    <n v="5.2500000000000012E-2"/>
    <n v="6.65"/>
    <d v="2026-02-24T00:00:00"/>
    <m/>
    <s v="Not started"/>
    <n v="0"/>
    <n v="0.04"/>
    <n v="0"/>
    <n v="3.8000000000000003"/>
    <d v="2026-02-26T00:00:00"/>
    <m/>
    <s v="Not started"/>
    <n v="0"/>
    <n v="0.05"/>
    <n v="0"/>
    <n v="4.75"/>
    <d v="2026-03-25T00:00:00"/>
    <m/>
    <s v="Not started"/>
    <n v="0"/>
    <n v="0.1"/>
    <n v="0"/>
    <n v="9.5"/>
    <d v="2026-04-06T00:00:00"/>
    <m/>
    <s v="Not started"/>
    <n v="0"/>
    <n v="0.03"/>
    <n v="0"/>
    <n v="2.85"/>
    <n v="46.896750000000004"/>
    <s v="ADRIAN CABELLO"/>
    <x v="4"/>
    <m/>
  </r>
  <r>
    <s v="MX"/>
    <x v="1"/>
    <s v="Inteva"/>
    <s v="Single Cavity Clip Press with Ergo Assist Arm - GACCIASY01"/>
    <m/>
    <x v="12"/>
    <x v="40"/>
    <n v="30"/>
    <m/>
    <n v="30"/>
    <n v="32"/>
    <m/>
    <n v="7.5"/>
    <n v="1"/>
    <n v="32"/>
    <n v="33.43"/>
    <n v="1002.9"/>
    <n v="1069.76"/>
    <n v="1.0666666666666667"/>
    <n v="68888"/>
    <n v="8635.1"/>
    <m/>
    <n v="17054"/>
    <n v="17054"/>
    <m/>
    <m/>
    <m/>
    <n v="-18056.900000000001"/>
    <n v="66.859999999998536"/>
    <n v="0.1517"/>
    <n v="0.19980000000000001"/>
    <n v="0.99902943908953667"/>
    <d v="2025-08-27T00:00:00"/>
    <s v="Finished"/>
    <n v="100"/>
    <n v="0.05"/>
    <n v="0.05"/>
    <n v="1.5"/>
    <s v="Finished"/>
    <n v="100"/>
    <n v="0.05"/>
    <n v="0.05"/>
    <n v="1.5"/>
    <d v="2025-08-18T00:00:00"/>
    <d v="2025-07-25T00:00:00"/>
    <s v="Finished"/>
    <n v="100"/>
    <n v="0.01"/>
    <n v="0.01"/>
    <n v="0.3"/>
    <d v="2025-08-18T00:00:00"/>
    <d v="2025-08-14T00:00:00"/>
    <s v="Finished"/>
    <n v="100"/>
    <n v="0.01"/>
    <n v="0.01"/>
    <n v="0.3"/>
    <s v="Finished"/>
    <n v="100"/>
    <n v="0.08"/>
    <n v="0.08"/>
    <n v="2.4"/>
    <s v="Finished"/>
    <n v="100"/>
    <n v="0.18"/>
    <n v="0.18"/>
    <n v="5.3999999999999995"/>
    <s v="Finished"/>
    <n v="100"/>
    <n v="0.28000000000000003"/>
    <n v="0.28000000000000003"/>
    <n v="8.4"/>
    <s v="Finished"/>
    <n v="100"/>
    <n v="0.15"/>
    <n v="0.15"/>
    <n v="4.5"/>
    <s v="Finished"/>
    <n v="100"/>
    <n v="0.16"/>
    <n v="0.16"/>
    <n v="4.8"/>
    <s v="Finished"/>
    <n v="100"/>
    <n v="0.13"/>
    <n v="0.13"/>
    <n v="3.9000000000000004"/>
    <s v="Finished"/>
    <n v="100"/>
    <n v="0.01"/>
    <n v="0.01"/>
    <n v="0.3"/>
    <n v="1"/>
    <n v="0.54"/>
    <n v="0.54"/>
    <n v="16.200000000000003"/>
    <n v="16.200000000000003"/>
    <n v="0"/>
    <s v="Finished"/>
    <n v="100"/>
    <n v="0.02"/>
    <n v="0.02"/>
    <n v="0.6"/>
    <d v="2025-08-26T00:00:00"/>
    <d v="2025-09-01T00:00:00"/>
    <s v="Finished"/>
    <n v="100"/>
    <n v="0.01"/>
    <n v="0.01"/>
    <n v="0.3"/>
    <d v="2025-08-28T00:00:00"/>
    <d v="2025-09-05T00:00:00"/>
    <s v="Finished"/>
    <n v="100"/>
    <n v="0.03"/>
    <n v="0.03"/>
    <n v="0.89999999999999991"/>
    <s v="Finished"/>
    <n v="100"/>
    <n v="7.0000000000000007E-2"/>
    <n v="7.0000000000000007E-2"/>
    <n v="2.1"/>
    <d v="2025-08-29T00:00:00"/>
    <d v="2025-09-03T00:00:00"/>
    <s v="Finished"/>
    <n v="100"/>
    <n v="0.04"/>
    <n v="0.04"/>
    <n v="1.2"/>
    <d v="2025-09-02T00:00:00"/>
    <d v="2025-09-02T00:00:00"/>
    <s v="Finished"/>
    <n v="100"/>
    <n v="0.05"/>
    <n v="0.05"/>
    <n v="1.5"/>
    <m/>
    <m/>
    <s v="Finished"/>
    <n v="100"/>
    <n v="0.1"/>
    <n v="0.1"/>
    <n v="3"/>
    <m/>
    <m/>
    <s v="Finished"/>
    <n v="100"/>
    <n v="0.03"/>
    <n v="0.03"/>
    <n v="0.89999999999999991"/>
    <n v="0"/>
    <s v="FIDEL MALDONADO"/>
    <x v="2"/>
    <m/>
  </r>
  <r>
    <s v="MX"/>
    <x v="1"/>
    <s v="Inteva"/>
    <s v="Two Cavity Clip Press - GACCICPR01"/>
    <m/>
    <x v="12"/>
    <x v="41"/>
    <n v="20"/>
    <m/>
    <n v="20"/>
    <n v="22.5"/>
    <m/>
    <n v="2.5"/>
    <n v="1"/>
    <n v="22.5"/>
    <n v="33.43"/>
    <n v="668.6"/>
    <n v="752.17499999999995"/>
    <n v="1.125"/>
    <n v="136638"/>
    <n v="1000"/>
    <m/>
    <n v="39296.620000000003"/>
    <n v="39296.620000000003"/>
    <m/>
    <m/>
    <m/>
    <n v="-39965.22"/>
    <n v="83.57500000000141"/>
    <n v="0.15160000000000001"/>
    <n v="0.19980000000000001"/>
    <n v="0.99938834731187509"/>
    <d v="2025-08-27T00:00:00"/>
    <s v="Finished"/>
    <n v="100"/>
    <n v="0.05"/>
    <n v="0.05"/>
    <n v="1"/>
    <s v="Finished"/>
    <n v="100"/>
    <n v="0.05"/>
    <n v="0.05"/>
    <n v="1"/>
    <d v="2025-08-18T00:00:00"/>
    <d v="2025-07-25T00:00:00"/>
    <s v="Finished"/>
    <n v="100"/>
    <n v="0.01"/>
    <n v="0.01"/>
    <n v="0.2"/>
    <d v="2025-08-18T00:00:00"/>
    <d v="2025-08-14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8-26T00:00:00"/>
    <d v="2025-09-01T00:00:00"/>
    <s v="Finished"/>
    <n v="100"/>
    <n v="0.01"/>
    <n v="0.01"/>
    <n v="0.2"/>
    <d v="2025-08-28T00:00:00"/>
    <d v="2025-09-05T00:00:00"/>
    <s v="Finished"/>
    <n v="100"/>
    <n v="0.03"/>
    <n v="0.03"/>
    <n v="0.6"/>
    <s v="Finished"/>
    <n v="100"/>
    <n v="7.0000000000000007E-2"/>
    <n v="7.0000000000000007E-2"/>
    <n v="1.4000000000000001"/>
    <d v="2025-08-29T00:00:00"/>
    <d v="2025-09-03T00:00:00"/>
    <s v="Finished"/>
    <n v="100"/>
    <n v="0.04"/>
    <n v="0.04"/>
    <n v="0.8"/>
    <d v="2025-09-02T00:00:00"/>
    <d v="2025-09-02T00:00:00"/>
    <s v="Finished"/>
    <n v="100"/>
    <n v="0.05"/>
    <n v="0.05"/>
    <n v="1"/>
    <m/>
    <m/>
    <s v="Finished"/>
    <n v="100"/>
    <n v="0.1"/>
    <n v="0.1"/>
    <n v="2"/>
    <m/>
    <m/>
    <s v="Finished"/>
    <n v="100"/>
    <n v="0.03"/>
    <n v="0.03"/>
    <n v="0.6"/>
    <n v="0"/>
    <s v="FIDEL MALDONADO"/>
    <x v="4"/>
    <m/>
  </r>
  <r>
    <s v="MX"/>
    <x v="1"/>
    <s v="Inteva"/>
    <s v="Two Cavity Clip Press - BLCCICPR01"/>
    <m/>
    <x v="12"/>
    <x v="42"/>
    <n v="20"/>
    <m/>
    <n v="20"/>
    <n v="21.5"/>
    <m/>
    <n v="2.5"/>
    <n v="1"/>
    <n v="21.5"/>
    <n v="33.43"/>
    <n v="668.6"/>
    <n v="718.745"/>
    <n v="1.075"/>
    <n v="144347"/>
    <n v="22266.21"/>
    <m/>
    <n v="40907.620000000003"/>
    <n v="40907.620000000003"/>
    <m/>
    <m/>
    <m/>
    <n v="-41576.22"/>
    <n v="50.14500000000146"/>
    <n v="0.15160000000000001"/>
    <n v="0.19980000000000001"/>
    <n v="0.9996526079516721"/>
    <d v="2025-08-27T00:00:00"/>
    <s v="Finished"/>
    <n v="100"/>
    <n v="0.05"/>
    <n v="0.05"/>
    <n v="1"/>
    <s v="Finished"/>
    <n v="100"/>
    <n v="0.05"/>
    <n v="0.05"/>
    <n v="1"/>
    <d v="2025-08-18T00:00:00"/>
    <d v="2025-07-25T00:00:00"/>
    <s v="Finished"/>
    <n v="100"/>
    <n v="0.01"/>
    <n v="0.01"/>
    <n v="0.2"/>
    <d v="2025-08-18T00:00:00"/>
    <d v="2025-08-14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8-26T00:00:00"/>
    <d v="2025-09-01T00:00:00"/>
    <s v="Finished"/>
    <n v="100"/>
    <n v="0.01"/>
    <n v="0.01"/>
    <n v="0.2"/>
    <d v="2025-08-28T00:00:00"/>
    <d v="2025-09-05T00:00:00"/>
    <s v="Finished"/>
    <n v="100"/>
    <n v="0.03"/>
    <n v="0.03"/>
    <n v="0.6"/>
    <s v="Finished"/>
    <n v="100"/>
    <n v="7.0000000000000007E-2"/>
    <n v="7.0000000000000007E-2"/>
    <n v="1.4000000000000001"/>
    <d v="2025-08-29T00:00:00"/>
    <d v="2025-09-03T00:00:00"/>
    <s v="Finished"/>
    <n v="100"/>
    <n v="0.04"/>
    <n v="0.04"/>
    <n v="0.8"/>
    <d v="2025-09-02T00:00:00"/>
    <d v="2025-09-02T00:00:00"/>
    <s v="Finished"/>
    <n v="100"/>
    <n v="0.05"/>
    <n v="0.05"/>
    <n v="1"/>
    <m/>
    <m/>
    <s v="Finished"/>
    <n v="100"/>
    <n v="0.1"/>
    <n v="0.1"/>
    <n v="2"/>
    <m/>
    <m/>
    <s v="Finished"/>
    <n v="100"/>
    <n v="0.03"/>
    <n v="0.03"/>
    <n v="0.6"/>
    <n v="0"/>
    <s v="FIDEL MALDONADO"/>
    <x v="4"/>
    <m/>
  </r>
  <r>
    <s v="MX"/>
    <x v="1"/>
    <s v="Inteva"/>
    <s v="Trunnion Table Station – ADCCIASY01"/>
    <m/>
    <x v="12"/>
    <x v="43"/>
    <n v="30"/>
    <m/>
    <n v="30"/>
    <n v="31"/>
    <m/>
    <n v="2"/>
    <n v="1"/>
    <n v="31.000000000000004"/>
    <n v="33.46"/>
    <n v="1003.8000000000001"/>
    <n v="1037.26"/>
    <n v="1.0333333333333334"/>
    <n v="116511"/>
    <n v="1000"/>
    <m/>
    <n v="22188.92"/>
    <n v="22188.92"/>
    <m/>
    <m/>
    <m/>
    <n v="-23192.719999999998"/>
    <n v="33.460000000000719"/>
    <n v="0.15160000000000001"/>
    <n v="0.19980000000000001"/>
    <n v="0.99971281681557955"/>
    <d v="2025-08-27T00:00:00"/>
    <s v="Finished"/>
    <n v="100"/>
    <n v="0.05"/>
    <n v="0.05"/>
    <n v="1.5"/>
    <s v="Finished"/>
    <n v="100"/>
    <n v="0.05"/>
    <n v="0.05"/>
    <n v="1.5"/>
    <d v="2025-08-18T00:00:00"/>
    <d v="2025-07-25T00:00:00"/>
    <s v="Finished"/>
    <n v="100"/>
    <n v="0.01"/>
    <n v="0.01"/>
    <n v="0.3"/>
    <d v="2025-08-18T00:00:00"/>
    <d v="2025-08-14T00:00:00"/>
    <s v="Finished"/>
    <n v="100"/>
    <n v="0.01"/>
    <n v="0.01"/>
    <n v="0.3"/>
    <s v="Finished"/>
    <n v="100"/>
    <n v="0.08"/>
    <n v="0.08"/>
    <n v="2.4"/>
    <s v="Finished"/>
    <n v="100"/>
    <n v="0.18"/>
    <n v="0.18"/>
    <n v="5.3999999999999995"/>
    <s v="Finished"/>
    <n v="100"/>
    <n v="0.28000000000000003"/>
    <n v="0.28000000000000003"/>
    <n v="8.4"/>
    <s v="Finished"/>
    <n v="100"/>
    <n v="0.15"/>
    <n v="0.15"/>
    <n v="4.5"/>
    <s v="Finished"/>
    <n v="100"/>
    <n v="0.16"/>
    <n v="0.16"/>
    <n v="4.8"/>
    <s v="Finished"/>
    <n v="100"/>
    <n v="0.13"/>
    <n v="0.13"/>
    <n v="3.9000000000000004"/>
    <s v="Finished"/>
    <n v="100"/>
    <n v="0.01"/>
    <n v="0.01"/>
    <n v="0.3"/>
    <n v="1"/>
    <n v="0.54"/>
    <n v="0.54"/>
    <n v="16.200000000000003"/>
    <n v="16.200000000000003"/>
    <n v="0"/>
    <s v="Finished"/>
    <n v="100"/>
    <n v="0.02"/>
    <n v="0.02"/>
    <n v="0.6"/>
    <d v="2025-08-26T00:00:00"/>
    <d v="2025-09-01T00:00:00"/>
    <s v="Finished"/>
    <n v="100"/>
    <n v="0.01"/>
    <n v="0.01"/>
    <n v="0.3"/>
    <d v="2025-08-28T00:00:00"/>
    <d v="2025-09-05T00:00:00"/>
    <s v="Finished"/>
    <n v="100"/>
    <n v="0.03"/>
    <n v="0.03"/>
    <n v="0.89999999999999991"/>
    <s v="Finished"/>
    <n v="100"/>
    <n v="7.0000000000000007E-2"/>
    <n v="7.0000000000000007E-2"/>
    <n v="2.1"/>
    <d v="2025-08-29T00:00:00"/>
    <d v="2025-09-03T00:00:00"/>
    <s v="Finished"/>
    <n v="100"/>
    <n v="0.04"/>
    <n v="0.04"/>
    <n v="1.2"/>
    <d v="2025-09-02T00:00:00"/>
    <d v="2025-09-02T00:00:00"/>
    <s v="Finished"/>
    <n v="100"/>
    <n v="0.05"/>
    <n v="0.05"/>
    <n v="1.5"/>
    <m/>
    <m/>
    <s v="Finished"/>
    <n v="100"/>
    <n v="0.1"/>
    <n v="0.1"/>
    <n v="3"/>
    <m/>
    <m/>
    <s v="Finished"/>
    <n v="100"/>
    <n v="0.03"/>
    <n v="0.03"/>
    <n v="0.89999999999999991"/>
    <n v="0"/>
    <s v="FIDEL MALDONADO"/>
    <x v="4"/>
    <m/>
  </r>
  <r>
    <s v="MX"/>
    <x v="1"/>
    <s v="Inteva"/>
    <s v="Two Cavity Press - M3CCICPR01"/>
    <m/>
    <x v="13"/>
    <x v="44"/>
    <n v="20"/>
    <m/>
    <n v="20"/>
    <n v="18.75"/>
    <m/>
    <m/>
    <n v="0.9850000000000001"/>
    <n v="18.75"/>
    <n v="26.73"/>
    <n v="534.6"/>
    <n v="501.1875"/>
    <n v="0.9375"/>
    <n v="111118"/>
    <n v="5423.5"/>
    <n v="3763.77"/>
    <n v="41732.620000000003"/>
    <n v="41732.620000000003"/>
    <m/>
    <m/>
    <n v="94088.94"/>
    <n v="51821.72"/>
    <n v="97819.297500000001"/>
    <n v="0.15329999999999999"/>
    <n v="0.17829999999999999"/>
    <n v="0.15355273223060173"/>
    <d v="2025-08-27T00:00:00"/>
    <s v="Finished"/>
    <n v="100"/>
    <n v="0.05"/>
    <n v="0.05"/>
    <n v="1"/>
    <s v="Finished"/>
    <n v="100"/>
    <n v="0.05"/>
    <n v="0.05"/>
    <n v="1"/>
    <d v="2025-07-17T00:00:00"/>
    <d v="2025-07-27T00:00:00"/>
    <s v="Finished"/>
    <n v="100"/>
    <n v="0.01"/>
    <n v="0.01"/>
    <n v="0.2"/>
    <d v="2025-08-18T00:00:00"/>
    <d v="2025-08-26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08-26T00:00:00"/>
    <d v="2025-08-26T00:00:00"/>
    <s v="Finished"/>
    <n v="100"/>
    <n v="0.01"/>
    <n v="0.01"/>
    <n v="0.2"/>
    <d v="2025-08-28T00:00:00"/>
    <d v="2025-08-29T00:00:00"/>
    <s v="Finished"/>
    <n v="100"/>
    <n v="0.03"/>
    <n v="0.03"/>
    <n v="0.6"/>
    <s v="Finished"/>
    <n v="100"/>
    <n v="7.0000000000000007E-2"/>
    <n v="7.0000000000000007E-2"/>
    <n v="1.4000000000000001"/>
    <d v="2025-08-29T00:00:00"/>
    <d v="2025-08-29T00:00:00"/>
    <s v="Finished"/>
    <n v="100"/>
    <n v="0.04"/>
    <n v="0.04"/>
    <n v="0.8"/>
    <d v="2025-09-02T00:00:00"/>
    <d v="2025-09-02T00:00:00"/>
    <s v="Finished"/>
    <n v="100"/>
    <n v="0.05"/>
    <n v="0.05"/>
    <n v="1"/>
    <m/>
    <m/>
    <s v="Finished"/>
    <n v="100"/>
    <n v="0.1"/>
    <n v="0.1"/>
    <n v="2"/>
    <m/>
    <m/>
    <s v="In process"/>
    <n v="50"/>
    <n v="0.03"/>
    <n v="1.4999999999999999E-2"/>
    <n v="0.6"/>
    <n v="0.6"/>
    <s v="FIDEL MALDONADO"/>
    <x v="4"/>
    <m/>
  </r>
  <r>
    <s v="MX"/>
    <x v="1"/>
    <s v="Inteva"/>
    <s v="Three Cavity Press with Ergo Assist Arm - M3CGICPR01"/>
    <m/>
    <x v="13"/>
    <x v="45"/>
    <n v="30"/>
    <m/>
    <n v="30"/>
    <n v="27.25"/>
    <m/>
    <m/>
    <n v="0.98000000000000009"/>
    <n v="27.25"/>
    <n v="26.73"/>
    <n v="801.9"/>
    <n v="728.39250000000004"/>
    <n v="0.90833333333333333"/>
    <n v="71661"/>
    <n v="5423.5"/>
    <n v="3763.77"/>
    <n v="26427.72"/>
    <n v="26427.72"/>
    <m/>
    <m/>
    <n v="60677.71"/>
    <n v="33448.089999999997"/>
    <n v="64367.972499999996"/>
    <n v="0.15329999999999999"/>
    <n v="0.17829999999999999"/>
    <n v="0.15429309526799795"/>
    <d v="2025-08-27T00:00:00"/>
    <s v="Finished"/>
    <n v="100"/>
    <n v="0.05"/>
    <n v="0.05"/>
    <n v="1.5"/>
    <s v="Finished"/>
    <n v="100"/>
    <n v="0.05"/>
    <n v="0.05"/>
    <n v="1.5"/>
    <d v="2025-07-17T00:00:00"/>
    <d v="2025-07-27T00:00:00"/>
    <s v="Finished"/>
    <n v="100"/>
    <n v="0.01"/>
    <n v="0.01"/>
    <n v="0.3"/>
    <d v="2025-08-18T00:00:00"/>
    <d v="2025-08-26T00:00:00"/>
    <s v="Finished"/>
    <n v="100"/>
    <n v="0.01"/>
    <n v="0.01"/>
    <n v="0.3"/>
    <s v="Finished"/>
    <n v="100"/>
    <n v="0.08"/>
    <n v="0.08"/>
    <n v="2.4"/>
    <s v="Finished"/>
    <n v="100"/>
    <n v="0.18"/>
    <n v="0.18"/>
    <n v="5.3999999999999995"/>
    <s v="Finished"/>
    <n v="100"/>
    <n v="0.28000000000000003"/>
    <n v="0.28000000000000003"/>
    <d v="1900-01-07T09:36:00"/>
    <s v="Finished"/>
    <n v="100"/>
    <n v="0.15"/>
    <n v="0.15"/>
    <n v="4.5"/>
    <s v="Finished"/>
    <n v="100"/>
    <n v="0.16"/>
    <n v="0.16"/>
    <n v="4.8"/>
    <s v="Finished"/>
    <n v="100"/>
    <n v="0.13"/>
    <n v="0.13"/>
    <n v="3.9000000000000004"/>
    <s v="Finished"/>
    <n v="100"/>
    <n v="0.01"/>
    <n v="0.01"/>
    <n v="0.3"/>
    <n v="1"/>
    <n v="0.54"/>
    <n v="0.54"/>
    <n v="16.200000000000003"/>
    <n v="16.200000000000003"/>
    <n v="0"/>
    <s v="Finished"/>
    <n v="100"/>
    <n v="0.02"/>
    <n v="0.02"/>
    <n v="0.6"/>
    <d v="2025-08-26T00:00:00"/>
    <d v="2025-08-26T00:00:00"/>
    <s v="Finished"/>
    <n v="100"/>
    <n v="0.01"/>
    <n v="0.01"/>
    <n v="0.3"/>
    <d v="2025-08-28T00:00:00"/>
    <d v="2025-08-29T00:00:00"/>
    <s v="Finished"/>
    <n v="100"/>
    <n v="0.03"/>
    <n v="0.03"/>
    <n v="0.89999999999999991"/>
    <s v="Finished"/>
    <n v="100"/>
    <n v="7.0000000000000007E-2"/>
    <n v="7.0000000000000007E-2"/>
    <n v="2.1"/>
    <d v="2025-08-29T00:00:00"/>
    <d v="2025-08-29T00:00:00"/>
    <s v="Finished"/>
    <n v="100"/>
    <n v="0.04"/>
    <n v="0.04"/>
    <n v="1.2"/>
    <d v="2025-09-02T00:00:00"/>
    <d v="2025-09-02T00:00:00"/>
    <s v="Under review"/>
    <n v="90"/>
    <n v="0.05"/>
    <n v="4.4999999999999998E-2"/>
    <n v="1.5"/>
    <m/>
    <m/>
    <s v="Finished"/>
    <n v="100"/>
    <n v="0.1"/>
    <n v="0.1"/>
    <n v="3"/>
    <m/>
    <m/>
    <s v="In process"/>
    <n v="50"/>
    <n v="0.03"/>
    <n v="1.4999999999999999E-2"/>
    <n v="0.89999999999999991"/>
    <n v="2.4"/>
    <s v="FIDEL MALDONADO"/>
    <x v="2"/>
    <m/>
  </r>
  <r>
    <s v="MX"/>
    <x v="1"/>
    <s v="Inteva"/>
    <s v="Panel ASM IP UPR TR Soft BT1CG - Assy Trunnion - IGO - CMCGIASYM01"/>
    <m/>
    <x v="13"/>
    <x v="46"/>
    <n v="10"/>
    <m/>
    <n v="10"/>
    <n v="9.25"/>
    <m/>
    <m/>
    <n v="0.9850000000000001"/>
    <n v="9.25"/>
    <n v="26.73"/>
    <n v="267.3"/>
    <n v="247.2525"/>
    <n v="0.92500000000000004"/>
    <n v="84814"/>
    <n v="3478"/>
    <n v="3763.77"/>
    <n v="22188.92"/>
    <n v="22188.92"/>
    <m/>
    <m/>
    <n v="68728.91"/>
    <n v="46272.69"/>
    <n v="72472.632500000007"/>
    <n v="0.18970000000000001"/>
    <n v="0.17829999999999999"/>
    <n v="0.18988772490390735"/>
    <d v="2025-08-27T00:00:00"/>
    <s v="Finished"/>
    <n v="100"/>
    <n v="0.05"/>
    <n v="0.05"/>
    <n v="0.5"/>
    <s v="Finished"/>
    <n v="100"/>
    <n v="0.05"/>
    <n v="0.05"/>
    <n v="0.5"/>
    <d v="2025-07-17T00:00:00"/>
    <d v="2025-07-22T00:00:00"/>
    <s v="Finished"/>
    <n v="100"/>
    <n v="0.01"/>
    <n v="0.01"/>
    <n v="0.1"/>
    <d v="2025-08-08T00:00:00"/>
    <d v="2025-08-14T00:00:00"/>
    <s v="Finished"/>
    <n v="100"/>
    <n v="0.01"/>
    <n v="0.01"/>
    <n v="0.1"/>
    <s v="Finished"/>
    <n v="100"/>
    <n v="0.08"/>
    <n v="0.08"/>
    <n v="0.8"/>
    <s v="Finished"/>
    <n v="100"/>
    <n v="0.18"/>
    <n v="0.18"/>
    <n v="1.7999999999999998"/>
    <s v="Finished"/>
    <n v="100"/>
    <n v="0.28000000000000003"/>
    <n v="0.28000000000000003"/>
    <d v="1900-01-01T19:12:00"/>
    <s v="Finished"/>
    <n v="100"/>
    <n v="0.15"/>
    <n v="0.15"/>
    <n v="1.5"/>
    <s v="Finished"/>
    <n v="100"/>
    <n v="0.16"/>
    <n v="0.16"/>
    <n v="1.6"/>
    <s v="Finished"/>
    <n v="100"/>
    <n v="0.13"/>
    <n v="0.13"/>
    <n v="1.3"/>
    <s v="Finished"/>
    <n v="100"/>
    <n v="0.01"/>
    <n v="0.01"/>
    <n v="0.1"/>
    <n v="1"/>
    <n v="0.54"/>
    <n v="0.54"/>
    <n v="5.4"/>
    <n v="5.4"/>
    <n v="0"/>
    <s v="Finished"/>
    <n v="100"/>
    <n v="0.02"/>
    <n v="0.02"/>
    <n v="0.2"/>
    <d v="2025-08-12T00:00:00"/>
    <d v="2025-08-15T00:00:00"/>
    <s v="Finished"/>
    <n v="100"/>
    <n v="0.01"/>
    <n v="0.01"/>
    <n v="0.1"/>
    <d v="2025-08-28T00:00:00"/>
    <d v="2025-08-29T00:00:00"/>
    <s v="Finished"/>
    <n v="100"/>
    <n v="0.03"/>
    <n v="0.03"/>
    <n v="0.3"/>
    <s v="Finished"/>
    <n v="100"/>
    <n v="7.0000000000000007E-2"/>
    <n v="7.0000000000000007E-2"/>
    <n v="0.70000000000000007"/>
    <d v="2025-08-29T00:00:00"/>
    <d v="2025-08-29T00:00:00"/>
    <s v="Finished"/>
    <n v="100"/>
    <n v="0.04"/>
    <n v="0.04"/>
    <n v="0.4"/>
    <d v="2025-09-02T00:00:00"/>
    <d v="2025-09-02T00:00:00"/>
    <s v="Finished"/>
    <n v="100"/>
    <n v="0.05"/>
    <n v="0.05"/>
    <n v="0.5"/>
    <m/>
    <m/>
    <s v="Finished"/>
    <n v="100"/>
    <n v="0.1"/>
    <n v="0.1"/>
    <n v="1"/>
    <m/>
    <m/>
    <s v="In process"/>
    <n v="50"/>
    <n v="0.03"/>
    <n v="1.4999999999999999E-2"/>
    <n v="0.3"/>
    <n v="0.3"/>
    <s v="FIDEL MALDONADO"/>
    <x v="4"/>
    <m/>
  </r>
  <r>
    <s v="MX"/>
    <x v="1"/>
    <s v="Inteva"/>
    <s v="Panel ASM IP UPR TR Soft BT1CC - Assy Trunnion - IGO - CMCCIASYM01"/>
    <m/>
    <x v="13"/>
    <x v="47"/>
    <n v="10"/>
    <m/>
    <n v="10"/>
    <n v="9.25"/>
    <m/>
    <m/>
    <n v="0.9850000000000001"/>
    <n v="9.25"/>
    <n v="26.73"/>
    <n v="267.3"/>
    <n v="247.2525"/>
    <n v="0.92500000000000004"/>
    <n v="84814"/>
    <n v="7245"/>
    <n v="3763.77"/>
    <n v="22188.92"/>
    <n v="22188.92"/>
    <m/>
    <m/>
    <n v="68728.91"/>
    <n v="46272.69"/>
    <n v="72472.632500000007"/>
    <n v="0.18970000000000001"/>
    <n v="0.17829999999999999"/>
    <n v="0.18988772490390735"/>
    <d v="2025-08-27T00:00:00"/>
    <s v="Finished"/>
    <n v="100"/>
    <n v="0.05"/>
    <n v="0.05"/>
    <n v="0.5"/>
    <s v="Finished"/>
    <n v="100"/>
    <n v="0.05"/>
    <n v="0.05"/>
    <n v="0.5"/>
    <d v="2025-07-17T00:00:00"/>
    <d v="2025-07-22T00:00:00"/>
    <s v="Finished"/>
    <n v="100"/>
    <n v="0.01"/>
    <n v="0.01"/>
    <n v="0.1"/>
    <d v="2025-08-08T00:00:00"/>
    <d v="2025-08-14T00:00:00"/>
    <s v="Finished"/>
    <n v="100"/>
    <n v="0.01"/>
    <n v="0.01"/>
    <n v="0.1"/>
    <s v="Finished"/>
    <n v="100"/>
    <n v="0.08"/>
    <n v="0.08"/>
    <n v="0.8"/>
    <s v="Finished"/>
    <n v="100"/>
    <n v="0.18"/>
    <n v="0.18"/>
    <n v="1.7999999999999998"/>
    <s v="Finished"/>
    <n v="100"/>
    <n v="0.28000000000000003"/>
    <n v="0.28000000000000003"/>
    <d v="1900-01-01T19:12:00"/>
    <s v="Finished"/>
    <n v="100"/>
    <n v="0.15"/>
    <n v="0.15"/>
    <n v="1.5"/>
    <s v="Finished"/>
    <n v="100"/>
    <n v="0.16"/>
    <n v="0.16"/>
    <n v="1.6"/>
    <s v="Finished"/>
    <n v="100"/>
    <n v="0.13"/>
    <n v="0.13"/>
    <n v="1.3"/>
    <s v="Finished"/>
    <n v="100"/>
    <n v="0.01"/>
    <n v="0.01"/>
    <n v="0.1"/>
    <n v="1"/>
    <n v="0.54"/>
    <n v="0.54"/>
    <n v="5.4"/>
    <n v="5.4"/>
    <n v="0"/>
    <s v="Finished"/>
    <n v="100"/>
    <n v="0.02"/>
    <n v="0.02"/>
    <n v="0.2"/>
    <d v="2025-08-12T00:00:00"/>
    <d v="2025-08-15T00:00:00"/>
    <s v="Finished"/>
    <n v="100"/>
    <n v="0.01"/>
    <n v="0.01"/>
    <n v="0.1"/>
    <d v="2025-08-28T00:00:00"/>
    <d v="2025-08-29T00:00:00"/>
    <s v="Finished"/>
    <n v="100"/>
    <n v="0.03"/>
    <n v="0.03"/>
    <n v="0.3"/>
    <s v="Finished"/>
    <n v="100"/>
    <n v="7.0000000000000007E-2"/>
    <n v="7.0000000000000007E-2"/>
    <n v="0.70000000000000007"/>
    <d v="2025-08-29T00:00:00"/>
    <d v="2025-08-29T00:00:00"/>
    <s v="Finished"/>
    <n v="100"/>
    <n v="0.04"/>
    <n v="0.04"/>
    <n v="0.4"/>
    <d v="2025-09-02T00:00:00"/>
    <d v="2025-09-02T00:00:00"/>
    <s v="Finished"/>
    <n v="100"/>
    <n v="0.05"/>
    <n v="0.05"/>
    <n v="0.5"/>
    <m/>
    <m/>
    <s v="Finished"/>
    <n v="100"/>
    <n v="0.1"/>
    <n v="0.1"/>
    <n v="1"/>
    <m/>
    <m/>
    <s v="In process"/>
    <n v="50"/>
    <n v="0.03"/>
    <n v="1.4999999999999999E-2"/>
    <n v="0.3"/>
    <n v="0.3"/>
    <s v="FIDEL MALDONADO"/>
    <x v="4"/>
    <m/>
  </r>
  <r>
    <s v="MX"/>
    <x v="1"/>
    <s v="USF"/>
    <s v="(1+1) Stone Protector Bracket Clip Driver – 17858-59"/>
    <s v="T2XX Stone Protector"/>
    <x v="14"/>
    <x v="48"/>
    <n v="14"/>
    <m/>
    <n v="14"/>
    <n v="12.5"/>
    <n v="0"/>
    <m/>
    <n v="0.96000000000000008"/>
    <n v="12.5"/>
    <n v="26.73"/>
    <n v="374.22"/>
    <n v="334.125"/>
    <n v="0.8928571428571429"/>
    <n v="33412"/>
    <n v="2559"/>
    <n v="2234.61"/>
    <n v="8880.91"/>
    <n v="8880.91"/>
    <m/>
    <m/>
    <n v="27787.69"/>
    <n v="18532.559999999998"/>
    <n v="29982.204999999998"/>
    <n v="0.16830000000000001"/>
    <n v="0.1678"/>
    <n v="0.16953205435172999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0"/>
    <m/>
  </r>
  <r>
    <s v="MX"/>
    <x v="1"/>
    <s v="USF"/>
    <s v="(1+1) Stone Protector Bracket Weld – 17858-59"/>
    <s v="T2XX Stone Protector"/>
    <x v="14"/>
    <x v="49"/>
    <n v="8"/>
    <m/>
    <n v="8"/>
    <n v="7"/>
    <n v="0"/>
    <m/>
    <n v="0.96000000000000008"/>
    <n v="7"/>
    <n v="26.73"/>
    <n v="213.84"/>
    <n v="187.11"/>
    <n v="0.875"/>
    <n v="79013"/>
    <n v="2559"/>
    <n v="2234.61"/>
    <n v="16865.91"/>
    <n v="16865.91"/>
    <m/>
    <m/>
    <n v="65712"/>
    <n v="48632.25"/>
    <n v="67919.88"/>
    <n v="0.16830000000000001"/>
    <n v="0.1678"/>
    <n v="0.16867768595041316"/>
    <d v="2025-07-29T00:00:00"/>
    <s v="Finished"/>
    <n v="100"/>
    <n v="0.05"/>
    <n v="0.05"/>
    <n v="0.4"/>
    <s v="Finished"/>
    <n v="100"/>
    <n v="0.05"/>
    <n v="0.05"/>
    <n v="0.4"/>
    <d v="2025-08-04T00:00:00"/>
    <d v="2025-08-13T00:00:00"/>
    <s v="Finished"/>
    <n v="100"/>
    <n v="0.01"/>
    <n v="0.01"/>
    <n v="0.08"/>
    <d v="2025-09-05T00:00:00"/>
    <d v="2025-09-12T00:00:00"/>
    <s v="Finished"/>
    <n v="100"/>
    <n v="0.01"/>
    <n v="0.01"/>
    <n v="0.08"/>
    <s v="Finished"/>
    <n v="100"/>
    <n v="0.08"/>
    <n v="0.08"/>
    <n v="0.64"/>
    <s v="Finished"/>
    <n v="100"/>
    <n v="0.18"/>
    <n v="0.18"/>
    <n v="1.44"/>
    <s v="Finished"/>
    <n v="100"/>
    <n v="0.28000000000000003"/>
    <n v="0.28000000000000003"/>
    <n v="2.2400000000000002"/>
    <s v="Finished"/>
    <n v="100"/>
    <n v="0.15"/>
    <n v="0.15"/>
    <n v="1.2"/>
    <s v="Finished"/>
    <n v="100"/>
    <n v="0.16"/>
    <n v="0.16"/>
    <n v="1.28"/>
    <s v="Finished"/>
    <n v="100"/>
    <n v="0.13"/>
    <n v="0.13"/>
    <n v="1.04"/>
    <s v="Finished"/>
    <n v="100"/>
    <n v="0.01"/>
    <n v="0.01"/>
    <n v="0.08"/>
    <n v="1"/>
    <n v="0.54"/>
    <n v="0.54"/>
    <n v="4.32"/>
    <n v="4.32"/>
    <n v="0"/>
    <s v="Finished"/>
    <n v="100"/>
    <n v="0.02"/>
    <n v="0.02"/>
    <n v="0.16"/>
    <d v="2025-09-08T00:00:00"/>
    <d v="2025-09-22T00:00:00"/>
    <s v="Finished"/>
    <n v="100"/>
    <n v="0.01"/>
    <n v="0.01"/>
    <n v="0.08"/>
    <d v="2025-10-10T00:00:00"/>
    <d v="2025-09-23T00:00:00"/>
    <s v="Finished"/>
    <n v="100"/>
    <n v="0.03"/>
    <n v="0.03"/>
    <n v="0.24"/>
    <s v="Finished"/>
    <n v="100"/>
    <n v="7.0000000000000007E-2"/>
    <n v="7.0000000000000007E-2"/>
    <n v="0.56000000000000005"/>
    <d v="2025-09-26T00:00:00"/>
    <d v="2025-09-24T00:00:00"/>
    <s v="Finished"/>
    <n v="100"/>
    <n v="0.04"/>
    <n v="0.04"/>
    <n v="0.32"/>
    <d v="2025-10-14T00:00:00"/>
    <d v="2025-10-08T00:00:00"/>
    <s v="In process"/>
    <n v="50"/>
    <n v="0.05"/>
    <n v="2.5000000000000001E-2"/>
    <n v="0.4"/>
    <d v="2025-10-20T00:00:00"/>
    <m/>
    <s v="Finished"/>
    <n v="100"/>
    <n v="0.1"/>
    <n v="0.1"/>
    <n v="0.8"/>
    <d v="2025-10-17T00:00:00"/>
    <d v="2025-12-12T00:00:00"/>
    <s v="In process"/>
    <n v="50"/>
    <n v="0.03"/>
    <n v="1.4999999999999999E-2"/>
    <n v="0.24"/>
    <n v="0.64"/>
    <s v="JUAN ADAME"/>
    <x v="0"/>
    <m/>
  </r>
  <r>
    <s v="MX"/>
    <x v="1"/>
    <s v="USF"/>
    <s v="2-up LD Protector Clip Driver – 17862-3"/>
    <s v="T2XX Stone Protector"/>
    <x v="14"/>
    <x v="50"/>
    <n v="14"/>
    <m/>
    <n v="14"/>
    <n v="13"/>
    <n v="0"/>
    <n v="1"/>
    <n v="0.96000000000000008"/>
    <n v="13"/>
    <n v="26.73"/>
    <n v="374.22"/>
    <n v="347.49"/>
    <n v="0.9285714285714286"/>
    <n v="45833"/>
    <n v="2559"/>
    <n v="2234.61"/>
    <n v="14845.91"/>
    <n v="14845.91"/>
    <m/>
    <m/>
    <n v="38117.18"/>
    <n v="22897.05"/>
    <n v="40325.06"/>
    <n v="0.16830000000000001"/>
    <n v="0.1678"/>
    <n v="0.16892959221521617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0"/>
    <m/>
  </r>
  <r>
    <s v="MX"/>
    <x v="1"/>
    <s v="USF"/>
    <s v="2-up Short Box Clip Driver – 17864-65"/>
    <s v="T2XX Stone Protector"/>
    <x v="14"/>
    <x v="51"/>
    <n v="8"/>
    <m/>
    <n v="8"/>
    <n v="7.5"/>
    <n v="1"/>
    <n v="1"/>
    <n v="0.96000000000000008"/>
    <n v="7.5"/>
    <n v="26.73"/>
    <n v="213.84"/>
    <n v="200.47499999999999"/>
    <n v="0.9375"/>
    <n v="44268"/>
    <n v="2559"/>
    <n v="2234.61"/>
    <n v="14965.91"/>
    <n v="14965.91"/>
    <m/>
    <m/>
    <n v="36815.769999999997"/>
    <n v="21636.019999999997"/>
    <n v="39037.014999999992"/>
    <n v="0.16830000000000001"/>
    <n v="0.1678"/>
    <n v="0.16864540977681414"/>
    <d v="2025-07-29T00:00:00"/>
    <s v="Finished"/>
    <n v="100"/>
    <n v="0.05"/>
    <n v="0.05"/>
    <n v="0.4"/>
    <s v="Finished"/>
    <n v="100"/>
    <n v="0.05"/>
    <n v="0.05"/>
    <n v="0.4"/>
    <d v="2025-08-04T00:00:00"/>
    <d v="2025-08-13T00:00:00"/>
    <s v="Finished"/>
    <n v="100"/>
    <n v="0.01"/>
    <n v="0.01"/>
    <n v="0.08"/>
    <d v="2025-09-05T00:00:00"/>
    <d v="2025-09-12T00:00:00"/>
    <s v="Finished"/>
    <n v="100"/>
    <n v="0.01"/>
    <n v="0.01"/>
    <n v="0.08"/>
    <s v="Finished"/>
    <n v="100"/>
    <n v="0.08"/>
    <n v="0.08"/>
    <n v="0.64"/>
    <s v="Finished"/>
    <n v="100"/>
    <n v="0.18"/>
    <n v="0.18"/>
    <n v="1.44"/>
    <s v="Finished"/>
    <n v="100"/>
    <n v="0.28000000000000003"/>
    <n v="0.28000000000000003"/>
    <n v="2.2400000000000002"/>
    <s v="Finished"/>
    <n v="100"/>
    <n v="0.15"/>
    <n v="0.15"/>
    <n v="1.2"/>
    <s v="Finished"/>
    <n v="100"/>
    <n v="0.16"/>
    <n v="0.16"/>
    <n v="1.28"/>
    <s v="Finished"/>
    <n v="100"/>
    <n v="0.13"/>
    <n v="0.13"/>
    <n v="1.04"/>
    <s v="Finished"/>
    <n v="100"/>
    <n v="0.01"/>
    <n v="0.01"/>
    <n v="0.08"/>
    <n v="1"/>
    <n v="0.54"/>
    <n v="0.54"/>
    <n v="4.32"/>
    <n v="4.32"/>
    <n v="0"/>
    <s v="Finished"/>
    <n v="100"/>
    <n v="0.02"/>
    <n v="0.02"/>
    <n v="0.16"/>
    <d v="2025-09-08T00:00:00"/>
    <d v="2025-09-19T00:00:00"/>
    <s v="Finished"/>
    <n v="100"/>
    <n v="0.01"/>
    <n v="0.01"/>
    <n v="0.08"/>
    <d v="2025-10-10T00:00:00"/>
    <d v="2025-09-23T00:00:00"/>
    <s v="Finished"/>
    <n v="100"/>
    <n v="0.03"/>
    <n v="0.03"/>
    <n v="0.24"/>
    <s v="Finished"/>
    <n v="100"/>
    <n v="7.0000000000000007E-2"/>
    <n v="7.0000000000000007E-2"/>
    <n v="0.56000000000000005"/>
    <d v="2025-09-26T00:00:00"/>
    <d v="2025-09-24T00:00:00"/>
    <s v="Finished"/>
    <n v="100"/>
    <n v="0.04"/>
    <n v="0.04"/>
    <n v="0.32"/>
    <d v="2025-10-14T00:00:00"/>
    <d v="2025-10-08T00:00:00"/>
    <s v="In process"/>
    <n v="50"/>
    <n v="0.05"/>
    <n v="2.5000000000000001E-2"/>
    <n v="0.4"/>
    <d v="2025-10-20T00:00:00"/>
    <m/>
    <s v="Finished"/>
    <n v="100"/>
    <n v="0.1"/>
    <n v="0.1"/>
    <n v="0.8"/>
    <d v="2025-10-17T00:00:00"/>
    <d v="2025-12-12T00:00:00"/>
    <s v="In process"/>
    <n v="50"/>
    <n v="0.03"/>
    <n v="1.4999999999999999E-2"/>
    <n v="0.24"/>
    <n v="0.64"/>
    <s v="JUAN ADAME"/>
    <x v="2"/>
    <m/>
  </r>
  <r>
    <s v="MX"/>
    <x v="1"/>
    <s v="USF"/>
    <s v="2-up Short Box Stone Protector Clip Driver – 17868-9"/>
    <s v="T2XX Stone Protector"/>
    <x v="14"/>
    <x v="52"/>
    <n v="14"/>
    <m/>
    <n v="14"/>
    <n v="13.5"/>
    <n v="1"/>
    <n v="2"/>
    <n v="0.96000000000000008"/>
    <n v="13.5"/>
    <n v="26.73"/>
    <n v="374.22"/>
    <n v="360.85500000000002"/>
    <n v="0.9642857142857143"/>
    <n v="49241"/>
    <n v="2559"/>
    <n v="2234.61"/>
    <n v="16505.91"/>
    <n v="16505.91"/>
    <m/>
    <m/>
    <n v="40951.83"/>
    <n v="24071.7"/>
    <n v="43173.075000000004"/>
    <n v="0.16830000000000001"/>
    <n v="0.1678"/>
    <n v="0.16861020287971398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0"/>
    <m/>
  </r>
  <r>
    <s v="MX"/>
    <x v="1"/>
    <s v="USF"/>
    <s v="2-up LD STD Box Deflector Clip Driver – 17870-1"/>
    <s v="T2XX Stone Protector"/>
    <x v="14"/>
    <x v="53"/>
    <n v="14"/>
    <m/>
    <n v="14"/>
    <n v="12.5"/>
    <n v="1"/>
    <n v="1"/>
    <n v="0.96000000000000008"/>
    <n v="12.5"/>
    <n v="26.73"/>
    <n v="374.22"/>
    <n v="334.125"/>
    <n v="0.8928571428571429"/>
    <n v="60997"/>
    <n v="2559"/>
    <n v="2234.61"/>
    <n v="21837.91"/>
    <n v="21837.91"/>
    <m/>
    <m/>
    <n v="50723.040000000001"/>
    <n v="28510.91"/>
    <n v="52917.555"/>
    <n v="0.16843385740282307"/>
    <n v="0.1678"/>
    <n v="0.16909118481236782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04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0"/>
    <m/>
  </r>
  <r>
    <s v="MX"/>
    <x v="1"/>
    <s v="USF"/>
    <s v="2-up Long Box Deflector Clip Driver – 17872-3"/>
    <s v="T2XX Stone Protector"/>
    <x v="14"/>
    <x v="54"/>
    <n v="10"/>
    <m/>
    <n v="10"/>
    <n v="8.5"/>
    <m/>
    <m/>
    <n v="0.96000000000000008"/>
    <n v="8.5"/>
    <n v="26.73"/>
    <n v="267.3"/>
    <n v="227.20500000000001"/>
    <n v="0.85"/>
    <n v="82572"/>
    <n v="2559"/>
    <n v="2234.61"/>
    <n v="34125.910000000003"/>
    <n v="34125.910000000003"/>
    <m/>
    <m/>
    <n v="68670.679999999993"/>
    <n v="34277.469999999987"/>
    <n v="70865.194999999992"/>
    <n v="0.16835392142614922"/>
    <n v="0.1678"/>
    <n v="0.16883949765053538"/>
    <d v="2025-07-29T00:00:00"/>
    <s v="Finished"/>
    <n v="100"/>
    <n v="0.05"/>
    <n v="0.05"/>
    <n v="0.5"/>
    <s v="Finished"/>
    <n v="100"/>
    <n v="0.05"/>
    <n v="0.05"/>
    <n v="0.5"/>
    <d v="2025-08-04T00:00:00"/>
    <d v="2025-08-13T00:00:00"/>
    <s v="Finished"/>
    <n v="100"/>
    <n v="0.01"/>
    <n v="0.01"/>
    <n v="0.1"/>
    <d v="2025-09-05T00:00:00"/>
    <d v="2025-09-12T00:00:00"/>
    <s v="Finished"/>
    <n v="100"/>
    <n v="0.01"/>
    <n v="0.01"/>
    <n v="0.1"/>
    <s v="Finished"/>
    <n v="100"/>
    <n v="0.08"/>
    <n v="0.08"/>
    <n v="0.8"/>
    <s v="Finished"/>
    <n v="100"/>
    <n v="0.18"/>
    <n v="0.18"/>
    <n v="1.7999999999999998"/>
    <s v="Finished"/>
    <n v="100"/>
    <n v="0.28000000000000003"/>
    <n v="0.28000000000000003"/>
    <n v="2.8000000000000003"/>
    <s v="Finished"/>
    <n v="100"/>
    <n v="0.15"/>
    <n v="0.15"/>
    <n v="1.5"/>
    <s v="Finished"/>
    <n v="100"/>
    <n v="0.16"/>
    <n v="0.16"/>
    <n v="1.6"/>
    <s v="Finished"/>
    <n v="100"/>
    <n v="0.13"/>
    <n v="0.13"/>
    <n v="1.3"/>
    <s v="Finished"/>
    <n v="100"/>
    <n v="0.01"/>
    <n v="0.01"/>
    <n v="0.1"/>
    <n v="1"/>
    <n v="0.54"/>
    <n v="0.54"/>
    <n v="5.4"/>
    <n v="5.4"/>
    <n v="0"/>
    <s v="Finished"/>
    <n v="100"/>
    <n v="0.02"/>
    <n v="0.02"/>
    <n v="0.2"/>
    <d v="2025-09-08T00:00:00"/>
    <d v="2025-09-19T00:00:00"/>
    <s v="Finished"/>
    <n v="100"/>
    <n v="0.01"/>
    <n v="0.01"/>
    <n v="0.1"/>
    <d v="2025-10-10T00:00:00"/>
    <d v="2025-09-23T00:00:00"/>
    <s v="Finished"/>
    <n v="100"/>
    <n v="0.03"/>
    <n v="0.03"/>
    <n v="0.3"/>
    <s v="Finished"/>
    <n v="100"/>
    <n v="7.0000000000000007E-2"/>
    <n v="7.0000000000000007E-2"/>
    <n v="0.70000000000000007"/>
    <d v="2025-09-26T00:00:00"/>
    <d v="2025-09-24T00:00:00"/>
    <s v="Finished"/>
    <n v="100"/>
    <n v="0.04"/>
    <n v="0.04"/>
    <n v="0.4"/>
    <d v="2025-10-14T00:00:00"/>
    <d v="2025-10-08T00:00:00"/>
    <s v="In process"/>
    <n v="50"/>
    <n v="0.05"/>
    <n v="2.5000000000000001E-2"/>
    <n v="0.5"/>
    <d v="2025-10-20T00:00:00"/>
    <m/>
    <s v="Finished"/>
    <n v="100"/>
    <n v="0.1"/>
    <n v="0.1"/>
    <n v="1"/>
    <d v="2025-10-17T00:00:00"/>
    <d v="2025-12-12T00:00:00"/>
    <s v="In process"/>
    <n v="50"/>
    <n v="0.03"/>
    <n v="1.4999999999999999E-2"/>
    <n v="0.3"/>
    <n v="0.8"/>
    <s v="JUAN ADAME"/>
    <x v="0"/>
    <m/>
  </r>
  <r>
    <s v="MX"/>
    <x v="1"/>
    <s v="USF"/>
    <s v="(1+1) Stone Protector ZR2 Clip Driver – 17860-61"/>
    <s v="T2XX Stone Protector"/>
    <x v="14"/>
    <x v="55"/>
    <n v="14"/>
    <m/>
    <n v="14"/>
    <n v="12.5"/>
    <n v="1.5"/>
    <n v="1"/>
    <n v="0.96000000000000008"/>
    <n v="12.5"/>
    <n v="26.73"/>
    <n v="374.22"/>
    <n v="334.125"/>
    <n v="0.8928571428571429"/>
    <n v="33544"/>
    <n v="2142.63"/>
    <n v="2234.61"/>
    <n v="8880.91"/>
    <n v="8880.91"/>
    <m/>
    <m/>
    <n v="27896.03"/>
    <n v="18640.899999999998"/>
    <n v="30090.544999999998"/>
    <n v="0.1683749701884093"/>
    <n v="0.1678"/>
    <n v="0.16957026591938953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2"/>
    <m/>
  </r>
  <r>
    <s v="MX"/>
    <x v="1"/>
    <s v="USF"/>
    <s v="(1+1) Stone Protector ZR2 Bracket Weld – 17860-61"/>
    <s v="T2XX Stone Protector"/>
    <x v="14"/>
    <x v="56"/>
    <n v="14"/>
    <m/>
    <n v="14"/>
    <n v="13"/>
    <n v="1"/>
    <n v="1"/>
    <n v="0.96000000000000008"/>
    <n v="13"/>
    <n v="26.73"/>
    <n v="374.22"/>
    <n v="347.49"/>
    <n v="0.9285714285714286"/>
    <n v="81115"/>
    <n v="2142.63"/>
    <n v="2234.61"/>
    <n v="16865.91"/>
    <n v="16865.91"/>
    <m/>
    <m/>
    <n v="67461.23"/>
    <n v="50221.099999999991"/>
    <n v="69669.11"/>
    <n v="0.16832608025642593"/>
    <n v="0.1678"/>
    <n v="0.16865561240214511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2"/>
    <m/>
  </r>
  <r>
    <s v="MX"/>
    <x v="1"/>
    <s v="USF"/>
    <s v="2-up ZR2 Protector Clip Driver – 17866-7"/>
    <s v="T2XX Stone Protector"/>
    <x v="14"/>
    <x v="57"/>
    <n v="14"/>
    <m/>
    <n v="14"/>
    <n v="12.5"/>
    <n v="1"/>
    <m/>
    <n v="0.96000000000000008"/>
    <n v="12.5"/>
    <n v="26.73"/>
    <n v="374.22"/>
    <n v="334.125"/>
    <n v="0.8928571428571429"/>
    <n v="45833"/>
    <n v="2142.63"/>
    <n v="2234.61"/>
    <n v="14845.91"/>
    <n v="14845.91"/>
    <m/>
    <m/>
    <n v="38117.18"/>
    <n v="22897.05"/>
    <n v="40311.695"/>
    <n v="0.16834638797373072"/>
    <n v="0.1678"/>
    <n v="0.16922119433595884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0"/>
    <m/>
  </r>
  <r>
    <s v="MX"/>
    <x v="1"/>
    <s v="USF"/>
    <s v="2-up ZR2 Air Deflector Clip – 17874-5"/>
    <s v="T2XX Stone Protector"/>
    <x v="14"/>
    <x v="58"/>
    <n v="14"/>
    <m/>
    <n v="14"/>
    <n v="13"/>
    <m/>
    <n v="1.5"/>
    <n v="0.96000000000000008"/>
    <n v="13"/>
    <n v="26.73"/>
    <n v="374.22"/>
    <n v="347.49"/>
    <n v="0.9285714285714286"/>
    <n v="49062"/>
    <n v="2142.63"/>
    <n v="2234.61"/>
    <n v="16375.91"/>
    <n v="16375.91"/>
    <m/>
    <m/>
    <n v="40800.589999999997"/>
    <n v="24050.459999999995"/>
    <n v="43008.469999999994"/>
    <n v="0.16838714279890743"/>
    <n v="0.1678"/>
    <n v="0.16893196363784613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0"/>
    <m/>
  </r>
  <r>
    <s v="MX"/>
    <x v="1"/>
    <s v="USF"/>
    <s v="2-up GMC Long Box Protector Clip Driver Tooling – 17880-1"/>
    <s v="T2XX Stone Protector"/>
    <x v="14"/>
    <x v="59"/>
    <n v="14"/>
    <m/>
    <n v="14"/>
    <n v="13"/>
    <n v="3.5"/>
    <m/>
    <n v="0.96000000000000008"/>
    <n v="13"/>
    <n v="26.73"/>
    <n v="374.22"/>
    <n v="347.49"/>
    <n v="0.9285714285714286"/>
    <n v="46078"/>
    <n v="2142.63"/>
    <n v="2234.61"/>
    <n v="15145.91"/>
    <n v="15145.91"/>
    <m/>
    <m/>
    <n v="38321.26"/>
    <n v="22801.13"/>
    <n v="40529.14"/>
    <n v="0.16833933764486317"/>
    <n v="0.1678"/>
    <n v="0.16891944094795783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2"/>
    <m/>
  </r>
  <r>
    <s v="MX"/>
    <x v="1"/>
    <s v="USF"/>
    <s v="2-up GMC Standard Box Deflector Clip Driver Tooling – 17888-89"/>
    <s v="T2XX Stone Protector"/>
    <x v="14"/>
    <x v="60"/>
    <n v="14"/>
    <m/>
    <n v="14"/>
    <n v="12.5"/>
    <n v="1"/>
    <n v="1"/>
    <n v="0.96000000000000008"/>
    <n v="12.5"/>
    <n v="26.73"/>
    <n v="374.22"/>
    <n v="334.125"/>
    <n v="0.8928571428571429"/>
    <n v="58946"/>
    <n v="2142.63"/>
    <n v="2234.61"/>
    <n v="21365.91"/>
    <n v="21365.91"/>
    <m/>
    <m/>
    <n v="49024.24"/>
    <n v="27284.109999999997"/>
    <n v="51218.754999999997"/>
    <n v="0.16831947884504464"/>
    <n v="0.1678"/>
    <n v="0.16899967767108884"/>
    <d v="2025-07-29T00:00:00"/>
    <s v="Finished"/>
    <n v="100"/>
    <n v="0.05"/>
    <n v="0.05"/>
    <n v="0.70000000000000007"/>
    <s v="Finished"/>
    <n v="100"/>
    <n v="0.05"/>
    <n v="0.05"/>
    <n v="0.70000000000000007"/>
    <d v="2025-08-04T00:00:00"/>
    <d v="2025-08-13T00:00:00"/>
    <s v="Finished"/>
    <n v="100"/>
    <n v="0.01"/>
    <n v="0.01"/>
    <n v="0.14000000000000001"/>
    <d v="2025-09-05T00:00:00"/>
    <d v="2025-09-12T00:00:00"/>
    <s v="Finished"/>
    <n v="100"/>
    <n v="0.01"/>
    <n v="0.01"/>
    <n v="0.14000000000000001"/>
    <s v="Finished"/>
    <n v="100"/>
    <n v="0.08"/>
    <n v="0.08"/>
    <n v="1.1200000000000001"/>
    <s v="Finished"/>
    <n v="100"/>
    <n v="0.18"/>
    <n v="0.18"/>
    <n v="2.52"/>
    <s v="Finished"/>
    <n v="100"/>
    <n v="0.28000000000000003"/>
    <n v="0.28000000000000003"/>
    <n v="3.9200000000000004"/>
    <s v="Finished"/>
    <n v="100"/>
    <n v="0.15"/>
    <n v="0.15"/>
    <n v="2.1"/>
    <s v="Finished"/>
    <n v="100"/>
    <n v="0.16"/>
    <n v="0.16"/>
    <n v="2.2400000000000002"/>
    <s v="Finished"/>
    <n v="100"/>
    <n v="0.13"/>
    <n v="0.13"/>
    <n v="1.82"/>
    <s v="Finished"/>
    <n v="100"/>
    <n v="0.01"/>
    <n v="0.01"/>
    <n v="0.14000000000000001"/>
    <n v="1"/>
    <n v="0.54"/>
    <n v="0.54"/>
    <n v="7.5600000000000005"/>
    <n v="7.5600000000000005"/>
    <n v="0"/>
    <s v="Finished"/>
    <n v="100"/>
    <n v="0.02"/>
    <n v="0.02"/>
    <n v="0.28000000000000003"/>
    <d v="2025-09-08T00:00:00"/>
    <d v="2025-09-19T00:00:00"/>
    <s v="Finished"/>
    <n v="100"/>
    <n v="0.01"/>
    <n v="0.01"/>
    <n v="0.14000000000000001"/>
    <d v="2025-10-10T00:00:00"/>
    <d v="2025-09-23T00:00:00"/>
    <s v="Finished"/>
    <n v="100"/>
    <n v="0.03"/>
    <n v="0.03"/>
    <n v="0.42"/>
    <s v="Finished"/>
    <n v="100"/>
    <n v="7.0000000000000007E-2"/>
    <n v="7.0000000000000007E-2"/>
    <n v="0.98000000000000009"/>
    <d v="2025-09-26T00:00:00"/>
    <d v="2025-09-24T00:00:00"/>
    <s v="Finished"/>
    <n v="100"/>
    <n v="0.04"/>
    <n v="0.04"/>
    <n v="0.56000000000000005"/>
    <d v="2025-10-14T00:00:00"/>
    <d v="2025-10-08T00:00:00"/>
    <s v="In process"/>
    <n v="50"/>
    <n v="0.05"/>
    <n v="2.5000000000000001E-2"/>
    <n v="0.70000000000000007"/>
    <d v="2025-10-20T00:00:00"/>
    <m/>
    <s v="Finished"/>
    <n v="100"/>
    <n v="0.1"/>
    <n v="0.1"/>
    <n v="1.4000000000000001"/>
    <d v="2025-10-17T00:00:00"/>
    <d v="2025-12-12T00:00:00"/>
    <s v="In process"/>
    <n v="50"/>
    <n v="0.03"/>
    <n v="1.4999999999999999E-2"/>
    <n v="0.42"/>
    <n v="1.1200000000000001"/>
    <s v="JUAN ADAME"/>
    <x v="2"/>
    <m/>
  </r>
  <r>
    <s v="MX"/>
    <x v="1"/>
    <s v="USF"/>
    <s v="2-up GMC Long Box Deflector Clip Driver Tooling – 17890-91"/>
    <s v="T2XX Stone Protector"/>
    <x v="14"/>
    <x v="61"/>
    <n v="15"/>
    <m/>
    <n v="15"/>
    <n v="13"/>
    <m/>
    <m/>
    <n v="0.96000000000000008"/>
    <n v="13"/>
    <n v="26.73"/>
    <n v="400.95"/>
    <n v="347.49"/>
    <n v="0.8666666666666667"/>
    <n v="79357"/>
    <n v="2142.63"/>
    <n v="2234.61"/>
    <n v="30345.91"/>
    <n v="30345.91"/>
    <m/>
    <m/>
    <n v="65999.259999999995"/>
    <n v="35252.399999999994"/>
    <n v="68180.41"/>
    <n v="0.16832465945033193"/>
    <n v="0.1678"/>
    <n v="0.16899832402938617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19T00:00:00"/>
    <s v="Finished"/>
    <n v="100"/>
    <n v="0.01"/>
    <n v="0.01"/>
    <n v="0.15"/>
    <d v="2025-10-10T00:00:00"/>
    <d v="2025-09-23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2"/>
    <m/>
  </r>
  <r>
    <s v="MX"/>
    <x v="1"/>
    <s v="USF"/>
    <s v="(1+1) GMC Stone Protector Bracket Clip Driver – 17876-77"/>
    <s v="T2XX Stone Protector"/>
    <x v="14"/>
    <x v="62"/>
    <n v="15"/>
    <m/>
    <n v="15"/>
    <n v="13.5"/>
    <m/>
    <n v="1"/>
    <n v="0.96000000000000008"/>
    <n v="13.5"/>
    <n v="26.73"/>
    <n v="400.95"/>
    <n v="360.85500000000002"/>
    <n v="0.9"/>
    <n v="33412"/>
    <n v="2142.63"/>
    <n v="2234.61"/>
    <n v="8880.91"/>
    <n v="8880.91"/>
    <m/>
    <m/>
    <n v="27787.69"/>
    <n v="18505.829999999998"/>
    <n v="29982.204999999998"/>
    <n v="0.16833203639410982"/>
    <n v="0.1678"/>
    <n v="0.16953205435172999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19T00:00:00"/>
    <s v="Finished"/>
    <n v="100"/>
    <n v="0.01"/>
    <n v="0.01"/>
    <n v="0.15"/>
    <d v="2025-10-10T00:00:00"/>
    <d v="2025-09-23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0"/>
    <m/>
  </r>
  <r>
    <s v="MX"/>
    <x v="1"/>
    <s v="USF"/>
    <s v="(1+1) GMC Stone Protector Bracket Weld – 17876-77"/>
    <s v="T2XX Stone Protector"/>
    <x v="14"/>
    <x v="63"/>
    <n v="15"/>
    <m/>
    <n v="15"/>
    <n v="12.5"/>
    <n v="1"/>
    <m/>
    <n v="0.96000000000000008"/>
    <n v="12.5"/>
    <n v="26.73"/>
    <n v="400.95"/>
    <n v="334.125"/>
    <n v="0.83333333333333337"/>
    <n v="118698"/>
    <n v="2142.63"/>
    <n v="2234.61"/>
    <n v="19030.91"/>
    <n v="19030.91"/>
    <m/>
    <m/>
    <n v="98717.19"/>
    <n v="79285.33"/>
    <n v="100884.97500000001"/>
    <n v="0.16833316483849781"/>
    <n v="0.1678"/>
    <n v="0.16889614820805737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19T00:00:00"/>
    <s v="Finished"/>
    <n v="100"/>
    <n v="0.01"/>
    <n v="0.01"/>
    <n v="0.15"/>
    <d v="2025-10-10T00:00:00"/>
    <d v="2025-09-04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0"/>
    <m/>
  </r>
  <r>
    <s v="MX"/>
    <x v="1"/>
    <s v="USF"/>
    <s v="2-up GMC Short Box Clip Driver – 17882-83"/>
    <s v="T2XX Stone Protector"/>
    <x v="14"/>
    <x v="64"/>
    <n v="15"/>
    <m/>
    <n v="15"/>
    <n v="12.5"/>
    <m/>
    <m/>
    <n v="0.96000000000000008"/>
    <n v="12.5"/>
    <n v="26.73"/>
    <n v="400.95"/>
    <n v="334.125"/>
    <n v="0.83333333333333337"/>
    <n v="45851"/>
    <n v="2142.63"/>
    <n v="2234.61"/>
    <n v="14965.91"/>
    <n v="14965.91"/>
    <m/>
    <m/>
    <n v="38133.79"/>
    <n v="22766.93"/>
    <n v="40301.574999999997"/>
    <n v="0.16831061481756121"/>
    <n v="0.1678"/>
    <n v="0.16976805304137321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19T00:00:00"/>
    <s v="Finished"/>
    <n v="100"/>
    <n v="0.01"/>
    <n v="0.01"/>
    <n v="0.15"/>
    <d v="2025-10-10T00:00:00"/>
    <d v="2025-09-23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2"/>
    <m/>
  </r>
  <r>
    <s v="MX"/>
    <x v="1"/>
    <s v="USF"/>
    <s v="2-up GMC Stone Protector Clip Driver – 17886-87"/>
    <s v="T2XX Stone Protector"/>
    <x v="14"/>
    <x v="65"/>
    <n v="15"/>
    <m/>
    <n v="15"/>
    <n v="12.5"/>
    <m/>
    <n v="1"/>
    <n v="0.96000000000000008"/>
    <n v="12.5"/>
    <n v="26.73"/>
    <n v="400.95"/>
    <n v="334.125"/>
    <n v="0.83333333333333337"/>
    <n v="49241"/>
    <n v="2142.63"/>
    <n v="2234.61"/>
    <n v="16505.91"/>
    <n v="16505.91"/>
    <m/>
    <m/>
    <n v="40951.83"/>
    <n v="24044.97"/>
    <n v="43119.615000000005"/>
    <n v="0.1683387827217156"/>
    <n v="0.1678"/>
    <n v="0.16969588351170764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19T00:00:00"/>
    <s v="Finished"/>
    <n v="100"/>
    <n v="0.01"/>
    <n v="0.01"/>
    <n v="0.15"/>
    <d v="2025-10-10T00:00:00"/>
    <d v="2025-09-23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2"/>
    <m/>
  </r>
  <r>
    <s v="MX"/>
    <x v="1"/>
    <s v="USF"/>
    <s v="(1+1) AT4 Fender Stone Protector Bracket Clip Driver – 17878-9"/>
    <s v="T2XX Stone Protector"/>
    <x v="14"/>
    <x v="66"/>
    <n v="15"/>
    <m/>
    <n v="15"/>
    <n v="13"/>
    <n v="1"/>
    <m/>
    <n v="0.96000000000000008"/>
    <n v="13"/>
    <n v="26.73"/>
    <n v="400.95"/>
    <n v="347.49"/>
    <n v="0.8666666666666667"/>
    <n v="32841"/>
    <n v="3683.83"/>
    <n v="2234.61"/>
    <n v="8553.91"/>
    <n v="8553.91"/>
    <m/>
    <m/>
    <n v="27313.57"/>
    <n v="18358.71"/>
    <n v="29494.720000000001"/>
    <n v="0.16830882129046021"/>
    <n v="0.1678"/>
    <n v="0.16993666453518466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19T00:00:00"/>
    <s v="Finished"/>
    <n v="100"/>
    <n v="0.01"/>
    <n v="0.01"/>
    <n v="0.15"/>
    <d v="2025-10-10T00:00:00"/>
    <d v="2025-09-23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0"/>
    <m/>
  </r>
  <r>
    <s v="MX"/>
    <x v="1"/>
    <s v="USF"/>
    <s v="(1+1) AT4 Fender Stone Protector Bracket Weld – 17878-9"/>
    <s v="T2XX Stone Protector"/>
    <x v="14"/>
    <x v="67"/>
    <n v="15"/>
    <m/>
    <n v="15"/>
    <n v="12.5"/>
    <n v="1"/>
    <m/>
    <n v="0.96000000000000008"/>
    <n v="12.5"/>
    <n v="26.73"/>
    <n v="400.95"/>
    <n v="334.125"/>
    <n v="0.83333333333333337"/>
    <n v="114616"/>
    <n v="3683.83"/>
    <n v="2234.61"/>
    <n v="19030.91"/>
    <n v="19030.91"/>
    <m/>
    <m/>
    <n v="95320.31"/>
    <n v="75888.45"/>
    <n v="97488.095000000001"/>
    <n v="0.1683507538214559"/>
    <n v="0.1678"/>
    <n v="0.16893378760382494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22T00:00:00"/>
    <s v="Finished"/>
    <n v="100"/>
    <n v="0.01"/>
    <n v="0.01"/>
    <n v="0.15"/>
    <d v="2025-10-10T00:00:00"/>
    <d v="2025-09-23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0"/>
    <m/>
  </r>
  <r>
    <s v="MX"/>
    <x v="1"/>
    <s v="USF"/>
    <s v="2-up AT4 Rear Stone Protector BS Clip Driver – 17884-5"/>
    <s v="T2XX Stone Protector"/>
    <x v="14"/>
    <x v="68"/>
    <n v="15"/>
    <m/>
    <n v="15"/>
    <n v="13.5"/>
    <n v="3"/>
    <n v="1.5"/>
    <n v="0.96000000000000008"/>
    <n v="13.5"/>
    <n v="26.73"/>
    <n v="400.95"/>
    <n v="360.85500000000002"/>
    <n v="0.9"/>
    <n v="44748"/>
    <n v="3683.83"/>
    <n v="2234.61"/>
    <n v="14105.91"/>
    <n v="14105.91"/>
    <m/>
    <m/>
    <n v="37217.01"/>
    <n v="22710.15"/>
    <n v="39411.525000000001"/>
    <n v="0.16829780101904007"/>
    <n v="0.1678"/>
    <n v="0.16919381871815498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19T00:00:00"/>
    <s v="Finished"/>
    <n v="100"/>
    <n v="0.01"/>
    <n v="0.01"/>
    <n v="0.15"/>
    <d v="2025-10-10T00:00:00"/>
    <d v="2025-09-23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2"/>
    <m/>
  </r>
  <r>
    <s v="MX"/>
    <x v="1"/>
    <s v="USF"/>
    <s v="2-up AT4 Air Deflector BS Clip Driver – 17892-3"/>
    <s v="T2XX Stone Protector"/>
    <x v="14"/>
    <x v="69"/>
    <n v="15"/>
    <m/>
    <n v="15"/>
    <n v="12"/>
    <n v="3"/>
    <m/>
    <n v="0.96000000000000008"/>
    <n v="12"/>
    <n v="26.73"/>
    <n v="400.95"/>
    <n v="320.76"/>
    <n v="0.8"/>
    <n v="48114"/>
    <n v="3683.83"/>
    <n v="2234.61"/>
    <n v="15855.91"/>
    <n v="15855.91"/>
    <m/>
    <m/>
    <n v="40014.65"/>
    <n v="23757.79"/>
    <n v="42169.07"/>
    <n v="0.1683366587687575"/>
    <n v="0.1678"/>
    <n v="0.17000332543542421"/>
    <d v="2025-07-29T00:00:00"/>
    <s v="Finished"/>
    <n v="100"/>
    <n v="0.05"/>
    <n v="0.05"/>
    <n v="0.75"/>
    <s v="Finished"/>
    <n v="100"/>
    <n v="0.05"/>
    <n v="0.05"/>
    <n v="0.75"/>
    <d v="2025-08-04T00:00:00"/>
    <d v="2025-08-13T00:00:00"/>
    <s v="Finished"/>
    <n v="100"/>
    <n v="0.01"/>
    <n v="0.01"/>
    <n v="0.15"/>
    <d v="2025-09-05T00:00:00"/>
    <d v="2025-09-12T00:00:00"/>
    <s v="Finished"/>
    <n v="100"/>
    <n v="0.01"/>
    <n v="0.01"/>
    <n v="0.15"/>
    <s v="Finished"/>
    <n v="100"/>
    <n v="0.08"/>
    <n v="0.08"/>
    <n v="1.2"/>
    <s v="Finished"/>
    <n v="100"/>
    <n v="0.18"/>
    <n v="0.18"/>
    <n v="2.6999999999999997"/>
    <s v="Finished"/>
    <n v="100"/>
    <n v="0.28000000000000003"/>
    <n v="0.28000000000000003"/>
    <n v="4.2"/>
    <s v="Finished"/>
    <n v="100"/>
    <n v="0.15"/>
    <n v="0.15"/>
    <n v="2.25"/>
    <s v="Finished"/>
    <n v="100"/>
    <n v="0.16"/>
    <n v="0.16"/>
    <n v="2.4"/>
    <s v="Finished"/>
    <n v="100"/>
    <n v="0.13"/>
    <n v="0.13"/>
    <n v="1.9500000000000002"/>
    <s v="Finished"/>
    <n v="100"/>
    <n v="0.01"/>
    <n v="0.01"/>
    <n v="0.15"/>
    <n v="1"/>
    <n v="0.54"/>
    <n v="0.54"/>
    <n v="8.1000000000000014"/>
    <n v="8.1000000000000014"/>
    <n v="0"/>
    <s v="Finished"/>
    <n v="100"/>
    <n v="0.02"/>
    <n v="0.02"/>
    <n v="0.3"/>
    <d v="2025-09-08T00:00:00"/>
    <d v="2025-09-19T00:00:00"/>
    <s v="Finished"/>
    <n v="100"/>
    <n v="0.01"/>
    <n v="0.01"/>
    <n v="0.15"/>
    <d v="2025-10-10T00:00:00"/>
    <d v="2025-09-23T00:00:00"/>
    <s v="Finished"/>
    <n v="100"/>
    <n v="0.03"/>
    <n v="0.03"/>
    <n v="0.44999999999999996"/>
    <s v="Finished"/>
    <n v="100"/>
    <n v="7.0000000000000007E-2"/>
    <n v="7.0000000000000007E-2"/>
    <n v="1.05"/>
    <d v="2025-09-26T00:00:00"/>
    <d v="2025-09-24T00:00:00"/>
    <s v="Finished"/>
    <n v="100"/>
    <n v="0.04"/>
    <n v="0.04"/>
    <n v="0.6"/>
    <d v="2025-10-14T00:00:00"/>
    <d v="2025-10-08T00:00:00"/>
    <s v="In process"/>
    <n v="50"/>
    <n v="0.05"/>
    <n v="2.5000000000000001E-2"/>
    <n v="0.75"/>
    <d v="2025-10-20T00:00:00"/>
    <m/>
    <s v="Finished"/>
    <n v="100"/>
    <n v="0.1"/>
    <n v="0.1"/>
    <n v="1.5"/>
    <d v="2025-10-17T00:00:00"/>
    <d v="2025-12-12T00:00:00"/>
    <s v="In process"/>
    <n v="50"/>
    <n v="0.03"/>
    <n v="1.4999999999999999E-2"/>
    <n v="0.44999999999999996"/>
    <n v="1.2"/>
    <s v="JUAN ADAME"/>
    <x v="2"/>
    <m/>
  </r>
  <r>
    <s v="MX"/>
    <x v="1"/>
    <s v="USF"/>
    <s v="(1+1) Stone Protector Bracket Weld – 17858-59"/>
    <s v="T2XX Stone Protector"/>
    <x v="14"/>
    <x v="70"/>
    <n v="8"/>
    <m/>
    <n v="8"/>
    <n v="8"/>
    <n v="1"/>
    <m/>
    <n v="0.96000000000000008"/>
    <n v="8"/>
    <n v="26.73"/>
    <n v="213.84"/>
    <n v="213.84"/>
    <n v="1"/>
    <n v="79013"/>
    <n v="3683.83"/>
    <n v="2234.61"/>
    <n v="16865.91"/>
    <n v="16865.91"/>
    <m/>
    <m/>
    <n v="65712.100000000006"/>
    <n v="48632.350000000006"/>
    <n v="67946.710000000006"/>
    <n v="0.16833812157493064"/>
    <n v="0.1678"/>
    <n v="0.16833812157493064"/>
    <d v="2025-07-29T00:00:00"/>
    <s v="Finished"/>
    <n v="100"/>
    <n v="0.05"/>
    <n v="0.05"/>
    <n v="0.4"/>
    <s v="Finished"/>
    <n v="100"/>
    <n v="0.05"/>
    <n v="0.05"/>
    <n v="0.4"/>
    <d v="2025-08-04T00:00:00"/>
    <d v="2025-08-13T00:00:00"/>
    <s v="Finished"/>
    <n v="100"/>
    <n v="0.01"/>
    <n v="0.01"/>
    <n v="0.08"/>
    <d v="2025-09-05T00:00:00"/>
    <d v="2025-09-12T00:00:00"/>
    <s v="Finished"/>
    <n v="100"/>
    <n v="0.01"/>
    <n v="0.01"/>
    <n v="0.08"/>
    <s v="Finished"/>
    <n v="100"/>
    <n v="0.08"/>
    <n v="0.08"/>
    <n v="0.64"/>
    <s v="Finished"/>
    <n v="100"/>
    <n v="0.18"/>
    <n v="0.18"/>
    <n v="1.44"/>
    <s v="Finished"/>
    <n v="100"/>
    <n v="0.28000000000000003"/>
    <n v="0.28000000000000003"/>
    <n v="2.2400000000000002"/>
    <s v="Finished"/>
    <n v="100"/>
    <n v="0.15"/>
    <n v="0.15"/>
    <n v="1.2"/>
    <s v="Finished"/>
    <n v="100"/>
    <n v="0.16"/>
    <n v="0.16"/>
    <n v="1.28"/>
    <s v="Finished"/>
    <n v="100"/>
    <n v="0.13"/>
    <n v="0.13"/>
    <n v="1.04"/>
    <s v="Finished"/>
    <n v="100"/>
    <n v="0.01"/>
    <n v="0.01"/>
    <n v="0.08"/>
    <n v="1"/>
    <n v="0.54"/>
    <n v="0.54"/>
    <n v="4.32"/>
    <n v="4.32"/>
    <n v="0"/>
    <s v="Finished"/>
    <n v="100"/>
    <n v="0.02"/>
    <n v="0.02"/>
    <n v="0.16"/>
    <d v="2025-09-08T00:00:00"/>
    <d v="2025-09-22T00:00:00"/>
    <s v="Finished"/>
    <n v="100"/>
    <n v="0.01"/>
    <n v="0.01"/>
    <n v="0.08"/>
    <d v="2025-10-10T00:00:00"/>
    <d v="2025-09-23T00:00:00"/>
    <s v="Finished"/>
    <n v="100"/>
    <n v="0.03"/>
    <n v="0.03"/>
    <n v="0.24"/>
    <s v="Finished"/>
    <n v="100"/>
    <n v="7.0000000000000007E-2"/>
    <n v="7.0000000000000007E-2"/>
    <n v="0.56000000000000005"/>
    <d v="2025-09-26T00:00:00"/>
    <d v="2025-09-24T00:00:00"/>
    <s v="Finished"/>
    <n v="100"/>
    <n v="0.04"/>
    <n v="0.04"/>
    <n v="0.32"/>
    <d v="2025-10-14T00:00:00"/>
    <d v="2025-10-08T00:00:00"/>
    <s v="In process"/>
    <n v="50"/>
    <n v="0.05"/>
    <n v="2.5000000000000001E-2"/>
    <n v="0.4"/>
    <d v="2025-10-20T00:00:00"/>
    <m/>
    <s v="Finished"/>
    <n v="100"/>
    <n v="0.1"/>
    <n v="0.1"/>
    <n v="0.8"/>
    <d v="2025-10-17T00:00:00"/>
    <d v="2025-12-12T00:00:00"/>
    <s v="In process"/>
    <n v="50"/>
    <n v="0.03"/>
    <n v="1.4999999999999999E-2"/>
    <n v="0.24"/>
    <n v="0.64"/>
    <s v="JUAN ADAME"/>
    <x v="0"/>
    <m/>
  </r>
  <r>
    <s v="MX"/>
    <x v="1"/>
    <s v="USF"/>
    <s v="2-up Short Box Clip Driver – 17864-65"/>
    <s v="T2XX Stone Protector"/>
    <x v="14"/>
    <x v="71"/>
    <n v="8"/>
    <m/>
    <n v="8"/>
    <n v="6.5"/>
    <n v="1"/>
    <n v="1"/>
    <n v="0.96000000000000008"/>
    <n v="6.5"/>
    <n v="26.73"/>
    <n v="213.84"/>
    <n v="173.745"/>
    <n v="0.8125"/>
    <n v="44404"/>
    <n v="3683.83"/>
    <n v="2234.61"/>
    <n v="14965.91"/>
    <n v="14965.91"/>
    <m/>
    <m/>
    <n v="36924.21"/>
    <n v="21744.46"/>
    <n v="39118.724999999999"/>
    <n v="0.1684485631925052"/>
    <n v="0.1678"/>
    <n v="0.16935152238537074"/>
    <d v="2025-07-29T00:00:00"/>
    <s v="Finished"/>
    <n v="100"/>
    <n v="0.05"/>
    <n v="0.05"/>
    <n v="0.4"/>
    <s v="Finished"/>
    <n v="100"/>
    <n v="0.05"/>
    <n v="0.05"/>
    <n v="0.4"/>
    <d v="2025-08-04T00:00:00"/>
    <d v="2025-08-13T00:00:00"/>
    <s v="Finished"/>
    <n v="100"/>
    <n v="0.01"/>
    <n v="0.01"/>
    <n v="0.08"/>
    <d v="2025-09-05T00:00:00"/>
    <d v="2025-09-12T00:00:00"/>
    <s v="Finished"/>
    <n v="100"/>
    <n v="0.01"/>
    <n v="0.01"/>
    <n v="0.08"/>
    <s v="Finished"/>
    <n v="100"/>
    <n v="0.08"/>
    <n v="0.08"/>
    <n v="0.64"/>
    <s v="Finished"/>
    <n v="100"/>
    <n v="0.18"/>
    <n v="0.18"/>
    <n v="1.44"/>
    <s v="Finished"/>
    <n v="100"/>
    <n v="0.28000000000000003"/>
    <n v="0.28000000000000003"/>
    <n v="2.2400000000000002"/>
    <s v="Finished"/>
    <n v="100"/>
    <n v="0.15"/>
    <n v="0.15"/>
    <n v="1.2"/>
    <s v="Finished"/>
    <n v="100"/>
    <n v="0.16"/>
    <n v="0.16"/>
    <n v="1.28"/>
    <s v="Finished"/>
    <n v="100"/>
    <n v="0.13"/>
    <n v="0.13"/>
    <n v="1.04"/>
    <s v="Finished"/>
    <n v="100"/>
    <n v="0.01"/>
    <n v="0.01"/>
    <n v="0.08"/>
    <n v="1"/>
    <n v="0.54"/>
    <n v="0.54"/>
    <n v="4.32"/>
    <n v="4.32"/>
    <n v="0"/>
    <s v="Finished"/>
    <n v="100"/>
    <n v="0.02"/>
    <n v="0.02"/>
    <n v="0.16"/>
    <d v="2025-09-08T00:00:00"/>
    <d v="2025-09-22T00:00:00"/>
    <s v="Finished"/>
    <n v="100"/>
    <n v="0.01"/>
    <n v="0.01"/>
    <n v="0.08"/>
    <d v="2025-10-10T00:00:00"/>
    <d v="2025-09-23T00:00:00"/>
    <s v="Finished"/>
    <n v="100"/>
    <n v="0.03"/>
    <n v="0.03"/>
    <n v="0.24"/>
    <s v="Finished"/>
    <n v="100"/>
    <n v="7.0000000000000007E-2"/>
    <n v="7.0000000000000007E-2"/>
    <n v="0.56000000000000005"/>
    <d v="2025-09-26T00:00:00"/>
    <d v="2025-09-24T00:00:00"/>
    <s v="Finished"/>
    <n v="100"/>
    <n v="0.04"/>
    <n v="0.04"/>
    <n v="0.32"/>
    <d v="2025-10-14T00:00:00"/>
    <d v="2025-10-08T00:00:00"/>
    <s v="In process"/>
    <n v="50"/>
    <n v="0.05"/>
    <n v="2.5000000000000001E-2"/>
    <n v="0.4"/>
    <d v="2025-10-20T00:00:00"/>
    <m/>
    <s v="Finished"/>
    <n v="100"/>
    <n v="0.1"/>
    <n v="0.1"/>
    <n v="0.8"/>
    <d v="2025-10-17T00:00:00"/>
    <d v="2025-12-12T00:00:00"/>
    <s v="In process"/>
    <n v="50"/>
    <n v="0.03"/>
    <n v="1.4999999999999999E-2"/>
    <n v="0.24"/>
    <n v="0.64"/>
    <s v="JUAN ADAME"/>
    <x v="2"/>
    <m/>
  </r>
  <r>
    <s v="MX"/>
    <x v="1"/>
    <s v="Röchling "/>
    <s v="1. STA A HVS Front  Middle Assembly Station"/>
    <s v="Röchling D1674 NCar Underbody Inspection St"/>
    <x v="15"/>
    <x v="72"/>
    <n v="50"/>
    <m/>
    <n v="50"/>
    <n v="40.5"/>
    <m/>
    <n v="0"/>
    <n v="0.91"/>
    <n v="40.5"/>
    <n v="26.73"/>
    <n v="1336.5"/>
    <n v="1082.5650000000001"/>
    <n v="0.81"/>
    <n v="77665"/>
    <n v="3984"/>
    <n v="3165.54"/>
    <n v="23968.54"/>
    <n v="23968.54"/>
    <m/>
    <m/>
    <n v="61748.73"/>
    <n v="36443.69"/>
    <n v="64660.335000000006"/>
    <n v="0.2049"/>
    <n v="0.20499999999999999"/>
    <n v="0.2082045322861005"/>
    <d v="2025-08-20T00:00:00"/>
    <s v="Finished"/>
    <n v="100"/>
    <n v="0.05"/>
    <n v="0.05"/>
    <n v="2.5"/>
    <s v="Finished"/>
    <n v="100"/>
    <n v="0.05"/>
    <n v="0.05"/>
    <n v="2.5"/>
    <d v="2025-09-02T00:00:00"/>
    <d v="2025-09-02T00:00:00"/>
    <s v="Finished"/>
    <n v="100"/>
    <n v="0.01"/>
    <n v="0.01"/>
    <n v="0.5"/>
    <d v="2025-11-12T00:00:00"/>
    <d v="2025-11-07T00:00:00"/>
    <s v="Finished"/>
    <n v="100"/>
    <n v="0.01"/>
    <n v="0.01"/>
    <n v="0.5"/>
    <s v="Finished"/>
    <n v="100"/>
    <n v="0.08"/>
    <n v="0.08"/>
    <n v="4"/>
    <s v="Finished"/>
    <n v="100"/>
    <n v="0.18"/>
    <n v="0.18"/>
    <n v="9"/>
    <s v="Finished"/>
    <n v="100"/>
    <n v="0.28000000000000003"/>
    <n v="0.28000000000000003"/>
    <n v="14.000000000000002"/>
    <s v="Finished"/>
    <n v="100"/>
    <n v="0.15"/>
    <n v="0.15"/>
    <n v="7.5"/>
    <s v="Finished"/>
    <n v="100"/>
    <n v="0.16"/>
    <n v="0.16"/>
    <n v="8"/>
    <s v="Finished"/>
    <n v="100"/>
    <n v="0.13"/>
    <n v="0.13"/>
    <n v="6.5"/>
    <s v="Finished"/>
    <n v="100"/>
    <n v="0.01"/>
    <n v="0.01"/>
    <n v="0.5"/>
    <n v="1"/>
    <n v="0.54"/>
    <n v="0.54"/>
    <n v="27"/>
    <n v="27"/>
    <n v="0"/>
    <s v="Finished"/>
    <n v="100"/>
    <n v="0.02"/>
    <n v="0.02"/>
    <n v="1"/>
    <d v="2025-11-21T00:00:00"/>
    <d v="2025-11-10T00:00:00"/>
    <s v="Finished"/>
    <n v="100"/>
    <n v="0.01"/>
    <n v="0.01"/>
    <n v="0.5"/>
    <d v="2025-11-24T00:00:00"/>
    <d v="2025-11-13T00:00:00"/>
    <s v="Finished"/>
    <n v="100"/>
    <n v="0.03"/>
    <n v="0.03"/>
    <n v="1.5"/>
    <s v="Finished"/>
    <n v="100"/>
    <n v="7.0000000000000007E-2"/>
    <n v="7.0000000000000007E-2"/>
    <n v="3.5000000000000004"/>
    <d v="2025-11-25T00:00:00"/>
    <d v="2025-11-24T00:00:00"/>
    <s v="Finished"/>
    <n v="100"/>
    <n v="0.04"/>
    <n v="0.04"/>
    <n v="2"/>
    <d v="2025-11-27T00:00:00"/>
    <d v="2025-11-26T00:00:00"/>
    <s v="Not started"/>
    <n v="0"/>
    <n v="0.05"/>
    <n v="0"/>
    <n v="2.5"/>
    <d v="2025-12-31T00:00:00"/>
    <m/>
    <s v="Under review"/>
    <n v="90"/>
    <n v="0.1"/>
    <n v="0.09"/>
    <n v="5"/>
    <d v="2026-01-09T00:00:00"/>
    <m/>
    <s v="Not started"/>
    <n v="0"/>
    <n v="0.03"/>
    <n v="0"/>
    <n v="1.5"/>
    <n v="9"/>
    <s v="HILDA MATA"/>
    <x v="2"/>
    <m/>
  </r>
  <r>
    <s v="MX"/>
    <x v="1"/>
    <s v="Röchling "/>
    <s v="2. STA B HVS Rear  Middle Inspection Station"/>
    <s v="Röchling D1674 NCar Underbody Inspection St"/>
    <x v="15"/>
    <x v="73"/>
    <n v="36"/>
    <m/>
    <n v="36"/>
    <n v="25.5"/>
    <n v="0.5"/>
    <n v="1"/>
    <n v="0.91"/>
    <n v="25.5"/>
    <n v="26.73"/>
    <n v="962.28"/>
    <n v="681.61500000000001"/>
    <n v="0.70833333333333337"/>
    <n v="69713"/>
    <n v="3984"/>
    <n v="3165.54"/>
    <n v="22560.44"/>
    <n v="22560.44"/>
    <m/>
    <m/>
    <n v="55424.639999999999"/>
    <n v="31901.919999999998"/>
    <n v="58309.514999999999"/>
    <n v="0.20499999999999999"/>
    <n v="0.20499999999999999"/>
    <n v="0.20898577022936901"/>
    <d v="2025-08-20T00:00:00"/>
    <s v="Finished"/>
    <n v="100"/>
    <n v="0.05"/>
    <n v="0.05"/>
    <n v="1.8"/>
    <s v="Finished"/>
    <n v="100"/>
    <n v="0.05"/>
    <n v="0.05"/>
    <n v="1.8"/>
    <d v="2025-09-02T00:00:00"/>
    <d v="2025-09-02T00:00:00"/>
    <s v="Finished"/>
    <n v="100"/>
    <n v="0.01"/>
    <n v="0.01"/>
    <n v="0.36"/>
    <d v="2025-11-12T00:00:00"/>
    <d v="2025-11-07T00:00:00"/>
    <s v="Finished"/>
    <n v="100"/>
    <n v="0.01"/>
    <n v="0.01"/>
    <n v="0.36"/>
    <s v="Finished"/>
    <n v="100"/>
    <n v="0.08"/>
    <n v="0.08"/>
    <n v="2.88"/>
    <s v="Finished"/>
    <n v="100"/>
    <n v="0.18"/>
    <n v="0.18"/>
    <n v="6.4799999999999995"/>
    <s v="Finished"/>
    <n v="100"/>
    <n v="0.28000000000000003"/>
    <n v="0.28000000000000003"/>
    <n v="10.080000000000002"/>
    <s v="Finished"/>
    <n v="100"/>
    <n v="0.15"/>
    <n v="0.15"/>
    <n v="5.3999999999999995"/>
    <s v="Finished"/>
    <n v="100"/>
    <n v="0.16"/>
    <n v="0.16"/>
    <n v="5.76"/>
    <s v="Finished"/>
    <n v="100"/>
    <n v="0.13"/>
    <n v="0.13"/>
    <n v="4.68"/>
    <s v="Finished"/>
    <n v="100"/>
    <n v="0.01"/>
    <n v="0.01"/>
    <n v="0.36"/>
    <n v="1"/>
    <n v="0.54"/>
    <n v="0.54"/>
    <n v="19.440000000000001"/>
    <n v="19.440000000000001"/>
    <n v="0"/>
    <s v="Finished"/>
    <n v="100"/>
    <n v="0.02"/>
    <n v="0.02"/>
    <n v="0.72"/>
    <d v="2025-11-21T00:00:00"/>
    <d v="2025-11-11T00:00:00"/>
    <s v="Finished"/>
    <n v="100"/>
    <n v="0.01"/>
    <n v="0.01"/>
    <n v="0.36"/>
    <d v="2025-11-24T00:00:00"/>
    <d v="2025-11-13T00:00:00"/>
    <s v="Finished"/>
    <n v="100"/>
    <n v="0.03"/>
    <n v="0.03"/>
    <n v="1.08"/>
    <s v="Finished"/>
    <n v="100"/>
    <n v="7.0000000000000007E-2"/>
    <n v="7.0000000000000007E-2"/>
    <n v="2.5200000000000005"/>
    <d v="2025-11-25T00:00:00"/>
    <d v="2025-11-24T00:00:00"/>
    <s v="Finished"/>
    <n v="100"/>
    <n v="0.04"/>
    <n v="0.04"/>
    <n v="1.44"/>
    <d v="2025-11-27T00:00:00"/>
    <d v="2025-11-26T00:00:00"/>
    <s v="Not started"/>
    <n v="0"/>
    <n v="0.05"/>
    <n v="0"/>
    <n v="1.8"/>
    <d v="2025-12-31T00:00:00"/>
    <m/>
    <s v="Under review"/>
    <n v="90"/>
    <n v="0.1"/>
    <n v="0.09"/>
    <n v="3.6"/>
    <d v="2026-01-09T00:00:00"/>
    <m/>
    <s v="Not started"/>
    <n v="0"/>
    <n v="0.03"/>
    <n v="0"/>
    <n v="1.08"/>
    <n v="6.48"/>
    <s v="HILDA MATA"/>
    <x v="2"/>
    <m/>
  </r>
  <r>
    <s v="MI"/>
    <x v="1"/>
    <s v="Flex and Gate"/>
    <s v="Flexible Clip Driving Machine MI"/>
    <s v="FNG T1XX End Gate Clip Drive Machines"/>
    <x v="16"/>
    <x v="74"/>
    <n v="20"/>
    <m/>
    <n v="20"/>
    <n v="11"/>
    <m/>
    <m/>
    <n v="0.97000000000000008"/>
    <n v="11"/>
    <n v="33.43"/>
    <n v="668.6"/>
    <n v="367.73"/>
    <n v="0.55000000000000004"/>
    <n v="77044"/>
    <n v="4967"/>
    <n v="3401.6049999999996"/>
    <n v="16916.32"/>
    <n v="16916.32"/>
    <m/>
    <m/>
    <n v="60312.76"/>
    <n v="42727.840000000004"/>
    <n v="63413.49500000001"/>
    <n v="0.2172"/>
    <n v="0.2271"/>
    <n v="0.2210699081044597"/>
    <d v="2025-11-03T00:00:00"/>
    <s v="Finished"/>
    <n v="100"/>
    <n v="0.05"/>
    <n v="0.05"/>
    <n v="1"/>
    <s v="Finished"/>
    <n v="100"/>
    <n v="0.05"/>
    <n v="0.05"/>
    <n v="1"/>
    <s v="NA"/>
    <s v="NA"/>
    <s v="Finished"/>
    <n v="100"/>
    <n v="0.01"/>
    <n v="0.01"/>
    <n v="0.2"/>
    <d v="2025-11-11T00:00:00"/>
    <d v="2025-11-11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Finished"/>
    <n v="100"/>
    <n v="0.02"/>
    <n v="0.02"/>
    <n v="0.4"/>
    <d v="2025-11-19T00:00:00"/>
    <d v="2025-11-19T00:00:00"/>
    <s v="Finished"/>
    <n v="100"/>
    <n v="0.01"/>
    <n v="0.01"/>
    <n v="0.2"/>
    <m/>
    <d v="2025-11-20T00:00:00"/>
    <s v="Finished"/>
    <n v="100"/>
    <n v="0.03"/>
    <n v="0.03"/>
    <n v="0.6"/>
    <s v="Finished"/>
    <n v="100"/>
    <n v="7.0000000000000007E-2"/>
    <n v="7.0000000000000007E-2"/>
    <n v="1.4000000000000001"/>
    <m/>
    <d v="2025-11-21T00:00:00"/>
    <s v="Finished"/>
    <n v="100"/>
    <n v="0.04"/>
    <n v="0.04"/>
    <n v="0.8"/>
    <m/>
    <d v="2025-11-21T00:00:00"/>
    <s v="Finished"/>
    <n v="100"/>
    <n v="0.05"/>
    <n v="0.05"/>
    <n v="1"/>
    <m/>
    <m/>
    <s v="Finished"/>
    <n v="100"/>
    <n v="0.1"/>
    <n v="0.1"/>
    <n v="2"/>
    <m/>
    <m/>
    <s v="Not started"/>
    <n v="0"/>
    <n v="0.03"/>
    <n v="0"/>
    <n v="0.6"/>
    <n v="0.6"/>
    <s v="ADRIAN CABELLO"/>
    <x v="0"/>
    <m/>
  </r>
  <r>
    <s v="MI"/>
    <x v="1"/>
    <s v="Flex and Gate"/>
    <s v="Flexible Clip Driving Machine MI"/>
    <s v="FNG T1XX End Gate Clip Drive Machines"/>
    <x v="16"/>
    <x v="75"/>
    <n v="20"/>
    <m/>
    <n v="20"/>
    <n v="11"/>
    <m/>
    <m/>
    <n v="0.96800000000000008"/>
    <n v="11"/>
    <n v="33.43"/>
    <n v="668.6"/>
    <n v="367.73"/>
    <n v="0.55000000000000004"/>
    <n v="77044"/>
    <n v="4967"/>
    <n v="3401.6049999999996"/>
    <n v="16916.32"/>
    <n v="16916.32"/>
    <m/>
    <m/>
    <n v="60312.76"/>
    <n v="42727.840000000004"/>
    <n v="63413.49500000001"/>
    <n v="0.2172"/>
    <n v="0.2271"/>
    <n v="0.2210699081044597"/>
    <d v="2025-11-03T00:00:00"/>
    <s v="Finished"/>
    <n v="100"/>
    <n v="0.05"/>
    <n v="0.05"/>
    <n v="1"/>
    <s v="Finished"/>
    <n v="100"/>
    <n v="0.05"/>
    <n v="0.05"/>
    <n v="1"/>
    <s v="NA"/>
    <s v="NA"/>
    <s v="Finished"/>
    <n v="100"/>
    <n v="0.01"/>
    <n v="0.01"/>
    <n v="0.2"/>
    <d v="2025-11-11T00:00:00"/>
    <d v="2025-11-11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Under review"/>
    <n v="90"/>
    <n v="0.02"/>
    <n v="1.8000000000000002E-2"/>
    <n v="0.4"/>
    <m/>
    <m/>
    <s v="Finished"/>
    <n v="100"/>
    <n v="0.01"/>
    <n v="0.01"/>
    <n v="0.2"/>
    <m/>
    <m/>
    <s v="Finished"/>
    <n v="100"/>
    <n v="0.03"/>
    <n v="0.03"/>
    <n v="0.6"/>
    <s v="Finished"/>
    <n v="100"/>
    <n v="7.0000000000000007E-2"/>
    <n v="7.0000000000000007E-2"/>
    <n v="1.4000000000000001"/>
    <m/>
    <d v="2025-11-21T00:00:00"/>
    <s v="Finished"/>
    <n v="100"/>
    <n v="0.04"/>
    <n v="0.04"/>
    <n v="0.8"/>
    <m/>
    <d v="2025-11-21T00:00:00"/>
    <s v="Finished"/>
    <n v="100"/>
    <n v="0.05"/>
    <n v="0.05"/>
    <n v="1"/>
    <m/>
    <m/>
    <s v="Finished"/>
    <n v="100"/>
    <n v="0.1"/>
    <n v="0.1"/>
    <n v="2"/>
    <m/>
    <m/>
    <s v="Not started"/>
    <n v="0"/>
    <n v="0.03"/>
    <n v="0"/>
    <n v="0.6"/>
    <n v="1"/>
    <s v="ADRIAN CABELLO"/>
    <x v="0"/>
    <m/>
  </r>
  <r>
    <s v="MI"/>
    <x v="1"/>
    <s v="Flex and Gate"/>
    <s v="Flexible Clip Driving Machine Gto"/>
    <s v="FNG T1XX End Gate Clip Drive Machines"/>
    <x v="16"/>
    <x v="76"/>
    <n v="20"/>
    <m/>
    <n v="20"/>
    <n v="11"/>
    <m/>
    <m/>
    <n v="0.96800000000000008"/>
    <n v="11"/>
    <n v="33.43"/>
    <n v="668.6"/>
    <n v="367.73"/>
    <n v="0.55000000000000004"/>
    <n v="77942"/>
    <n v="4967"/>
    <n v="3401.6049999999996"/>
    <n v="16916.32"/>
    <n v="16916.32"/>
    <m/>
    <m/>
    <n v="60348.68"/>
    <n v="42763.76"/>
    <n v="63449.415000000008"/>
    <n v="0.22570000000000001"/>
    <n v="0.2271"/>
    <n v="0.22958340817530978"/>
    <d v="2025-11-03T00:00:00"/>
    <s v="Finished"/>
    <n v="100"/>
    <n v="0.05"/>
    <n v="0.05"/>
    <n v="1"/>
    <s v="Finished"/>
    <n v="100"/>
    <n v="0.05"/>
    <n v="0.05"/>
    <n v="1"/>
    <s v="NA"/>
    <s v="NA"/>
    <s v="Finished"/>
    <n v="100"/>
    <n v="0.01"/>
    <n v="0.01"/>
    <n v="0.2"/>
    <d v="2025-11-11T00:00:00"/>
    <d v="2025-11-11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Under review"/>
    <n v="90"/>
    <n v="0.02"/>
    <n v="1.8000000000000002E-2"/>
    <n v="0.4"/>
    <m/>
    <m/>
    <s v="Finished"/>
    <n v="100"/>
    <n v="0.01"/>
    <n v="0.01"/>
    <n v="0.2"/>
    <m/>
    <m/>
    <s v="Finished"/>
    <n v="100"/>
    <n v="0.03"/>
    <n v="0.03"/>
    <n v="0.6"/>
    <s v="Finished"/>
    <n v="100"/>
    <n v="7.0000000000000007E-2"/>
    <n v="7.0000000000000007E-2"/>
    <n v="1.4000000000000001"/>
    <m/>
    <d v="2025-11-21T00:00:00"/>
    <s v="Finished"/>
    <n v="100"/>
    <n v="0.04"/>
    <n v="0.04"/>
    <n v="0.8"/>
    <m/>
    <d v="2025-11-21T00:00:00"/>
    <s v="Finished"/>
    <n v="100"/>
    <n v="0.05"/>
    <n v="0.05"/>
    <n v="1"/>
    <m/>
    <m/>
    <s v="Finished"/>
    <n v="100"/>
    <n v="0.1"/>
    <n v="0.1"/>
    <n v="2"/>
    <m/>
    <m/>
    <s v="Not started"/>
    <n v="0"/>
    <n v="0.03"/>
    <n v="0"/>
    <n v="0.6"/>
    <n v="1"/>
    <s v="ADRIAN CABELLO"/>
    <x v="0"/>
    <m/>
  </r>
  <r>
    <s v="MI"/>
    <x v="1"/>
    <s v="Flex and Gate"/>
    <s v="Flexible Clip Driving Machine Gto"/>
    <s v="FNG T1XX End Gate Clip Drive Machines"/>
    <x v="16"/>
    <x v="77"/>
    <n v="20"/>
    <m/>
    <n v="20"/>
    <n v="10"/>
    <m/>
    <m/>
    <n v="0.96800000000000008"/>
    <n v="10"/>
    <n v="33.43"/>
    <n v="668.6"/>
    <n v="334.3"/>
    <n v="0.5"/>
    <n v="77942"/>
    <n v="4967"/>
    <n v="3401.6049999999996"/>
    <n v="16916.32"/>
    <n v="16916.32"/>
    <m/>
    <m/>
    <n v="60348.68"/>
    <n v="42763.76"/>
    <n v="63415.985000000001"/>
    <n v="0.22570000000000001"/>
    <n v="0.2271"/>
    <n v="0.23001231685099172"/>
    <d v="2025-11-03T00:00:00"/>
    <s v="Finished"/>
    <n v="100"/>
    <n v="0.05"/>
    <n v="0.05"/>
    <n v="1"/>
    <s v="Finished"/>
    <n v="100"/>
    <n v="0.05"/>
    <n v="0.05"/>
    <n v="1"/>
    <s v="NA"/>
    <s v="NA"/>
    <s v="Finished"/>
    <n v="100"/>
    <n v="0.01"/>
    <n v="0.01"/>
    <n v="0.2"/>
    <d v="2025-11-11T00:00:00"/>
    <d v="2025-11-11T00:00:00"/>
    <s v="Finished"/>
    <n v="100"/>
    <n v="0.01"/>
    <n v="0.01"/>
    <n v="0.2"/>
    <s v="Finished"/>
    <n v="100"/>
    <n v="0.08"/>
    <n v="0.08"/>
    <n v="1.6"/>
    <s v="Finished"/>
    <n v="100"/>
    <n v="0.18"/>
    <n v="0.18"/>
    <n v="3.5999999999999996"/>
    <s v="Finished"/>
    <n v="100"/>
    <n v="0.28000000000000003"/>
    <n v="0.28000000000000003"/>
    <n v="5.6000000000000005"/>
    <s v="Finished"/>
    <n v="100"/>
    <n v="0.15"/>
    <n v="0.15"/>
    <n v="3"/>
    <s v="Finished"/>
    <n v="100"/>
    <n v="0.16"/>
    <n v="0.16"/>
    <n v="3.2"/>
    <s v="Finished"/>
    <n v="100"/>
    <n v="0.13"/>
    <n v="0.13"/>
    <n v="2.6"/>
    <s v="Finished"/>
    <n v="100"/>
    <n v="0.01"/>
    <n v="0.01"/>
    <n v="0.2"/>
    <n v="1"/>
    <n v="0.54"/>
    <n v="0.54"/>
    <n v="10.8"/>
    <n v="10.8"/>
    <n v="0"/>
    <s v="Under review"/>
    <n v="90"/>
    <n v="0.02"/>
    <n v="1.8000000000000002E-2"/>
    <n v="0.4"/>
    <m/>
    <m/>
    <s v="Finished"/>
    <n v="100"/>
    <n v="0.01"/>
    <n v="0.01"/>
    <n v="0.2"/>
    <m/>
    <m/>
    <s v="Finished"/>
    <n v="100"/>
    <n v="0.03"/>
    <n v="0.03"/>
    <n v="0.6"/>
    <s v="Finished"/>
    <n v="100"/>
    <n v="7.0000000000000007E-2"/>
    <n v="7.0000000000000007E-2"/>
    <n v="1.4000000000000001"/>
    <m/>
    <d v="2025-11-21T00:00:00"/>
    <s v="Finished"/>
    <n v="100"/>
    <n v="0.04"/>
    <n v="0.04"/>
    <n v="0.8"/>
    <m/>
    <d v="2025-11-21T00:00:00"/>
    <s v="Finished"/>
    <n v="100"/>
    <n v="0.05"/>
    <n v="0.05"/>
    <n v="1"/>
    <m/>
    <m/>
    <s v="Finished"/>
    <n v="100"/>
    <n v="0.1"/>
    <n v="0.1"/>
    <n v="2"/>
    <m/>
    <m/>
    <s v="Not started"/>
    <n v="0"/>
    <n v="0.03"/>
    <n v="0"/>
    <n v="0.6"/>
    <n v="1"/>
    <s v="ADRIAN CABELLO"/>
    <x v="0"/>
    <m/>
  </r>
  <r>
    <s v="MI"/>
    <x v="1"/>
    <s v="PVL"/>
    <s v="Cup Holder Assembly"/>
    <s v=" PVL PR 5731-05-AA Cup HolderLatch Assembly"/>
    <x v="17"/>
    <x v="78"/>
    <n v="40"/>
    <m/>
    <n v="40"/>
    <n v="29"/>
    <m/>
    <n v="1"/>
    <n v="0.94500000000000006"/>
    <n v="29"/>
    <n v="43"/>
    <n v="1720"/>
    <n v="1247"/>
    <n v="0.72499999999999998"/>
    <n v="134770"/>
    <m/>
    <m/>
    <n v="23645.47"/>
    <n v="23645.47"/>
    <m/>
    <m/>
    <n v="108290.36"/>
    <n v="82924.89"/>
    <n v="107817.36"/>
    <n v="0.19650000000000001"/>
    <n v="0.20530000000000001"/>
    <n v="0.19998990873339764"/>
    <d v="2025-12-18T00:00:00"/>
    <s v="Finished"/>
    <n v="100"/>
    <n v="0.05"/>
    <n v="0.05"/>
    <n v="2"/>
    <s v="Finished"/>
    <n v="100"/>
    <n v="0.05"/>
    <n v="0.05"/>
    <n v="2"/>
    <m/>
    <m/>
    <s v="Finished"/>
    <n v="100"/>
    <n v="0.01"/>
    <n v="0.01"/>
    <n v="0.4"/>
    <m/>
    <d v="2026-02-09T00:00:00"/>
    <s v="Finished"/>
    <n v="100"/>
    <n v="0.01"/>
    <n v="0.01"/>
    <n v="0.4"/>
    <s v="Finished"/>
    <n v="100"/>
    <n v="0.08"/>
    <n v="0.08"/>
    <n v="3.2"/>
    <s v="Finished"/>
    <n v="100"/>
    <n v="0.18"/>
    <n v="0.18"/>
    <n v="7.1999999999999993"/>
    <s v="Finished"/>
    <n v="100"/>
    <n v="0.28000000000000003"/>
    <n v="0.28000000000000003"/>
    <n v="11.200000000000001"/>
    <s v="Finished"/>
    <n v="100"/>
    <n v="0.15"/>
    <n v="0.15"/>
    <n v="6"/>
    <s v="Finished"/>
    <n v="100"/>
    <n v="0.16"/>
    <n v="0.16"/>
    <n v="6.4"/>
    <s v="Finished"/>
    <n v="100"/>
    <n v="0.13"/>
    <n v="0.13"/>
    <n v="5.2"/>
    <s v="Finished"/>
    <n v="100"/>
    <n v="0.01"/>
    <n v="0.01"/>
    <n v="0.4"/>
    <n v="1"/>
    <n v="0.54"/>
    <n v="0.54"/>
    <n v="21.6"/>
    <n v="21.6"/>
    <n v="0"/>
    <s v="Finished"/>
    <n v="100"/>
    <n v="0.02"/>
    <n v="0.02"/>
    <n v="0.8"/>
    <m/>
    <d v="2026-02-12T00:00:00"/>
    <s v="Finished"/>
    <n v="100"/>
    <n v="0.01"/>
    <n v="0.01"/>
    <n v="0.4"/>
    <m/>
    <d v="2026-02-17T00:00:00"/>
    <s v="Finished"/>
    <n v="100"/>
    <n v="0.03"/>
    <n v="0.03"/>
    <n v="1.2"/>
    <s v="Finished"/>
    <n v="100"/>
    <n v="7.0000000000000007E-2"/>
    <n v="7.0000000000000007E-2"/>
    <n v="2.8000000000000003"/>
    <m/>
    <d v="2026-02-17T00:00:00"/>
    <s v="Finished"/>
    <n v="100"/>
    <n v="0.04"/>
    <n v="0.04"/>
    <n v="1.6"/>
    <m/>
    <d v="2026-02-17T00:00:00"/>
    <s v="In process"/>
    <n v="50"/>
    <n v="0.05"/>
    <n v="2.5000000000000001E-2"/>
    <n v="2"/>
    <m/>
    <m/>
    <s v="Finished"/>
    <n v="100"/>
    <n v="0.1"/>
    <n v="0.1"/>
    <n v="4"/>
    <m/>
    <m/>
    <s v="Not started"/>
    <n v="0"/>
    <n v="0.03"/>
    <n v="0"/>
    <n v="1.2"/>
    <n v="3.2"/>
    <s v="JUAN ADAME"/>
    <x v="0"/>
    <m/>
  </r>
  <r>
    <s v="MI"/>
    <x v="1"/>
    <s v="PVL"/>
    <s v="Latch Assembly"/>
    <s v=" PVL PR 5731-05-AA Cup HolderLatch Assembly"/>
    <x v="17"/>
    <x v="79"/>
    <n v="40"/>
    <m/>
    <n v="40"/>
    <n v="30"/>
    <m/>
    <n v="3"/>
    <n v="0.94500000000000006"/>
    <n v="30"/>
    <n v="43"/>
    <n v="1720"/>
    <n v="1290"/>
    <n v="0.75"/>
    <n v="145151"/>
    <m/>
    <m/>
    <n v="28299.47"/>
    <n v="28299.47"/>
    <m/>
    <m/>
    <n v="114149.63"/>
    <n v="84130.16"/>
    <n v="113719.63"/>
    <n v="0.21360000000000001"/>
    <n v="0.20530000000000001"/>
    <n v="0.21654256601745764"/>
    <d v="2025-12-18T00:00:00"/>
    <s v="Finished"/>
    <n v="100"/>
    <n v="0.05"/>
    <n v="0.05"/>
    <n v="2"/>
    <s v="Finished"/>
    <n v="100"/>
    <n v="0.05"/>
    <n v="0.05"/>
    <n v="2"/>
    <m/>
    <m/>
    <s v="Finished"/>
    <n v="100"/>
    <n v="0.01"/>
    <n v="0.01"/>
    <n v="0.4"/>
    <m/>
    <d v="2026-02-10T00:00:00"/>
    <s v="Finished"/>
    <n v="100"/>
    <n v="0.01"/>
    <n v="0.01"/>
    <n v="0.4"/>
    <s v="Finished"/>
    <n v="100"/>
    <n v="0.08"/>
    <n v="0.08"/>
    <n v="3.2"/>
    <s v="Finished"/>
    <n v="100"/>
    <n v="0.18"/>
    <n v="0.18"/>
    <n v="7.1999999999999993"/>
    <s v="Finished"/>
    <n v="100"/>
    <n v="0.28000000000000003"/>
    <n v="0.28000000000000003"/>
    <n v="11.200000000000001"/>
    <s v="Finished"/>
    <n v="100"/>
    <n v="0.15"/>
    <n v="0.15"/>
    <n v="6"/>
    <s v="Finished"/>
    <n v="100"/>
    <n v="0.16"/>
    <n v="0.16"/>
    <n v="6.4"/>
    <s v="Finished"/>
    <n v="100"/>
    <n v="0.13"/>
    <n v="0.13"/>
    <n v="5.2"/>
    <s v="Finished"/>
    <n v="100"/>
    <n v="0.01"/>
    <n v="0.01"/>
    <n v="0.4"/>
    <n v="1"/>
    <n v="0.54"/>
    <n v="0.54"/>
    <n v="21.6"/>
    <n v="21.6"/>
    <n v="0"/>
    <s v="Finished"/>
    <n v="100"/>
    <n v="0.02"/>
    <n v="0.02"/>
    <n v="0.8"/>
    <m/>
    <d v="2026-02-13T00:00:00"/>
    <s v="Finished"/>
    <n v="100"/>
    <n v="0.01"/>
    <n v="0.01"/>
    <n v="0.4"/>
    <m/>
    <d v="2026-02-17T00:00:00"/>
    <s v="Finished"/>
    <n v="100"/>
    <n v="0.03"/>
    <n v="0.03"/>
    <n v="1.2"/>
    <s v="Finished"/>
    <n v="100"/>
    <n v="7.0000000000000007E-2"/>
    <n v="7.0000000000000007E-2"/>
    <n v="2.8000000000000003"/>
    <m/>
    <d v="2026-02-17T00:00:00"/>
    <s v="Finished"/>
    <n v="100"/>
    <n v="0.04"/>
    <n v="0.04"/>
    <n v="1.6"/>
    <m/>
    <d v="2026-02-17T00:00:00"/>
    <s v="In process"/>
    <n v="50"/>
    <n v="0.05"/>
    <n v="2.5000000000000001E-2"/>
    <n v="2"/>
    <m/>
    <m/>
    <s v="Finished"/>
    <n v="100"/>
    <n v="0.1"/>
    <n v="0.1"/>
    <n v="4"/>
    <m/>
    <m/>
    <s v="Not started"/>
    <n v="0"/>
    <n v="0.03"/>
    <n v="0"/>
    <n v="1.2"/>
    <n v="3.2"/>
    <s v="JUAN ADAME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657ED-425A-4CB7-9005-DA378DCB700C}" name="Labor Spend on Design Desviation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9">
  <location ref="AI4:AM29" firstHeaderRow="0" firstDataRow="1" firstDataCol="1"/>
  <pivotFields count="173">
    <pivotField showAll="0"/>
    <pivotField showAll="0"/>
    <pivotField showAll="0"/>
    <pivotField showAll="0"/>
    <pivotField showAll="0"/>
    <pivotField showAll="0">
      <items count="19">
        <item h="1" x="4"/>
        <item h="1" x="5"/>
        <item h="1" x="7"/>
        <item h="1" x="8"/>
        <item h="1" x="0"/>
        <item h="1" x="10"/>
        <item h="1" x="11"/>
        <item h="1" x="12"/>
        <item h="1" x="13"/>
        <item x="14"/>
        <item h="1" x="15"/>
        <item h="1" x="16"/>
        <item h="1" x="17"/>
        <item h="1" x="1"/>
        <item h="1" x="2"/>
        <item h="1" x="3"/>
        <item h="1" x="6"/>
        <item h="1" x="9"/>
        <item t="default"/>
      </items>
    </pivotField>
    <pivotField axis="axisRow" showAll="0">
      <items count="82">
        <item x="0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80"/>
        <item x="1"/>
        <item x="3"/>
        <item x="17"/>
        <item x="18"/>
        <item x="19"/>
        <item x="20"/>
        <item x="21"/>
        <item x="22"/>
        <item x="2"/>
        <item x="9"/>
        <item t="default"/>
      </items>
    </pivotField>
    <pivotField showAll="0"/>
    <pivotField showAll="0"/>
    <pivotField dataField="1" numFmtId="166" showAll="0"/>
    <pivotField dataField="1" numFmtId="2" showAll="0"/>
    <pivotField dataField="1" showAll="0"/>
    <pivotField dataField="1" showAll="0"/>
    <pivotField numFmtId="9" showAll="0"/>
    <pivotField showAll="0"/>
    <pivotField numFmtId="164" showAll="0"/>
    <pivotField numFmtId="164" showAll="0"/>
    <pivotField numFmtId="164" showAll="0"/>
    <pivotField numFmtId="9" showAll="0"/>
    <pivotField numFmtId="164" showAll="0"/>
    <pivotField showAll="0"/>
    <pivotField showAll="0"/>
    <pivotField numFmtId="164" showAll="0"/>
    <pivotField numFmtId="164" showAll="0"/>
    <pivotField showAll="0"/>
    <pivotField showAll="0"/>
    <pivotField showAll="0"/>
    <pivotField numFmtId="164" showAll="0"/>
    <pivotField numFmtId="44" showAll="0"/>
    <pivotField numFmtId="10" showAll="0"/>
    <pivotField numFmtId="10" showAll="0"/>
    <pivotField numFmtId="10" showAll="0"/>
    <pivotField showAll="0"/>
    <pivotField showAll="0"/>
    <pivotField numFmtId="167" showAll="0"/>
    <pivotField numFmtId="9"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5"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abor Budget" fld="9" baseField="6" baseItem="1" numFmtId="166"/>
    <dataField name="Labor Spend" fld="10" baseField="0" baseItem="0" numFmtId="2"/>
    <dataField name="Design errors" fld="11" baseField="0" baseItem="0" numFmtId="2"/>
    <dataField name="Customer changes" fld="12" baseField="0" baseItem="0" numFmtId="2"/>
  </dataFields>
  <formats count="2">
    <format dxfId="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1DCE8-DFA1-4DC7-A720-034DE721D4E2}" name="Labor Budget vs Labor Use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J4:L6" firstHeaderRow="0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9">
        <item h="1" x="13"/>
        <item h="1" x="14"/>
        <item h="1" x="12"/>
        <item h="1" x="10"/>
        <item h="1" x="15"/>
        <item h="1" x="4"/>
        <item h="1" x="7"/>
        <item h="1" x="0"/>
        <item h="1" x="5"/>
        <item h="1" x="16"/>
        <item x="11"/>
        <item h="1" x="17"/>
        <item h="1" x="1"/>
        <item h="1" x="3"/>
        <item h="1" x="8"/>
        <item h="1" x="9"/>
        <item h="1" x="2"/>
        <item h="1" x="6"/>
        <item t="default"/>
      </items>
    </pivotField>
    <pivotField showAll="0"/>
    <pivotField showAll="0"/>
    <pivotField showAll="0"/>
    <pivotField dataField="1" numFmtId="166" showAll="0"/>
    <pivotField dataField="1" numFmtId="2" showAll="0"/>
    <pivotField showAll="0"/>
    <pivotField showAll="0"/>
    <pivotField numFmtId="9" showAll="0"/>
    <pivotField showAll="0"/>
    <pivotField numFmtId="164" showAll="0"/>
    <pivotField numFmtId="164" showAll="0"/>
    <pivotField numFmtId="164" showAll="0"/>
    <pivotField numFmtId="9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2"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Hrs Budget" fld="9" baseField="0" baseItem="0" numFmtId="166"/>
    <dataField name="Hrs Labor" fld="10" baseField="0" baseItem="0" numFmtId="2"/>
  </dataFields>
  <formats count="4"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  <format dxfId="21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911DF-F4DA-4187-AB13-EBFBF2C4C5CC}" name="Elect Mat Used on Desviation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O4:AS29" firstHeaderRow="0" firstDataRow="1" firstDataCol="1"/>
  <pivotFields count="173">
    <pivotField showAll="0"/>
    <pivotField showAll="0"/>
    <pivotField showAll="0"/>
    <pivotField showAll="0"/>
    <pivotField showAll="0"/>
    <pivotField showAll="0">
      <items count="19">
        <item h="1" x="4"/>
        <item h="1" x="5"/>
        <item h="1" x="7"/>
        <item h="1" x="8"/>
        <item h="1" x="0"/>
        <item h="1" x="10"/>
        <item h="1" x="11"/>
        <item h="1" x="12"/>
        <item h="1" x="13"/>
        <item x="14"/>
        <item h="1" x="15"/>
        <item h="1" x="16"/>
        <item h="1" x="17"/>
        <item h="1" x="1"/>
        <item h="1" x="2"/>
        <item h="1" x="3"/>
        <item h="1" x="6"/>
        <item h="1" x="9"/>
        <item t="default"/>
      </items>
    </pivotField>
    <pivotField axis="axisRow" showAll="0">
      <items count="82">
        <item x="0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80"/>
        <item x="1"/>
        <item x="3"/>
        <item x="17"/>
        <item x="18"/>
        <item x="19"/>
        <item x="20"/>
        <item x="21"/>
        <item x="22"/>
        <item x="2"/>
        <item x="9"/>
        <item t="default"/>
      </items>
    </pivotField>
    <pivotField showAll="0"/>
    <pivotField showAll="0"/>
    <pivotField numFmtId="166" showAll="0"/>
    <pivotField numFmtId="2" showAll="0"/>
    <pivotField showAll="0"/>
    <pivotField showAll="0"/>
    <pivotField numFmtId="9" showAll="0"/>
    <pivotField showAll="0"/>
    <pivotField numFmtId="164" showAll="0"/>
    <pivotField numFmtId="164" showAll="0"/>
    <pivotField numFmtId="164" showAll="0"/>
    <pivotField numFmtId="9" showAll="0"/>
    <pivotField numFmtId="164" showAll="0"/>
    <pivotField showAll="0"/>
    <pivotField showAll="0"/>
    <pivotField dataField="1" numFmtId="164" showAll="0"/>
    <pivotField dataField="1" numFmtId="164" showAll="0"/>
    <pivotField dataField="1" showAll="0"/>
    <pivotField dataField="1" showAll="0"/>
    <pivotField showAll="0"/>
    <pivotField numFmtId="164" showAll="0"/>
    <pivotField numFmtId="44" showAll="0"/>
    <pivotField numFmtId="10" showAll="0"/>
    <pivotField numFmtId="10" showAll="0"/>
    <pivotField numFmtId="10" showAll="0"/>
    <pivotField showAll="0"/>
    <pivotField showAll="0"/>
    <pivotField numFmtId="167" showAll="0"/>
    <pivotField numFmtId="9"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5"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 Budget" fld="22" baseField="0" baseItem="0" numFmtId="164"/>
    <dataField name="Mat Used" fld="23" baseField="0" baseItem="0" numFmtId="164"/>
    <dataField name="Design errors" fld="24" baseField="0" baseItem="0" numFmtId="164"/>
    <dataField name="Customer changes" fld="25" baseField="0" baseItem="0" numFmtId="164"/>
  </dataFields>
  <formats count="2">
    <format dxfId="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8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64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2BBBE-7053-4E95-994A-456A082A992A}" name="Labor Budget vs Labor Used H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W4:Y8" firstHeaderRow="0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19">
        <item h="1" x="4"/>
        <item h="1" x="5"/>
        <item h="1" x="7"/>
        <item h="1" x="8"/>
        <item h="1" x="0"/>
        <item h="1" x="10"/>
        <item x="11"/>
        <item h="1" x="12"/>
        <item h="1" x="13"/>
        <item h="1" x="14"/>
        <item h="1" x="15"/>
        <item h="1" x="16"/>
        <item h="1" x="17"/>
        <item h="1" x="1"/>
        <item h="1" x="2"/>
        <item h="1" x="3"/>
        <item h="1" x="6"/>
        <item h="1" x="9"/>
        <item t="default"/>
      </items>
    </pivotField>
    <pivotField axis="axisRow" showAll="0">
      <items count="82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4"/>
        <item x="5"/>
        <item x="13"/>
        <item x="14"/>
        <item x="15"/>
        <item x="16"/>
        <item x="0"/>
        <item x="6"/>
        <item x="7"/>
        <item x="8"/>
        <item x="10"/>
        <item x="11"/>
        <item x="12"/>
        <item x="74"/>
        <item x="75"/>
        <item x="76"/>
        <item x="77"/>
        <item x="37"/>
        <item x="38"/>
        <item x="39"/>
        <item x="78"/>
        <item x="79"/>
        <item m="1" x="80"/>
        <item x="1"/>
        <item x="3"/>
        <item x="17"/>
        <item x="18"/>
        <item x="19"/>
        <item x="20"/>
        <item x="21"/>
        <item x="22"/>
        <item x="2"/>
        <item x="9"/>
        <item t="default"/>
      </items>
    </pivotField>
    <pivotField showAll="0"/>
    <pivotField showAll="0"/>
    <pivotField dataField="1" numFmtId="166" showAll="0"/>
    <pivotField dataField="1" numFmtId="2" showAll="0"/>
    <pivotField showAll="0"/>
    <pivotField showAll="0"/>
    <pivotField numFmtId="9" showAll="0"/>
    <pivotField showAll="0"/>
    <pivotField numFmtId="164" showAll="0"/>
    <pivotField numFmtId="164" showAll="0"/>
    <pivotField numFmtId="164" showAll="0"/>
    <pivotField numFmtId="9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5"/>
    </i>
    <i>
      <x v="66"/>
    </i>
    <i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Hrs Budget" fld="9" baseField="0" baseItem="0" numFmtId="166"/>
    <dataField name="Hrs Labor" fld="10" baseField="0" baseItem="0" numFmtId="2"/>
  </dataFields>
  <formats count="2">
    <format dxfId="28">
      <pivotArea collapsedLevelsAreSubtotals="1" fieldPosition="0">
        <references count="1">
          <reference field="6" count="0"/>
        </references>
      </pivotArea>
    </format>
    <format dxfId="27">
      <pivotArea collapsedLevelsAreSubtotals="1" fieldPosition="0">
        <references count="1">
          <reference field="6" count="0"/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CD995-F09D-4DF6-B9FF-3C5DE5AA08D2}" name="Theoretical GP Calc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N4:P6" firstHeaderRow="0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9">
        <item h="1" x="10"/>
        <item h="1" x="12"/>
        <item h="1" x="13"/>
        <item h="1" x="14"/>
        <item h="1" x="15"/>
        <item h="1" x="4"/>
        <item h="1" x="7"/>
        <item h="1" x="0"/>
        <item h="1" x="5"/>
        <item h="1" x="16"/>
        <item x="11"/>
        <item h="1" x="17"/>
        <item h="1" x="1"/>
        <item h="1" x="3"/>
        <item h="1" x="8"/>
        <item h="1" x="9"/>
        <item h="1" x="2"/>
        <item h="1" x="6"/>
        <item t="default"/>
      </items>
    </pivotField>
    <pivotField showAll="0"/>
    <pivotField showAll="0"/>
    <pivotField showAll="0"/>
    <pivotField numFmtId="166" showAll="0"/>
    <pivotField numFmtId="2" showAll="0"/>
    <pivotField showAll="0"/>
    <pivotField showAll="0"/>
    <pivotField numFmtId="9" showAll="0"/>
    <pivotField showAll="0"/>
    <pivotField numFmtId="164" showAll="0"/>
    <pivotField numFmtId="164" showAll="0"/>
    <pivotField numFmtId="164" showAll="0"/>
    <pivotField numFmtId="9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showAll="0"/>
    <pivotField numFmtId="167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numFmtId="165" showAll="0"/>
    <pivotField showAll="0"/>
    <pivotField showAll="0"/>
    <pivotField numFmtId="167" showAll="0"/>
    <pivotField numFmtId="9" showAll="0"/>
    <pivotField numFmtId="9" showAll="0"/>
    <pivotField showAll="0"/>
    <pivotField numFmtId="165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2"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 Project GP (Summary)" fld="30" subtotal="max" baseField="4" baseItem="2" numFmtId="10"/>
    <dataField name=" Current GP" fld="166" baseField="0" baseItem="0" numFmtId="10"/>
  </dataFields>
  <formats count="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outline="0" collapsedLevelsAreSubtotals="1" fieldPosition="0"/>
    </format>
  </formats>
  <chartFormats count="2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A655E-4FA4-42DA-8FFD-60693E3AE6AB}" name="POC vs Labor H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B21:D25" firstHeaderRow="0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multipleItemSelectionAllowed="1" showAll="0">
      <items count="19">
        <item h="1" x="4"/>
        <item h="1" x="5"/>
        <item h="1" x="7"/>
        <item h="1" x="8"/>
        <item h="1" x="0"/>
        <item h="1" x="10"/>
        <item x="11"/>
        <item h="1" x="12"/>
        <item h="1" x="13"/>
        <item h="1" x="14"/>
        <item h="1" x="15"/>
        <item h="1" x="16"/>
        <item h="1" x="17"/>
        <item h="1" x="1"/>
        <item h="1" x="2"/>
        <item h="1" x="3"/>
        <item h="1" x="6"/>
        <item h="1" x="9"/>
        <item t="default"/>
      </items>
    </pivotField>
    <pivotField axis="axisRow" showAll="0">
      <items count="82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4"/>
        <item x="5"/>
        <item x="13"/>
        <item x="14"/>
        <item x="15"/>
        <item x="16"/>
        <item x="0"/>
        <item x="6"/>
        <item x="7"/>
        <item x="8"/>
        <item x="10"/>
        <item x="11"/>
        <item x="12"/>
        <item x="74"/>
        <item x="75"/>
        <item x="76"/>
        <item x="77"/>
        <item x="37"/>
        <item x="38"/>
        <item x="39"/>
        <item x="78"/>
        <item x="79"/>
        <item m="1" x="80"/>
        <item x="1"/>
        <item x="3"/>
        <item x="17"/>
        <item x="18"/>
        <item x="19"/>
        <item x="20"/>
        <item x="21"/>
        <item x="22"/>
        <item x="2"/>
        <item x="9"/>
        <item t="default"/>
      </items>
    </pivotField>
    <pivotField showAll="0"/>
    <pivotField showAll="0"/>
    <pivotField numFmtId="166" showAll="0"/>
    <pivotField numFmtId="2" showAll="0"/>
    <pivotField showAll="0"/>
    <pivotField showAll="0"/>
    <pivotField dataField="1" numFmtId="9" showAll="0"/>
    <pivotField showAll="0"/>
    <pivotField numFmtId="164" showAll="0"/>
    <pivotField numFmtId="164" showAll="0"/>
    <pivotField numFmtId="164" showAll="0"/>
    <pivotField numFmtId="9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5"/>
    </i>
    <i>
      <x v="66"/>
    </i>
    <i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POC" fld="13" subtotal="average" baseField="5" baseItem="0" numFmtId="9"/>
    <dataField name="LABOR" fld="154" baseField="0" baseItem="0" numFmtId="9"/>
  </dataFields>
  <formats count="2"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FD779-E261-4FA5-8D9F-C26050DDE7C6}" name="POCvsLABO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B4:D6" firstHeaderRow="0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multipleItemSelectionAllowed="1" showAll="0">
      <items count="19">
        <item h="1" x="13"/>
        <item h="1" x="14"/>
        <item h="1" x="12"/>
        <item h="1" x="10"/>
        <item h="1" x="15"/>
        <item h="1" x="4"/>
        <item h="1" x="7"/>
        <item h="1" x="0"/>
        <item h="1" x="5"/>
        <item h="1" x="16"/>
        <item x="11"/>
        <item h="1" x="17"/>
        <item h="1" x="1"/>
        <item h="1" x="3"/>
        <item h="1" x="8"/>
        <item h="1" x="9"/>
        <item h="1" x="2"/>
        <item h="1" x="6"/>
        <item t="default"/>
      </items>
    </pivotField>
    <pivotField showAll="0"/>
    <pivotField showAll="0"/>
    <pivotField showAll="0"/>
    <pivotField numFmtId="166" showAll="0"/>
    <pivotField numFmtId="2" showAll="0"/>
    <pivotField showAll="0"/>
    <pivotField showAll="0"/>
    <pivotField dataField="1" numFmtId="9" showAll="0"/>
    <pivotField showAll="0"/>
    <pivotField numFmtId="164" showAll="0"/>
    <pivotField numFmtId="164" showAll="0"/>
    <pivotField numFmtId="164" showAll="0"/>
    <pivotField numFmtId="9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2"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POC" fld="13" subtotal="average" baseField="5" baseItem="0" numFmtId="9"/>
    <dataField name="LABOR" fld="154" baseField="0" baseItem="0" numFmtId="9"/>
  </dataFields>
  <formats count="2"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1"/>
          </reference>
          <reference field="5" count="1" selected="0">
            <x v="10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1"/>
          </reference>
          <reference field="5" count="1" selected="0">
            <x v="11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1"/>
          </reference>
          <reference field="5" count="1" selected="0">
            <x v="12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1"/>
          </reference>
          <reference field="5" count="1" selected="0">
            <x v="13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1"/>
          </reference>
          <reference field="5" count="1" selected="0">
            <x v="14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1"/>
          </reference>
          <reference field="5" count="1" selected="0">
            <x v="16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1"/>
          </reference>
          <reference field="5" count="1" selected="0">
            <x v="17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1"/>
          </reference>
          <reference field="5" count="1" selected="0">
            <x v="15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0BE58-9885-42DF-8E54-CD1421192415}" name="Hours to Finish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E4:AG6" firstHeaderRow="0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9">
        <item h="1" x="4"/>
        <item h="1" x="7"/>
        <item h="1" x="0"/>
        <item h="1" x="10"/>
        <item h="1" x="12"/>
        <item h="1" x="13"/>
        <item h="1" x="14"/>
        <item h="1" x="15"/>
        <item h="1" x="5"/>
        <item h="1" x="16"/>
        <item x="11"/>
        <item h="1" x="17"/>
        <item h="1" x="1"/>
        <item h="1" x="3"/>
        <item h="1" x="8"/>
        <item h="1" x="9"/>
        <item h="1" x="2"/>
        <item h="1" x="6"/>
        <item t="default"/>
      </items>
    </pivotField>
    <pivotField showAll="0"/>
    <pivotField showAll="0"/>
    <pivotField showAll="0"/>
    <pivotField numFmtId="166" showAll="0"/>
    <pivotField numFmtId="2" showAll="0"/>
    <pivotField showAll="0"/>
    <pivotField showAll="0"/>
    <pivotField numFmtId="9" showAll="0"/>
    <pivotField showAll="0"/>
    <pivotField numFmtId="164" showAll="0"/>
    <pivotField numFmtId="164" showAll="0"/>
    <pivotField numFmtId="164" showAll="0"/>
    <pivotField numFmtId="9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showAll="0"/>
    <pivotField numFmtId="164" showAll="0"/>
    <pivotField numFmtId="44" showAll="0"/>
    <pivotField numFmtId="10" showAll="0"/>
    <pivotField numFmtId="10" showAll="0"/>
    <pivotField numFmtId="10" showAll="0"/>
    <pivotField showAll="0"/>
    <pivotField showAll="0"/>
    <pivotField numFmtId="167" showAll="0"/>
    <pivotField numFmtId="9"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dataField="1"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5"/>
  </rowFields>
  <rowItems count="2"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Hours Remaining" fld="172" baseField="0" baseItem="0"/>
    <dataField name="Hours to Finish" fld="150" baseField="0" baseItem="0"/>
  </dataFields>
  <formats count="1">
    <format dxfId="37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18A79-6DC4-4F13-AEF8-788BBDDB1F74}" name="Sell Hours vs Hours Spen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F4:H6" firstHeaderRow="0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9">
        <item h="1" x="13"/>
        <item h="1" x="14"/>
        <item h="1" x="12"/>
        <item h="1" x="10"/>
        <item h="1" x="15"/>
        <item h="1" x="4"/>
        <item h="1" x="7"/>
        <item h="1" x="0"/>
        <item h="1" x="5"/>
        <item h="1" x="16"/>
        <item x="11"/>
        <item h="1" x="17"/>
        <item h="1" x="1"/>
        <item h="1" x="3"/>
        <item h="1" x="8"/>
        <item h="1" x="9"/>
        <item h="1" x="2"/>
        <item h="1" x="6"/>
        <item t="default"/>
      </items>
    </pivotField>
    <pivotField showAll="0"/>
    <pivotField showAll="0"/>
    <pivotField showAll="0"/>
    <pivotField numFmtId="166" showAll="0"/>
    <pivotField numFmtId="2" showAll="0"/>
    <pivotField showAll="0"/>
    <pivotField showAll="0"/>
    <pivotField numFmtId="9" showAll="0"/>
    <pivotField showAll="0"/>
    <pivotField numFmtId="164" showAll="0"/>
    <pivotField dataField="1" numFmtId="164" showAll="0"/>
    <pivotField dataField="1" numFmtId="164" showAll="0"/>
    <pivotField numFmtId="9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2"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Hrs Budget" fld="16" baseField="0" baseItem="0" numFmtId="164"/>
    <dataField name="Hrs Spend" fld="17" baseField="0" baseItem="0" numFmtId="164"/>
  </dataFields>
  <chartFormats count="4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C2C1F-E2CF-47F0-8B55-6D29D33AA579}" name="Sell Hours vs Hours Spent H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R4:S6" firstHeaderRow="1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9">
        <item h="1" x="13"/>
        <item h="1" x="14"/>
        <item h="1" x="12"/>
        <item h="1" x="10"/>
        <item h="1" x="15"/>
        <item h="1" x="4"/>
        <item h="1" x="7"/>
        <item h="1" x="0"/>
        <item h="1" x="5"/>
        <item h="1" x="16"/>
        <item x="11"/>
        <item h="1" x="17"/>
        <item h="1" x="1"/>
        <item h="1" x="3"/>
        <item h="1" x="8"/>
        <item h="1" x="9"/>
        <item h="1" x="2"/>
        <item h="1" x="6"/>
        <item t="default"/>
      </items>
    </pivotField>
    <pivotField showAll="0"/>
    <pivotField showAll="0"/>
    <pivotField showAll="0"/>
    <pivotField numFmtId="166" showAll="0"/>
    <pivotField numFmtId="2" showAll="0"/>
    <pivotField showAll="0"/>
    <pivotField showAll="0"/>
    <pivotField numFmtId="9" showAll="0"/>
    <pivotField showAll="0"/>
    <pivotField numFmtId="164" showAll="0"/>
    <pivotField numFmtId="164" showAll="0"/>
    <pivotField numFmtId="164" showAll="0"/>
    <pivotField numFmtId="9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2">
    <i>
      <x v="10"/>
    </i>
    <i t="grand">
      <x/>
    </i>
  </rowItems>
  <colItems count="1">
    <i/>
  </colItems>
  <dataFields count="1">
    <dataField name="% uso lbr usd" fld="169" baseField="4" baseItem="7" numFmtId="9"/>
  </dataFields>
  <formats count="1">
    <format dxfId="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9">
    <chartFormat chart="2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6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6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6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6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6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6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6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7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7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7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7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7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7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7" format="4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7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7" format="5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7" format="57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6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6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6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6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6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6" format="4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4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6" format="44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7" format="5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7" format="60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7" format="6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6" format="50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7" format="6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6" format="5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7" format="65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6" format="5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7" format="6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6" format="5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7" format="67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5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27" format="6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6" format="5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27" format="69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14F22-D13F-41A3-B01C-364A01741B7C}" name="Theoretical GP Calc JOB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A4:AC8" firstHeaderRow="0" firstDataRow="1" firstDataCol="1"/>
  <pivotFields count="17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19">
        <item h="1" x="4"/>
        <item h="1" x="5"/>
        <item h="1" x="7"/>
        <item h="1" x="8"/>
        <item h="1" x="0"/>
        <item h="1" x="10"/>
        <item x="11"/>
        <item h="1" x="12"/>
        <item h="1" x="13"/>
        <item h="1" x="14"/>
        <item h="1" x="15"/>
        <item h="1" x="16"/>
        <item h="1" x="17"/>
        <item h="1" x="1"/>
        <item h="1" x="2"/>
        <item h="1" x="3"/>
        <item h="1" x="6"/>
        <item h="1" x="9"/>
        <item t="default"/>
      </items>
    </pivotField>
    <pivotField axis="axisRow" showAll="0">
      <items count="82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4"/>
        <item x="5"/>
        <item x="13"/>
        <item x="14"/>
        <item x="15"/>
        <item x="16"/>
        <item x="0"/>
        <item x="6"/>
        <item x="7"/>
        <item x="8"/>
        <item x="10"/>
        <item x="11"/>
        <item x="12"/>
        <item x="74"/>
        <item x="75"/>
        <item x="76"/>
        <item x="77"/>
        <item x="37"/>
        <item x="38"/>
        <item x="39"/>
        <item x="78"/>
        <item x="79"/>
        <item m="1" x="80"/>
        <item x="1"/>
        <item x="3"/>
        <item x="17"/>
        <item x="18"/>
        <item x="19"/>
        <item x="20"/>
        <item x="21"/>
        <item x="22"/>
        <item x="2"/>
        <item x="9"/>
        <item t="default"/>
      </items>
    </pivotField>
    <pivotField showAll="0"/>
    <pivotField showAll="0"/>
    <pivotField numFmtId="166" showAll="0"/>
    <pivotField numFmtId="2" showAll="0"/>
    <pivotField showAll="0"/>
    <pivotField showAll="0"/>
    <pivotField numFmtId="9" showAll="0"/>
    <pivotField showAll="0"/>
    <pivotField numFmtId="164" showAll="0"/>
    <pivotField numFmtId="164" showAll="0"/>
    <pivotField numFmtId="164" showAll="0"/>
    <pivotField numFmtId="9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165" showAll="0"/>
    <pivotField showAll="0"/>
    <pivotField numFmtId="167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numFmtId="165" showAll="0"/>
    <pivotField showAll="0"/>
    <pivotField showAll="0"/>
    <pivotField numFmtId="167" showAll="0"/>
    <pivotField numFmtId="9" showAll="0"/>
    <pivotField numFmtId="9" showAll="0"/>
    <pivotField showAll="0"/>
    <pivotField numFmtId="165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numFmtId="9" showAll="0"/>
    <pivotField numFmtId="9" showAll="0"/>
    <pivotField numFmtId="9" showAll="0"/>
    <pivotField showAll="0"/>
    <pivotField numFmtId="166" showAll="0"/>
    <pivotField numFmtId="166"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/>
    <pivotField numFmtId="167" showAll="0"/>
    <pivotField numFmtId="9" showAll="0"/>
    <pivotField numFmtId="9" showAll="0"/>
    <pivotField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5"/>
    </i>
    <i>
      <x v="66"/>
    </i>
    <i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tation GP (Summary)" fld="29" subtotal="max" baseField="5" baseItem="0" numFmtId="9"/>
    <dataField name="Station GP" fld="31" subtotal="min" baseField="5" baseItem="0"/>
  </dataFields>
  <formats count="3">
    <format dxfId="41">
      <pivotArea outline="0" collapsedLevelsAreSubtotals="1" fieldPosition="0"/>
    </format>
    <format dxfId="40">
      <pivotArea collapsedLevelsAreSubtotals="1" fieldPosition="0">
        <references count="1">
          <reference field="6" count="0"/>
        </references>
      </pivotArea>
    </format>
    <format dxfId="39">
      <pivotArea collapsedLevelsAreSubtotals="1" fieldPosition="0">
        <references count="1">
          <reference field="6" count="0"/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ject_No" xr10:uid="{BEDFCD64-2CA0-4C7B-B958-BDB8A8627F9F}" sourceName="Project No">
  <pivotTables>
    <pivotTable tabId="22" name="POCvsLABOR"/>
    <pivotTable tabId="22" name="Sell Hours vs Hours Spent"/>
    <pivotTable tabId="22" name="Labor Budget vs Labor Used"/>
    <pivotTable tabId="22" name="Labor Budget vs Labor Used HD"/>
    <pivotTable tabId="22" name="Sell Hours vs Hours Spent HD"/>
    <pivotTable tabId="22" name="POC vs Labor HD"/>
    <pivotTable tabId="22" name="Theoretical GP Calc"/>
    <pivotTable tabId="22" name="Theoretical GP Calc JOB"/>
    <pivotTable tabId="22" name="Hours to Finish"/>
  </pivotTables>
  <data>
    <tabular pivotCacheId="2012297636">
      <items count="18">
        <i x="4"/>
        <i x="5"/>
        <i x="7"/>
        <i x="8"/>
        <i x="0"/>
        <i x="10"/>
        <i x="11" s="1"/>
        <i x="12"/>
        <i x="13"/>
        <i x="14"/>
        <i x="15"/>
        <i x="16"/>
        <i x="17"/>
        <i x="1"/>
        <i x="2"/>
        <i x="3"/>
        <i x="6"/>
        <i x="9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ible" xr10:uid="{BB10E84E-08ED-4AAB-AB51-6E2710E251F7}" sourceName="Responsible">
  <pivotTables>
    <pivotTable tabId="22" name="POC vs Labor HD"/>
    <pivotTable tabId="22" name="Hours to Finish"/>
    <pivotTable tabId="22" name="Labor Budget vs Labor Used"/>
    <pivotTable tabId="22" name="Labor Budget vs Labor Used HD"/>
    <pivotTable tabId="22" name="POCvsLABOR"/>
    <pivotTable tabId="22" name="Sell Hours vs Hours Spent"/>
    <pivotTable tabId="22" name="Sell Hours vs Hours Spent HD"/>
    <pivotTable tabId="22" name="Theoretical GP Calc"/>
    <pivotTable tabId="22" name="Theoretical GP Calc JOB"/>
  </pivotTables>
  <data>
    <tabular pivotCacheId="2012297636">
      <items count="5">
        <i x="4" s="1"/>
        <i x="1" s="1" nd="1"/>
        <i x="2" s="1" nd="1"/>
        <i x="0" s="1" nd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17F26458-2C5A-4314-86AD-926DF91A25EE}" sourceName="STATUS">
  <pivotTables>
    <pivotTable tabId="22" name="POCvsLABOR"/>
    <pivotTable tabId="22" name="Hours to Finish"/>
    <pivotTable tabId="22" name="Labor Budget vs Labor Used"/>
    <pivotTable tabId="22" name="Labor Budget vs Labor Used HD"/>
    <pivotTable tabId="22" name="POC vs Labor HD"/>
    <pivotTable tabId="22" name="Sell Hours vs Hours Spent"/>
    <pivotTable tabId="22" name="Sell Hours vs Hours Spent HD"/>
    <pivotTable tabId="22" name="Theoretical GP Calc"/>
    <pivotTable tabId="22" name="Theoretical GP Calc JOB"/>
  </pivotTables>
  <data>
    <tabular pivotCacheId="2012297636">
      <items count="3">
        <i x="2" s="1"/>
        <i x="0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ject_No1" xr10:uid="{02615930-1A29-41E8-8FF9-7D7373A41B57}" sourceName="Project No">
  <pivotTables>
    <pivotTable tabId="22" name="Labor Spend on Design Desviations"/>
    <pivotTable tabId="22" name="Elect Mat Used on Desviations"/>
  </pivotTables>
  <data>
    <tabular pivotCacheId="2012297636">
      <items count="18">
        <i x="4"/>
        <i x="5"/>
        <i x="7"/>
        <i x="8"/>
        <i x="0"/>
        <i x="10"/>
        <i x="11"/>
        <i x="12"/>
        <i x="13"/>
        <i x="14" s="1"/>
        <i x="15"/>
        <i x="16"/>
        <i x="17"/>
        <i x="1"/>
        <i x="2"/>
        <i x="3"/>
        <i x="6"/>
        <i x="9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ible1" xr10:uid="{3D590268-0C71-4761-A284-618105C7CF19}" sourceName="Responsible">
  <pivotTables>
    <pivotTable tabId="22" name="Labor Spend on Design Desviations"/>
  </pivotTables>
  <data>
    <tabular pivotCacheId="2012297636">
      <items count="5">
        <i x="2" s="1"/>
        <i x="0" s="1"/>
        <i x="1" s="1" nd="1"/>
        <i x="4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ject No" xr10:uid="{8162EF36-CC2F-4A36-A1B6-451B633E67DF}" cache="SegmentaciónDeDatos_Project_No" caption="Project No" columnCount="12" style="SlicerStyleOther1" rowHeight="241300"/>
  <slicer name="STATUS" xr10:uid="{1EB1402F-95D5-4AD0-97D0-1BD50750EE05}" cache="SegmentaciónDeDatos_STATUS" caption="STATUS" style="SlicerStyleDark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ject No 1" xr10:uid="{844D4595-E79D-4376-A92D-7B3B5F027C18}" cache="SegmentaciónDeDatos_Project_No" caption="Project No" columnCount="21" style="SlicerStyleOther1" rowHeight="241300"/>
  <slicer name="Responsible" xr10:uid="{FE9DE22A-76CA-4BDE-94A6-E5159E5403D1}" cache="SegmentaciónDeDatos_Responsible" caption="Responsible" style="SlicerStyleDark3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ject No 2" xr10:uid="{8FD5821E-17D5-445D-AB51-F5400FBFE186}" cache="SegmentaciónDeDatos_Project_No1" caption="Project No" columnCount="20" style="SlicerStyleDark3" rowHeight="241300"/>
  <slicer name="Responsible 1" xr10:uid="{1D5EA609-3D96-4312-B92B-9F279428D385}" cache="SegmentaciónDeDatos_Responsible1" caption="Responsible" columnCount="4" style="SlicerStyleOther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48D3B-3A02-45C3-BE69-C1B7ECF237BC}" name="BaseDeDatos" displayName="BaseDeDatos" ref="A1:EX81" totalsRowShown="0" headerRowDxfId="205" dataDxfId="204">
  <autoFilter ref="A1:EX81" xr:uid="{70C48D3B-3A02-45C3-BE69-C1B7ECF237BC}"/>
  <sortState xmlns:xlrd2="http://schemas.microsoft.com/office/spreadsheetml/2017/richdata2" ref="A2:EX81">
    <sortCondition ref="G1:G81"/>
  </sortState>
  <tableColumns count="154">
    <tableColumn id="1" xr3:uid="{30A674A6-A0A7-45D0-9019-30CA0649B2F5}" name="LOCATION" dataDxfId="203"/>
    <tableColumn id="2" xr3:uid="{4B71A7B7-9C1C-4EE2-A1A8-65A791C61AB1}" name="STATUS" dataDxfId="202"/>
    <tableColumn id="40" xr3:uid="{56F8C4A2-FBE3-42E7-9B6A-7DFCBC5A974C}" name="Customer" dataDxfId="201"/>
    <tableColumn id="3" xr3:uid="{13C3B5B3-A5AD-4FF7-974B-AC447A60BB14}" name="DESCRIPTION" dataDxfId="200"/>
    <tableColumn id="28" xr3:uid="{EDC9A301-1EB9-477D-840F-230EE106F2E4}" name="Project name:" dataDxfId="199"/>
    <tableColumn id="19" xr3:uid="{31C9D54B-7505-497D-B2FC-EB076B8C46F5}" name="Project No" dataDxfId="198"/>
    <tableColumn id="4" xr3:uid="{3B01C222-7206-4025-8D68-44CA72F52A30}" name="JOB" dataDxfId="197"/>
    <tableColumn id="34" xr3:uid="{61C4E998-960F-4550-BBD8-9BABBE16EDF3}" name="Budget CS" dataDxfId="196"/>
    <tableColumn id="29" xr3:uid="{3B76723C-AD03-4798-A313-637F575691C1}" name="Change Orders Budget" dataDxfId="195"/>
    <tableColumn id="6" xr3:uid="{44F0AFD5-86F9-45A0-921D-DB58165E12E7}" name="Budget" dataDxfId="194">
      <calculatedColumnFormula>BaseDeDatos[[#This Row],[Budget CS]]+BaseDeDatos[[#This Row],[Change Orders Budget]]</calculatedColumnFormula>
    </tableColumn>
    <tableColumn id="5" xr3:uid="{2A497CC6-6F90-4CA6-A6DF-F848F87F37AC}" name="Labor_x000a_Spent" dataDxfId="193">
      <calculatedColumnFormula>IFERROR(VLOOKUP(G2, DATA!H:I, 2, FALSE), 0)+BaseDeDatos[[#This Row],[Labor Spend on Design errors]]+BaseDeDatos[[#This Row],[Labor
Spent Customer changes]]</calculatedColumnFormula>
    </tableColumn>
    <tableColumn id="30" xr3:uid="{97ADBB1E-0396-423D-98DB-1AF158D59C1F}" name="Labor Spend on Design errors" dataDxfId="192"/>
    <tableColumn id="31" xr3:uid="{AE3747C3-916D-4691-A591-96E2E75C2C29}" name="Labor_x000a_Spent Customer changes" dataDxfId="191"/>
    <tableColumn id="48" xr3:uid="{CF7CCA53-E2FF-41BD-BDDF-317431A4E1AC}" name="% of completion" dataDxfId="190">
      <calculatedColumnFormula>AK2+AP2+AW2+CQ2+CX2+DE2+DL2+DQ2+DX2+EE2+EL2+ES2</calculatedColumnFormula>
    </tableColumn>
    <tableColumn id="7" xr3:uid="{223A9D86-7A9A-40FA-9EFE-6FC03A5E3824}" name="Weighted advance" dataDxfId="189">
      <calculatedColumnFormula>J2*S2</calculatedColumnFormula>
    </tableColumn>
    <tableColumn id="45" xr3:uid="{8627737D-0A71-4344-9084-33F6519A9F8C}" name="Labor Rate from CS" dataDxfId="188"/>
    <tableColumn id="46" xr3:uid="{0819E17D-BC9C-4B9C-AF52-51C85672BDD6}" name="Budget vs Rate USD" dataDxfId="187">
      <calculatedColumnFormula>BaseDeDatos[[#This Row],[Budget]]*BaseDeDatos[[#This Row],[Labor Rate from CS]]</calculatedColumnFormula>
    </tableColumn>
    <tableColumn id="47" xr3:uid="{23CF2232-F6BC-475B-9740-ED8AEA825113}" name="Spent Budget vs Rate USD" dataDxfId="186">
      <calculatedColumnFormula>BaseDeDatos[[#This Row],[Labor
Spent]]*BaseDeDatos[[#This Row],[Labor Rate from CS]]</calculatedColumnFormula>
    </tableColumn>
    <tableColumn id="9" xr3:uid="{29C6BA49-F606-4860-93AE-097C27ED80C0}" name="Labor_x000a_Spent %" dataDxfId="185">
      <calculatedColumnFormula>K2/J2</calculatedColumnFormula>
    </tableColumn>
    <tableColumn id="8" xr3:uid="{95F02D5D-AC62-4F79-B707-348D0BFE93B0}" name="Sell price" dataDxfId="184"/>
    <tableColumn id="22" xr3:uid="{01F1A215-F022-4486-B74B-97C1D69DC9F8}" name="Sell price Additionals" dataDxfId="183"/>
    <tableColumn id="23" xr3:uid="{2EC6B0F7-8E77-43C3-B179-FDA7A052552F}" name="Additionals cost" dataDxfId="182"/>
    <tableColumn id="12" xr3:uid="{BD0B7BFE-E7A2-42BF-A2E9-6C57365204AD}" name="Elect Mat Budget USD" dataDxfId="181"/>
    <tableColumn id="13" xr3:uid="{DDBA569D-C1BA-4824-8216-A5961DDF8210}" name="Elect Mt Used_x000a_USD" dataDxfId="180"/>
    <tableColumn id="32" xr3:uid="{09284270-EA6A-4C08-BC55-43C3CC4787F0}" name="Elect Mat Used on Design errors" dataDxfId="179"/>
    <tableColumn id="33" xr3:uid="{DE3CD5E3-8E2E-460F-9C0F-F30BC289B55C}" name="Elect Mat Used on Customer changes" dataDxfId="178"/>
    <tableColumn id="24" xr3:uid="{84306E60-2DDE-4A65-9852-65263C4448E5}" name="COST" dataDxfId="177"/>
    <tableColumn id="11" xr3:uid="{333E61D6-16E2-4051-BD25-5611ACF73E81}" name="Ext Budget" dataDxfId="176">
      <calculatedColumnFormula>AA2-X2-Q2</calculatedColumnFormula>
    </tableColumn>
    <tableColumn id="16" xr3:uid="{DEDEA57A-8BE9-403A-8309-892DC6476ABB}" name="Budget Total USD" dataDxfId="175">
      <calculatedColumnFormula>SUM(AB2,X2,R2,BaseDeDatos[[#This Row],[Additionals cost]])</calculatedColumnFormula>
    </tableColumn>
    <tableColumn id="14" xr3:uid="{8775E2FE-C800-4BA7-A186-C0E21D457118}" name="Station GP_x000a_CostSheet" dataDxfId="174"/>
    <tableColumn id="20" xr3:uid="{892F222B-312E-47F4-8D44-87B13B7C535E}" name="Project GP Summary" dataDxfId="173"/>
    <tableColumn id="15" xr3:uid="{643A4AA3-A753-44FA-A507-207709256158}" name="Station GP_x000a_Calc" dataDxfId="172">
      <calculatedColumnFormula>(T2-SUM(X2,AB2,R2))/T2</calculatedColumnFormula>
    </tableColumn>
    <tableColumn id="10" xr3:uid="{6A6AB749-FAAA-44A9-80EF-C5A8F5E2B8FA}" name="Initial Date" dataDxfId="171"/>
    <tableColumn id="51" xr3:uid="{7BCC48D5-055E-41A3-9893-B363BC6C9835}" name="Read info" dataDxfId="170"/>
    <tableColumn id="52" xr3:uid="{838CE483-68C6-47DE-B754-42FD75C656F8}" name="Read info_x000a_Status" dataDxfId="169">
      <calculatedColumnFormula>VLOOKUP(AH2,DATA!$B$13:$C$19,2,0)</calculatedColumnFormula>
    </tableColumn>
    <tableColumn id="43" xr3:uid="{0BDDBB64-6F3A-40B8-9486-7DF0B085A9EA}" name="Read Info  Progress" dataDxfId="168"/>
    <tableColumn id="21" xr3:uid="{B30A9C19-4260-4C1E-AD42-6EA4025CFD73}" name="Read Info Contribution" dataDxfId="167">
      <calculatedColumnFormula>BaseDeDatos[[#This Row],[Read info
Status]]*(AJ2)/100</calculatedColumnFormula>
    </tableColumn>
    <tableColumn id="36" xr3:uid="{1F63E825-7EE6-4FC8-8F87-F256D3A3839C}" name="Read Info_x000a_Est hrs" dataDxfId="166">
      <calculatedColumnFormula>AJ2*$J2</calculatedColumnFormula>
    </tableColumn>
    <tableColumn id="38" xr3:uid="{2F0D31D5-29E2-49AF-80AD-3A99B5C0F5F6}" name="Long lead items" dataDxfId="165"/>
    <tableColumn id="42" xr3:uid="{34A9BFD6-9E37-43E8-B676-759DF6C79E85}" name="Long lead items Status" dataDxfId="164">
      <calculatedColumnFormula>VLOOKUP(AM2,DATA!$B$13:$C$19,2,0)</calculatedColumnFormula>
    </tableColumn>
    <tableColumn id="50" xr3:uid="{71EEB8F0-FFB5-4A5E-9F11-FDB9ADAD86A1}" name="Long lead items  Progress" dataDxfId="163">
      <calculatedColumnFormula>VLOOKUP($AM$1,DATA!$B$24:$C$45,2,0)</calculatedColumnFormula>
    </tableColumn>
    <tableColumn id="49" xr3:uid="{BFB843B5-C092-4DC4-BE35-D7BFDC555A60}" name="Long lead items Contribution" dataDxfId="162">
      <calculatedColumnFormula>AN2*AO2/100</calculatedColumnFormula>
    </tableColumn>
    <tableColumn id="44" xr3:uid="{0F23D892-0AB9-4400-8E80-9352F322EEE7}" name="Long lead items_x000a_Est hrs" dataDxfId="161">
      <calculatedColumnFormula>AO2*$J2</calculatedColumnFormula>
    </tableColumn>
    <tableColumn id="39" xr3:uid="{F0B70774-3EEB-41AD-89EB-0D0FEB6CBB88}" name="Long lead items Target Date" dataDxfId="160"/>
    <tableColumn id="53" xr3:uid="{EE699F48-165B-49FF-B23C-B03B7CBF6CB2}" name="Long lead items Real Date" dataDxfId="159"/>
    <tableColumn id="60" xr3:uid="{949FE423-9833-453C-9FA3-A555F98BD514}" name="Switch Layout" dataDxfId="158"/>
    <tableColumn id="59" xr3:uid="{6CE9DEBC-36AD-4BA6-9093-1DFBF7A8A27A}" name="Switch Layout_x000a_Status" dataDxfId="157">
      <calculatedColumnFormula>VLOOKUP(AT2,DATA!$B$13:$C$19,2,0)</calculatedColumnFormula>
    </tableColumn>
    <tableColumn id="58" xr3:uid="{AEA977C2-6726-41B5-B3E3-7E091A4A3854}" name="Switch Layout Progress" dataDxfId="156">
      <calculatedColumnFormula>VLOOKUP($AT$1,DATA!$B$24:$C$45,2,0)</calculatedColumnFormula>
    </tableColumn>
    <tableColumn id="57" xr3:uid="{D95EAFD8-B114-4466-9FB5-903FE33F5A29}" name="Switch Layout Contribution" dataDxfId="155">
      <calculatedColumnFormula>AU2*AV2/100</calculatedColumnFormula>
    </tableColumn>
    <tableColumn id="56" xr3:uid="{F6652AE7-E6B9-446E-86F4-91526F6FBB6B}" name="Switch Layout_x000a_Est hrs" dataDxfId="154">
      <calculatedColumnFormula>AV2*$J2</calculatedColumnFormula>
    </tableColumn>
    <tableColumn id="55" xr3:uid="{462F7802-1AAC-4EB2-8AA8-397E8A1D4950}" name="Switch Layout Target Date" dataDxfId="153"/>
    <tableColumn id="54" xr3:uid="{8BF7A203-75FD-4D09-9317-C289F2B9C2C6}" name="Switch Layout Real Date" dataDxfId="152"/>
    <tableColumn id="97" xr3:uid="{E5D5DBC2-AB17-45F3-AAF2-7753B908BCB7}" name="Create project" dataDxfId="151"/>
    <tableColumn id="96" xr3:uid="{2B622824-500C-403B-BFDA-3D4E9490B899}" name="Create porject_x000a_Status" dataDxfId="150">
      <calculatedColumnFormula>VLOOKUP(BA2,DATA!$B$13:$C$19,2,0)</calculatedColumnFormula>
    </tableColumn>
    <tableColumn id="95" xr3:uid="{FD9447E9-EF27-49BA-8D2D-E325E514173F}" name="Create porject Progress" dataDxfId="149">
      <calculatedColumnFormula>VLOOKUP($BA$1,DATA!$B$24:$C$45,2,0)</calculatedColumnFormula>
    </tableColumn>
    <tableColumn id="94" xr3:uid="{78A4B4F9-7664-4FEC-9A92-4A2EB04CCEA1}" name="Create project Contribution" dataDxfId="148">
      <calculatedColumnFormula>BB2*BC2/100</calculatedColumnFormula>
    </tableColumn>
    <tableColumn id="93" xr3:uid="{AD70D43C-6015-4A97-8BA2-918AF340F96B}" name="Create project_x000a_Est hrs" dataDxfId="147">
      <calculatedColumnFormula>BC2*$J2</calculatedColumnFormula>
    </tableColumn>
    <tableColumn id="103" xr3:uid="{A7E3E777-B4D4-424D-A92C-FA15C6715FC2}" name="Communication section" dataDxfId="146"/>
    <tableColumn id="102" xr3:uid="{3BF6B7BB-39F2-4F3D-870F-5F8D1C66077D}" name="Communication section_x000a_Status" dataDxfId="145">
      <calculatedColumnFormula>VLOOKUP(BF2,DATA!$B$13:$C$19,2,0)</calculatedColumnFormula>
    </tableColumn>
    <tableColumn id="101" xr3:uid="{9760AB50-FF78-48EA-AC94-F07A348F47D7}" name="Communication section_x000a_Progress" dataDxfId="144">
      <calculatedColumnFormula>VLOOKUP($BF$1,DATA!$B$24:$C$45,2,0)</calculatedColumnFormula>
    </tableColumn>
    <tableColumn id="100" xr3:uid="{96D8C2B6-4DDE-4858-8E1B-9FF513FCB864}" name="Communication section Contribution" dataDxfId="143">
      <calculatedColumnFormula>BG2*BH2/100</calculatedColumnFormula>
    </tableColumn>
    <tableColumn id="99" xr3:uid="{DC854D09-C16D-4042-B930-DE8991E7F0F0}" name="Communication section_x000a_Est hrs" dataDxfId="142">
      <calculatedColumnFormula>BH2*$J2</calculatedColumnFormula>
    </tableColumn>
    <tableColumn id="108" xr3:uid="{E56FD69E-0DAD-4CA8-BC75-B033F7F2157F}" name="Power Section" dataDxfId="141"/>
    <tableColumn id="107" xr3:uid="{82521318-0D98-4787-A722-07054C64095F}" name="Power Section_x000a_Status" dataDxfId="140">
      <calculatedColumnFormula>VLOOKUP(BK2,DATA!$B$13:$C$19,2,0)</calculatedColumnFormula>
    </tableColumn>
    <tableColumn id="106" xr3:uid="{14914ECC-1C37-4B60-8C5B-7C7A04426809}" name="Power Section_x000a_Progress" dataDxfId="139">
      <calculatedColumnFormula>VLOOKUP($BK$1,DATA!$B$24:$C$45,2,0)</calculatedColumnFormula>
    </tableColumn>
    <tableColumn id="105" xr3:uid="{7982B65F-689B-455B-96B4-79ECF96579D5}" name="Power Section Contribution" dataDxfId="138">
      <calculatedColumnFormula>BL2*BM2/100</calculatedColumnFormula>
    </tableColumn>
    <tableColumn id="104" xr3:uid="{8829A4B0-9BE6-4097-9EE9-08809F0FC0E1}" name="Power Section_x000a_Est hrs" dataDxfId="137">
      <calculatedColumnFormula>BM2*$J2</calculatedColumnFormula>
    </tableColumn>
    <tableColumn id="114" xr3:uid="{06558ABF-C5A5-427D-9D16-B0B8B5F353A6}" name="Control Section" dataDxfId="136"/>
    <tableColumn id="113" xr3:uid="{9F56C215-3CB6-47ED-B789-BD6F8BD9A0CD}" name="Control Section_x000a_Status" dataDxfId="135">
      <calculatedColumnFormula>VLOOKUP(BP2,DATA!$B$13:$C$19,2,0)</calculatedColumnFormula>
    </tableColumn>
    <tableColumn id="112" xr3:uid="{9EC3A04F-7A9F-4355-A1CC-F88026BC52AF}" name="Control Section_x000a_Progress" dataDxfId="134">
      <calculatedColumnFormula>VLOOKUP($BP$1,DATA!$B$24:$C$45,2,0)</calculatedColumnFormula>
    </tableColumn>
    <tableColumn id="111" xr3:uid="{8E2D6114-B2C7-4DBA-ABBF-6DDFA5FFAAAB}" name="Control Section Contribution" dataDxfId="133">
      <calculatedColumnFormula>BQ2*BR2/100</calculatedColumnFormula>
    </tableColumn>
    <tableColumn id="110" xr3:uid="{9401DA7B-E9FA-4244-8656-D95C50BB6CAD}" name="Control Section_x000a_Est hrs" dataDxfId="132">
      <calculatedColumnFormula>BR2*$J2</calculatedColumnFormula>
    </tableColumn>
    <tableColumn id="119" xr3:uid="{5EAF95D9-78AB-4AB1-B50A-7C1C182E64DA}" name="Special components" dataDxfId="131"/>
    <tableColumn id="118" xr3:uid="{82051CA2-10F6-4FE1-B47F-431D077790B5}" name="Special components_x000a_Status" dataDxfId="130">
      <calculatedColumnFormula>VLOOKUP(BU2,DATA!$B$13:$C$19,2,0)</calculatedColumnFormula>
    </tableColumn>
    <tableColumn id="117" xr3:uid="{74A2676A-21A3-4985-ABC7-2177688BE305}" name="Special components_x000a_Progress" dataDxfId="129">
      <calculatedColumnFormula>VLOOKUP($BU$1,DATA!$B$24:$C$45,2,0)</calculatedColumnFormula>
    </tableColumn>
    <tableColumn id="116" xr3:uid="{4D22DC5A-D103-4504-8A04-EB4C80CD1303}" name="Special components Contribution" dataDxfId="128">
      <calculatedColumnFormula>BV2*BW2/100</calculatedColumnFormula>
    </tableColumn>
    <tableColumn id="115" xr3:uid="{9F8F7FD6-FEE9-406F-8833-73CF256AC003}" name="Special components_x000a_Est hrs" dataDxfId="127">
      <calculatedColumnFormula>BW2*$J2</calculatedColumnFormula>
    </tableColumn>
    <tableColumn id="124" xr3:uid="{74194E4C-D8D3-47A4-871D-113F68105BF7}" name="Pneumatic" dataDxfId="126"/>
    <tableColumn id="123" xr3:uid="{280FD7FE-83D7-4AF0-BF83-3F20C3BBE6AB}" name="Pneumatic_x000a_Status" dataDxfId="125">
      <calculatedColumnFormula>VLOOKUP(BZ2,DATA!$B$13:$C$19,2,0)</calculatedColumnFormula>
    </tableColumn>
    <tableColumn id="122" xr3:uid="{37B65BAA-B4CA-4900-95E7-9D452DDAB50E}" name="Pneumatic_x000a_Progress" dataDxfId="124">
      <calculatedColumnFormula>VLOOKUP($BZ$1,DATA!$B$24:$C$45,2,0)</calculatedColumnFormula>
    </tableColumn>
    <tableColumn id="121" xr3:uid="{2987E229-08BD-42B2-8CF9-CF7E74B1A11D}" name="Pneumatic Contribution" dataDxfId="123">
      <calculatedColumnFormula>CA2*CB2/100</calculatedColumnFormula>
    </tableColumn>
    <tableColumn id="120" xr3:uid="{F901A592-202D-4836-A500-89C37DA2C926}" name="Pneumatic_x000a_Est hrs" dataDxfId="122">
      <calculatedColumnFormula>CB2*$J2</calculatedColumnFormula>
    </tableColumn>
    <tableColumn id="129" xr3:uid="{6821B809-2373-480F-915A-9880FB479AA8}" name="Enclosure" dataDxfId="121"/>
    <tableColumn id="128" xr3:uid="{C1805B6F-FD5A-4B38-90C2-A94D05FA59D7}" name="Eclosure_x000a_Status" dataDxfId="120">
      <calculatedColumnFormula>VLOOKUP(CE2,DATA!$B$13:$C$19,2,0)</calculatedColumnFormula>
    </tableColumn>
    <tableColumn id="127" xr3:uid="{0BE5CC00-1B48-492C-9547-9C5B7BBE07FE}" name="Eclosure_x000a_Progress" dataDxfId="119">
      <calculatedColumnFormula>VLOOKUP($CE$1,DATA!$B$24:$C$45,2,0)</calculatedColumnFormula>
    </tableColumn>
    <tableColumn id="126" xr3:uid="{46CE52E4-7BA7-45D3-B62D-E5B08EA4F71C}" name="Eclosure Contribution" dataDxfId="118">
      <calculatedColumnFormula>CF2*CG2/100</calculatedColumnFormula>
    </tableColumn>
    <tableColumn id="125" xr3:uid="{0B440A64-2711-4B12-A6A1-F939BCB4A929}" name="Eclosure_x000a_Est hrs" dataDxfId="117">
      <calculatedColumnFormula>CG2*$J2</calculatedColumnFormula>
    </tableColumn>
    <tableColumn id="134" xr3:uid="{4E026DEE-F0F9-4ED1-A926-24A049941A39}" name="Reports" dataDxfId="116"/>
    <tableColumn id="133" xr3:uid="{9DDAF359-678A-4EB4-A256-BB7437D58987}" name="Reports_x000a_Status" dataDxfId="115">
      <calculatedColumnFormula>VLOOKUP(CJ2,DATA!$B$13:$C$19,2,0)</calculatedColumnFormula>
    </tableColumn>
    <tableColumn id="132" xr3:uid="{4C6E66AA-91CC-4E8C-9D71-5D727C3F4249}" name="Reports_x000a_Progress" dataDxfId="114">
      <calculatedColumnFormula>VLOOKUP($CJ$1,DATA!$B$24:$C$45,2,0)</calculatedColumnFormula>
    </tableColumn>
    <tableColumn id="131" xr3:uid="{4D55E15D-2F54-42A8-9C67-28D890FD2ADA}" name="Reports Contribution" dataDxfId="113">
      <calculatedColumnFormula>CK2*CL2/100</calculatedColumnFormula>
    </tableColumn>
    <tableColumn id="130" xr3:uid="{409686A5-F50F-40F5-A489-DE95305DD066}" name="Reports_x000a_Est hrs" dataDxfId="112">
      <calculatedColumnFormula>CL2*$J2</calculatedColumnFormula>
    </tableColumn>
    <tableColumn id="135" xr3:uid="{3ED336AC-FD04-45F9-AA31-5FD2926BD29D}" name="Design" dataDxfId="111">
      <calculatedColumnFormula>CM2+CH2+CC2+BX2+BS2+BN2+BI2+BD2</calculatedColumnFormula>
    </tableColumn>
    <tableColumn id="138" xr3:uid="{FCFF0EB2-3636-40C4-AF5F-BE17BB85FCD7}" name="Design Progress" dataDxfId="110">
      <calculatedColumnFormula>VLOOKUP($CO$1,DATA!$B$24:$C$45,2,0)</calculatedColumnFormula>
    </tableColumn>
    <tableColumn id="137" xr3:uid="{A63C0E86-86BB-4C8E-BC3C-E1D27A8458C7}" name="Design Contribution" dataDxfId="109">
      <calculatedColumnFormula>CP2*CO2</calculatedColumnFormula>
    </tableColumn>
    <tableColumn id="136" xr3:uid="{7BD749E4-D259-4D41-A967-22656BAA1E69}" name="Design_x000a_Est hrs" dataDxfId="108">
      <calculatedColumnFormula>CP2*$J2</calculatedColumnFormula>
    </tableColumn>
    <tableColumn id="26" xr3:uid="{667C36E4-E018-40D1-A105-863241736654}" name="Desing hrs used" dataDxfId="107">
      <calculatedColumnFormula>CQ2*$J2</calculatedColumnFormula>
    </tableColumn>
    <tableColumn id="27" xr3:uid="{D0262DAA-A12F-4C1E-9B09-B7A402010210}" name="Design hrs remaining" dataDxfId="106">
      <calculatedColumnFormula>CR2-CS2</calculatedColumnFormula>
    </tableColumn>
    <tableColumn id="145" xr3:uid="{C91F9D00-BAED-401E-B931-5F08816C1F7C}" name="Revision" dataDxfId="105"/>
    <tableColumn id="144" xr3:uid="{C62D361F-63BE-4277-9A48-37795DB29504}" name="Revision_x000a_Status" dataDxfId="104">
      <calculatedColumnFormula>VLOOKUP(CU2,DATA!$B$13:$C$19,2,0)</calculatedColumnFormula>
    </tableColumn>
    <tableColumn id="143" xr3:uid="{31A9E021-B896-422D-B83B-179F17596ABA}" name="Revision Progress" dataDxfId="103">
      <calculatedColumnFormula>VLOOKUP($CU$1,DATA!$B$24:$C$45,2,0)</calculatedColumnFormula>
    </tableColumn>
    <tableColumn id="142" xr3:uid="{7F769F1F-0087-412D-AF8C-2F8754BEAD27}" name="Revision Contribution" dataDxfId="102">
      <calculatedColumnFormula>CV2*CW2/100</calculatedColumnFormula>
    </tableColumn>
    <tableColumn id="141" xr3:uid="{F50DA1D7-A8D1-45D7-8353-3E648AB7E851}" name="Revision_x000a_Est hrs" dataDxfId="101">
      <calculatedColumnFormula>CW2*$J2</calculatedColumnFormula>
    </tableColumn>
    <tableColumn id="140" xr3:uid="{26C180A3-3BB2-4A22-BCE0-8AF04739E8AC}" name="Revision Date" dataDxfId="100"/>
    <tableColumn id="139" xr3:uid="{B5BA8CEE-EC76-49B4-9722-9172EE62D206}" name="Revision Real Date" dataDxfId="99"/>
    <tableColumn id="152" xr3:uid="{AD994E43-CD8B-40B8-B961-3FDD40EF0758}" name="Costumer Aprvl" dataDxfId="98"/>
    <tableColumn id="151" xr3:uid="{470E91E4-EE5E-44AD-8D16-51EC8AF5FC0D}" name="Costumer Aprvl_x000a_Status" dataDxfId="97">
      <calculatedColumnFormula>VLOOKUP(DB2,DATA!$B$13:$C$19,2,0)</calculatedColumnFormula>
    </tableColumn>
    <tableColumn id="150" xr3:uid="{E837E5D2-E1BD-48BA-B20A-51A22E4C6158}" name="Costumer Aprvl Progress" dataDxfId="96">
      <calculatedColumnFormula>VLOOKUP($DB$1,DATA!$B$24:$C$45,2,0)</calculatedColumnFormula>
    </tableColumn>
    <tableColumn id="149" xr3:uid="{F8C2CC99-E0E9-4776-9205-B22C29A8014A}" name="Costumer Aprvl Contribution" dataDxfId="95">
      <calculatedColumnFormula>DC2*DD2/100</calculatedColumnFormula>
    </tableColumn>
    <tableColumn id="148" xr3:uid="{2CEEE853-F1CD-4D3F-888F-DCDECC346F44}" name="Costumer Aprvl_x000a_Est hrs" dataDxfId="94">
      <calculatedColumnFormula>DD2*$J2</calculatedColumnFormula>
    </tableColumn>
    <tableColumn id="147" xr3:uid="{D22E0DB8-EF4D-4D8C-AEA7-F6BD614786DF}" name="Costumer Aprvl Date" dataDxfId="93"/>
    <tableColumn id="146" xr3:uid="{3D7C9EE6-C5E7-43AA-8D59-B2D4D61B5A3D}" name="Costumer Aprvl Real Date" dataDxfId="92"/>
    <tableColumn id="159" xr3:uid="{87543587-5660-4946-8622-CC855704C39B}" name="Meetings" dataDxfId="91"/>
    <tableColumn id="158" xr3:uid="{B98BE4F0-E591-494C-BC65-BD91004EDE13}" name="Meetings_x000a_Status" dataDxfId="90">
      <calculatedColumnFormula>VLOOKUP(DI2,DATA!$B$13:$C$19,2,0)</calculatedColumnFormula>
    </tableColumn>
    <tableColumn id="157" xr3:uid="{86ECE605-86DE-45AA-BE1E-8FA37BA99340}" name="Meetings Progress" dataDxfId="89">
      <calculatedColumnFormula>VLOOKUP($DI$1,DATA!$B$24:$C$45,2,0)</calculatedColumnFormula>
    </tableColumn>
    <tableColumn id="156" xr3:uid="{ED538192-817B-4380-B0CB-B68BD5A8E459}" name="Meetings Contribution" dataDxfId="88">
      <calculatedColumnFormula>DJ2*DK2/100</calculatedColumnFormula>
    </tableColumn>
    <tableColumn id="155" xr3:uid="{7647BAF1-67EB-4285-92CC-386E611C85AD}" name="Meetings_x000a_Est hrs" dataDxfId="87">
      <calculatedColumnFormula>DK2*$J2</calculatedColumnFormula>
    </tableColumn>
    <tableColumn id="166" xr3:uid="{70909109-D79A-4FD8-B4EE-A7CCE0603D84}" name="Purchasing release" dataDxfId="86"/>
    <tableColumn id="165" xr3:uid="{B60C3CF7-3454-407F-9C00-48500A18323E}" name="Purchasing release_x000a_Status" dataDxfId="85">
      <calculatedColumnFormula>VLOOKUP(DN2,DATA!$B$13:$C$19,2,0)</calculatedColumnFormula>
    </tableColumn>
    <tableColumn id="164" xr3:uid="{B716C0E1-6C0B-4BBD-AD74-D151055F4000}" name="Purchasing release Progress" dataDxfId="84">
      <calculatedColumnFormula>VLOOKUP($DN$1,DATA!$B$24:$C$45,2,0)</calculatedColumnFormula>
    </tableColumn>
    <tableColumn id="163" xr3:uid="{E0766EE3-BB3E-4294-A0AD-BCEACB75DCC9}" name="Purchasing release Contribution" dataDxfId="83">
      <calculatedColumnFormula>DO2*DP2/100</calculatedColumnFormula>
    </tableColumn>
    <tableColumn id="162" xr3:uid="{F09663D9-DE54-4430-AC96-22F321A679FB}" name="Purchasing release_x000a_Est hrs" dataDxfId="82">
      <calculatedColumnFormula>DP2*$J2</calculatedColumnFormula>
    </tableColumn>
    <tableColumn id="161" xr3:uid="{6F9C85C5-81BD-44FC-9823-94EBE6C3EE68}" name="Purchasing release Date" dataDxfId="81"/>
    <tableColumn id="160" xr3:uid="{B06C6CA7-8CE9-47D0-9B65-A4DA1FE6FF7F}" name="Purchasing release Real Date" dataDxfId="80"/>
    <tableColumn id="173" xr3:uid="{185816AF-892B-4F79-BE97-EA329F5EE790}" name="Handoffs" dataDxfId="79"/>
    <tableColumn id="172" xr3:uid="{FA93AE42-BDC6-4B04-B5F1-8281481DB818}" name="Hand offs/Meetings_x000a_Status" dataDxfId="78">
      <calculatedColumnFormula>VLOOKUP(DU2,DATA!$B$13:$C$19,2,0)</calculatedColumnFormula>
    </tableColumn>
    <tableColumn id="171" xr3:uid="{BF216D46-8797-4B33-A78A-FC823D5E95ED}" name="Hand offs/Meetings Progress" dataDxfId="77">
      <calculatedColumnFormula>VLOOKUP($DU$1,DATA!$B$24:$C$45,2,0)</calculatedColumnFormula>
    </tableColumn>
    <tableColumn id="170" xr3:uid="{6289146F-0021-4945-A96A-107D06D54BD0}" name="Hand offs/Meetings Contribution" dataDxfId="76">
      <calculatedColumnFormula>DV2*DW2/100</calculatedColumnFormula>
    </tableColumn>
    <tableColumn id="169" xr3:uid="{BA5DF727-3EB3-4A20-8886-5927883A091C}" name="Hand offs/Meetings_x000a_Est hrs" dataDxfId="75">
      <calculatedColumnFormula>DW2*$J2</calculatedColumnFormula>
    </tableColumn>
    <tableColumn id="168" xr3:uid="{4BC67D82-FB43-4529-B41B-917B60F48105}" name="Hand offs/Meetings Date" dataDxfId="74"/>
    <tableColumn id="167" xr3:uid="{CE1BAB6C-C48C-42F4-9164-517D3E60946B}" name="Hand offs/Meetings Real Date" dataDxfId="73"/>
    <tableColumn id="180" xr3:uid="{349AD3A7-D9E7-436F-AB78-F84D852CA049}" name="Support" dataDxfId="72"/>
    <tableColumn id="179" xr3:uid="{D9BB3B66-D842-4DED-9584-EB051117FFC0}" name="Support_x000a_Status" dataDxfId="71">
      <calculatedColumnFormula>VLOOKUP(EB2,DATA!$B$13:$C$19,2,0)</calculatedColumnFormula>
    </tableColumn>
    <tableColumn id="178" xr3:uid="{BC6DC881-5FE6-4BEE-8C5C-8AEF3841599D}" name="Support Progress" dataDxfId="70">
      <calculatedColumnFormula>VLOOKUP($EB$1,DATA!$B$24:$C$45,2,0)</calculatedColumnFormula>
    </tableColumn>
    <tableColumn id="177" xr3:uid="{82369A5F-1D75-4297-8170-56BC7B7FD714}" name="Support Contribution" dataDxfId="69">
      <calculatedColumnFormula>EC2*ED2/100</calculatedColumnFormula>
    </tableColumn>
    <tableColumn id="176" xr3:uid="{E74B8185-DB29-4579-ADFB-26FA8793D2AE}" name="Support_x000a_Est hrs" dataDxfId="68">
      <calculatedColumnFormula>ED2*$J2</calculatedColumnFormula>
    </tableColumn>
    <tableColumn id="175" xr3:uid="{515DCD4F-2BE6-4BA8-8A4C-509F5452BB05}" name="Support Date" dataDxfId="67"/>
    <tableColumn id="174" xr3:uid="{3C5A8BDE-34A8-4589-82B5-9D7E9CF90F1E}" name="Support Real Date" dataDxfId="66"/>
    <tableColumn id="187" xr3:uid="{8798CD8D-5209-4373-8CC4-1BCD7C361634}" name="Documentation" dataDxfId="65"/>
    <tableColumn id="186" xr3:uid="{3813DCD4-AB1F-49FE-A36D-A2325409095E}" name="Documentation_x000a_Status" dataDxfId="64">
      <calculatedColumnFormula>VLOOKUP(EI2,DATA!$B$13:$C$19,2,0)</calculatedColumnFormula>
    </tableColumn>
    <tableColumn id="185" xr3:uid="{15C116D1-34ED-4EE4-BA17-4ECF651D3862}" name="Documentation Progress" dataDxfId="63">
      <calculatedColumnFormula>VLOOKUP($EI$1,DATA!$B$24:$C$45,2,0)</calculatedColumnFormula>
    </tableColumn>
    <tableColumn id="184" xr3:uid="{7F78F018-5D43-4002-BFD3-53EA9AA907F7}" name="Documentation Contribution" dataDxfId="62">
      <calculatedColumnFormula>EJ2*EK2/100</calculatedColumnFormula>
    </tableColumn>
    <tableColumn id="183" xr3:uid="{3A75EBE8-28CC-4891-B3C8-650C8CEF25B4}" name="Documentation_x000a_Est hrs" dataDxfId="61">
      <calculatedColumnFormula>EK2*$J2</calculatedColumnFormula>
    </tableColumn>
    <tableColumn id="182" xr3:uid="{732D8A87-110C-4149-918A-91B8E5BF9F76}" name="Documentation Date" dataDxfId="60"/>
    <tableColumn id="181" xr3:uid="{FD4CEA1F-BD91-4C7C-9E50-73A237889AFA}" name="Documentation Real Date" dataDxfId="59"/>
    <tableColumn id="194" xr3:uid="{C1A85F9D-C524-4267-BD82-9655BC995068}" name="Redlines" dataDxfId="58"/>
    <tableColumn id="193" xr3:uid="{6535B279-A1A4-4D84-8CDF-6497E9A109BC}" name="Redlines_x000a_Status" dataDxfId="57">
      <calculatedColumnFormula>VLOOKUP(EP2,DATA!$B$13:$C$19,2,0)</calculatedColumnFormula>
    </tableColumn>
    <tableColumn id="192" xr3:uid="{3ED7A3B4-00F5-4554-92BF-E60C07F0E1F4}" name="Redlines Progress" dataDxfId="56">
      <calculatedColumnFormula>VLOOKUP($EP$1,DATA!$B$24:$C$45,2,0)</calculatedColumnFormula>
    </tableColumn>
    <tableColumn id="191" xr3:uid="{B08604F5-9FFE-46FE-9740-089AF880BFBA}" name="Redlines Contribution" dataDxfId="55">
      <calculatedColumnFormula>EQ2*ER2/100</calculatedColumnFormula>
    </tableColumn>
    <tableColumn id="190" xr3:uid="{993C6A7B-62C2-42A3-9B0A-20B40349A794}" name="Redlines_x000a_Est hrs" dataDxfId="54">
      <calculatedColumnFormula>ER2*$J2</calculatedColumnFormula>
    </tableColumn>
    <tableColumn id="25" xr3:uid="{C7855BEB-E1DA-416C-A32B-B4F079C35AFB}" name="Hrs to Finish" dataDxfId="53">
      <calculatedColumnFormula>SUM(
    IF(AH2&lt;&gt;"Finished",AL2,0) + N("READ INFO"),
    IF(AM2&lt;&gt;"Finished",AQ2,0) + N("LONG LEAD"),
    IF(AT2&lt;&gt;"Finished",AX2,0) + N("SWITCH LAYOUT"),
    IF(CJ2&lt;&gt;"Finished",CT2,0) + N("DESIGN"),
    IF(CU2&lt;&gt;"Finished",CY2,0) + N("REVISION"),
    IF(DB2&lt;&gt;"Finished",DF2,0) + N("CUST APRVL"),
    IF(DI2&lt;&gt;"Finished",DM2,0) + N("MEETINGS"),
    IF(DN2&lt;&gt;"Finished",DR2,0) + N("PURCHASING"),
    IF(DU2&lt;&gt;"Finished",DY2,0) + N("HANDOFF"),
    IF(EB2&lt;&gt;"Finished",EF2,0) + N("SUPPORT"),
    IF(EI2&lt;&gt;"Finished",EM2,0) + N("DOCUMENTATTION"),
    IF(EP2&lt;&gt;"Finished",ET2,0) + N("REDLINES"),
)</calculatedColumnFormula>
    </tableColumn>
    <tableColumn id="17" xr3:uid="{1268BD46-97BE-4145-9513-0E9876D42F31}" name="Sr. Designer" dataDxfId="52"/>
    <tableColumn id="18" xr3:uid="{171C47B7-4EF0-4350-BF22-2CB6AE91204D}" name="Responsible" dataDxfId="51"/>
    <tableColumn id="41" xr3:uid="{C63A8009-5C9E-4B5D-A66D-3AD7A72201A8}" name="Comments" dataDxfId="5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49A96A-BDE0-4C28-BB96-D02C3D53D00D}" name="Tabla2" displayName="Tabla2" ref="B5:E27" totalsRowShown="0" headerRowDxfId="49" headerRowBorderDxfId="48" tableBorderDxfId="47" totalsRowBorderDxfId="46">
  <autoFilter ref="B5:E27" xr:uid="{55C6C574-A4FC-448F-81D0-7D32872BE392}"/>
  <sortState xmlns:xlrd2="http://schemas.microsoft.com/office/spreadsheetml/2017/richdata2" ref="B6:D25">
    <sortCondition ref="B5:B25"/>
  </sortState>
  <tableColumns count="4">
    <tableColumn id="1" xr3:uid="{02AD61FA-6A2A-49ED-8AE5-75ECC74D05F5}" name="#" dataDxfId="45"/>
    <tableColumn id="2" xr3:uid="{024595A5-9E29-474B-814F-CE485092E613}" name="Process" dataDxfId="44"/>
    <tableColumn id="3" xr3:uid="{20317822-1345-45D2-9794-CBBFB57993F6}" name="File to be filled" dataDxfId="43"/>
    <tableColumn id="4" xr3:uid="{CCE10B90-2092-4271-83A2-6DFC0B879260}" name="Location" dataDxfId="4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7" dT="2025-09-18T17:19:20.42" personId="{2E774F21-BAE9-441D-BB6E-7CD6966DF361}" id="{FF223812-EF55-429D-93B8-6FAF9966C3E8}">
    <text>revisiones</text>
  </threadedComment>
  <threadedComment ref="M36" dT="2025-09-11T21:02:29.58" personId="{69CFE816-E4FF-4925-8232-F5F9B855425E}" id="{F6B91C34-0FEF-46E6-876A-0DDEFAD11A95}">
    <text>Documentación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6" dT="2026-01-08T17:37:08.69" personId="{2E774F21-BAE9-441D-BB6E-7CD6966DF361}" id="{C7C62D30-62D8-46B3-98C1-0DBF66B2C118}">
    <text>cambio de resistencia de frenado</text>
  </threadedComment>
  <threadedComment ref="V16" dT="2026-01-15T17:55:14.28" personId="{2E774F21-BAE9-441D-BB6E-7CD6966DF361}" id="{E279C7D0-A3DF-4F07-9008-C74F56E099F2}">
    <text>actualizacion de diagramas 3335</text>
  </threadedComment>
  <threadedComment ref="N17" dT="2026-01-08T17:39:34.55" personId="{2E774F21-BAE9-441D-BB6E-7CD6966DF361}" id="{8AFF67BE-7E62-48EB-A832-E249A0DB1F49}">
    <text>cambio de resistencia de frenado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x:/r/personal/adrian_cabello_na_scio-automation_com/_layouts/15/Doc.aspx?sourcedoc=%7B49000FDB-F02B-4DE3-AF0E-A1ABE2C7D90D%7D&amp;file=HD%20Workshop%20-%20Checklist.xlsx&amp;action=default&amp;mobileredirect=true" TargetMode="External"/><Relationship Id="rId13" Type="http://schemas.openxmlformats.org/officeDocument/2006/relationships/hyperlink" Target="../../../../:x:/r/personal/adrian_cabello_na_scio-automation_com/_layouts/15/Doc.aspx?sourcedoc=%7B5743F442-D43B-43CE-BFC0-B279B515BE66%7D&amp;file=Job%20%23_HD_UL%20508A.xlsx&amp;action=default&amp;mobileredirect=true" TargetMode="External"/><Relationship Id="rId3" Type="http://schemas.openxmlformats.org/officeDocument/2006/relationships/hyperlink" Target="../../../../:x:/r/personal/rafael_cedillo_na_scio-automation_com/_layouts/15/Doc.aspx?sourcedoc=%7B98623E9E-5E1D-4F0D-9899-1F6ABCB7B013%7D&amp;file=Comercial%20Components%20HD%20-%20MD%20-%203332.xlsx&amp;fromShare=true&amp;action=default&amp;mobileredirect=true" TargetMode="External"/><Relationship Id="rId7" Type="http://schemas.openxmlformats.org/officeDocument/2006/relationships/hyperlink" Target="../../../../:x:/r/personal/adrian_cabello_na_scio-automation_com/_layouts/15/Doc.aspx?sourcedoc=%7B35F4EB9E-AFCE-4152-BE08-C425AFEC9831%7D&amp;file=CALCULOS.xlsx&amp;action=default&amp;mobileredirect=true" TargetMode="External"/><Relationship Id="rId12" Type="http://schemas.openxmlformats.org/officeDocument/2006/relationships/hyperlink" Target="../../../../:x:/r/personal/adrian_cabello_na_scio-automation_com/_layouts/15/Doc.aspx?sourcedoc=%7BE7ABACDC-C5BE-49AA-9E3D-A6C7773F1B20%7D&amp;file=HD%20UL-Checklist.xlsx&amp;action=default&amp;mobileredirect=true" TargetMode="External"/><Relationship Id="rId2" Type="http://schemas.openxmlformats.org/officeDocument/2006/relationships/hyperlink" Target="../../../../:x:/r/personal/rafael_cedillo_na_scio-automation_com/_layouts/15/Doc.aspx?sourcedoc=%7B49BFC8E0-8825-46A8-9115-BEA83A2BB228%7D&amp;file=Plus%20Minus%20Record.xlsx&amp;fromShare=true&amp;action=default&amp;mobileredirect=true" TargetMode="External"/><Relationship Id="rId16" Type="http://schemas.openxmlformats.org/officeDocument/2006/relationships/table" Target="../tables/table2.xml"/><Relationship Id="rId1" Type="http://schemas.openxmlformats.org/officeDocument/2006/relationships/hyperlink" Target="../../../../:x:/r/personal/adrian_cabello_na_scio-automation_com/_layouts/15/Doc.aspx?sourcedoc=%7BE3A214FC-3DEB-47D0-970F-19718CE9642A%7D&amp;file=Hardware%20Design%20Dashboard.xlsx&amp;action=default&amp;mobileredirect=true" TargetMode="External"/><Relationship Id="rId6" Type="http://schemas.openxmlformats.org/officeDocument/2006/relationships/hyperlink" Target="../../../../:x:/r/personal/adrian_cabello_na_scio-automation_com/_layouts/15/Doc.aspx?sourcedoc=%7BAE5A8359-62EF-46D2-9F45-9D187E81F2EB%7D&amp;file=LABOR%20HD.xlsm&amp;action=default&amp;mobileredirect=true" TargetMode="External"/><Relationship Id="rId11" Type="http://schemas.openxmlformats.org/officeDocument/2006/relationships/hyperlink" Target="../../../../:x:/r/personal/mastersia_na_scio-automation_com/_layouts/15/Doc.aspx?sourcedoc=%7B52B9166A-3F3F-4D0D-B959-CB77385D20B2%7D&amp;file=Release%20Master%20File%20MX.xlsx&amp;fromShare=true&amp;action=default&amp;mobileredirect=true" TargetMode="External"/><Relationship Id="rId5" Type="http://schemas.openxmlformats.org/officeDocument/2006/relationships/hyperlink" Target="../../../../:x:/r/personal/adrian_cabello_na_scio-automation_com/_layouts/15/Doc.aspx?sourcedoc=%7B104E7E18-FD12-4ABE-84CA-E7F45940D78A%7D&amp;file=Lessson%20learned%20HD.xlsx&amp;action=default&amp;mobileredirect=true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../../../../:x:/r/personal/mastersia_na_scio-automation_com/_layouts/15/Doc.aspx?sourcedoc=%7BA30F5054-6AD2-4EA8-9A4E-FDB16432472C%7D&amp;file=OIL%20Launch%20Master%20File%20HD.xlsx&amp;fromShare=true&amp;action=default&amp;mobileredirect=true" TargetMode="External"/><Relationship Id="rId4" Type="http://schemas.openxmlformats.org/officeDocument/2006/relationships/hyperlink" Target="../../../../:x:/r/personal/mastersia_na_scio-automation_com/_layouts/15/Doc.aspx?sourcedoc=%7BB4593A0F-66C8-401C-BAE7-C4DD905C7127%7D&amp;file=OIL_Master_File.xlsm&amp;fromShare=true&amp;action=default&amp;mobileredirect=true" TargetMode="External"/><Relationship Id="rId9" Type="http://schemas.openxmlformats.org/officeDocument/2006/relationships/hyperlink" Target="https://apps.powerapps.com/play/e/default-1007dbb0-ecc6-462a-8fca-a467bd1e11a8/a/cc922658-b4bd-4cef-aade-0c949994982e?tenantId=1007dbb0-ecc6-462a-8fca-a467bd1e11a8&amp;source=AppSharedV3&amp;hint=ac4dfb21-2194-4836-9b98-039ad1f5917c&amp;sourcetime=1757367960084" TargetMode="External"/><Relationship Id="rId14" Type="http://schemas.openxmlformats.org/officeDocument/2006/relationships/hyperlink" Target="../../../../:x:/r/personal/adrian_cabello_na_scio-automation_com/_layouts/15/Doc.aspx?sourcedoc=%7BC30F7204-C814-487D-9B11-73531FC5B0BB%7D&amp;file=Bit%C3%A1cora_HD_UL%20508A.xlsx&amp;action=default&amp;mobileredirect=tru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DB59-BF3E-4C7F-8C40-C5A3B99137BF}">
  <sheetPr codeName="Sheet2"/>
  <dimension ref="A1:DM6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3" sqref="C13"/>
    </sheetView>
  </sheetViews>
  <sheetFormatPr baseColWidth="10" defaultColWidth="11.44140625" defaultRowHeight="14.4" outlineLevelCol="1" x14ac:dyDescent="0.3"/>
  <cols>
    <col min="1" max="2" width="11.44140625" style="3" customWidth="1"/>
    <col min="3" max="9" width="5" style="3" customWidth="1" outlineLevel="1"/>
    <col min="10" max="10" width="5" style="3" customWidth="1" outlineLevel="1" collapsed="1"/>
    <col min="11" max="16" width="5" style="3" customWidth="1" outlineLevel="1"/>
    <col min="17" max="17" width="5" style="3" customWidth="1" outlineLevel="1" collapsed="1"/>
    <col min="18" max="27" width="5" style="3" customWidth="1" outlineLevel="1"/>
    <col min="28" max="28" width="5.109375" style="3" customWidth="1" outlineLevel="1"/>
    <col min="29" max="37" width="5" style="3" customWidth="1" outlineLevel="1"/>
    <col min="38" max="117" width="5" style="3" customWidth="1"/>
    <col min="118" max="16384" width="11.44140625" style="3"/>
  </cols>
  <sheetData>
    <row r="1" spans="1:117" ht="15" thickBot="1" x14ac:dyDescent="0.35">
      <c r="A1" s="246" t="e" vm="1">
        <v>#VALUE!</v>
      </c>
      <c r="B1" s="25" t="s">
        <v>0</v>
      </c>
      <c r="C1" s="260" t="s">
        <v>1</v>
      </c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1"/>
      <c r="Z1" s="262" t="s">
        <v>2</v>
      </c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60"/>
      <c r="BA1" s="260"/>
      <c r="BB1" s="260"/>
      <c r="BC1" s="260"/>
      <c r="BD1" s="261"/>
      <c r="BE1" s="262" t="s">
        <v>3</v>
      </c>
      <c r="BF1" s="260"/>
      <c r="BG1" s="260"/>
      <c r="BH1" s="260"/>
      <c r="BI1" s="260"/>
      <c r="BJ1" s="260"/>
      <c r="BK1" s="260"/>
      <c r="BL1" s="260"/>
      <c r="BM1" s="260"/>
      <c r="BN1" s="260"/>
      <c r="BO1" s="260"/>
      <c r="BP1" s="260"/>
      <c r="BQ1" s="260"/>
      <c r="BR1" s="260"/>
      <c r="BS1" s="260"/>
      <c r="BT1" s="260"/>
      <c r="BU1" s="260"/>
      <c r="BV1" s="260"/>
      <c r="BW1" s="260"/>
      <c r="BX1" s="260"/>
      <c r="BY1" s="260"/>
      <c r="BZ1" s="260"/>
      <c r="CA1" s="260"/>
      <c r="CB1" s="260"/>
      <c r="CC1" s="260"/>
      <c r="CD1" s="260"/>
      <c r="CE1" s="260"/>
      <c r="CF1" s="260"/>
      <c r="CG1" s="260"/>
      <c r="CH1" s="261"/>
      <c r="CI1" s="262" t="s">
        <v>4</v>
      </c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60"/>
      <c r="CU1" s="260"/>
      <c r="CV1" s="260"/>
      <c r="CW1" s="260"/>
      <c r="CX1" s="260"/>
      <c r="CY1" s="260"/>
      <c r="CZ1" s="260"/>
      <c r="DA1" s="260"/>
      <c r="DB1" s="260"/>
      <c r="DC1" s="260"/>
      <c r="DD1" s="260"/>
      <c r="DE1" s="260"/>
      <c r="DF1" s="260"/>
      <c r="DG1" s="260"/>
      <c r="DH1" s="260"/>
      <c r="DI1" s="260"/>
      <c r="DJ1" s="260"/>
      <c r="DK1" s="260"/>
      <c r="DL1" s="260"/>
      <c r="DM1" s="261"/>
    </row>
    <row r="2" spans="1:117" ht="18" x14ac:dyDescent="0.3">
      <c r="A2" s="246"/>
      <c r="B2" s="26" t="s">
        <v>5</v>
      </c>
      <c r="C2" s="257">
        <v>37</v>
      </c>
      <c r="D2" s="258"/>
      <c r="E2" s="258"/>
      <c r="F2" s="258"/>
      <c r="G2" s="258"/>
      <c r="H2" s="258"/>
      <c r="I2" s="259"/>
      <c r="J2" s="257">
        <v>38</v>
      </c>
      <c r="K2" s="258"/>
      <c r="L2" s="258"/>
      <c r="M2" s="258"/>
      <c r="N2" s="258"/>
      <c r="O2" s="258"/>
      <c r="P2" s="259"/>
      <c r="Q2" s="257">
        <v>39</v>
      </c>
      <c r="R2" s="258"/>
      <c r="S2" s="258"/>
      <c r="T2" s="258"/>
      <c r="U2" s="258"/>
      <c r="V2" s="258"/>
      <c r="W2" s="259"/>
      <c r="X2" s="257">
        <v>40</v>
      </c>
      <c r="Y2" s="258"/>
      <c r="Z2" s="258"/>
      <c r="AA2" s="258"/>
      <c r="AB2" s="258"/>
      <c r="AC2" s="258"/>
      <c r="AD2" s="259"/>
      <c r="AE2" s="257">
        <v>41</v>
      </c>
      <c r="AF2" s="258"/>
      <c r="AG2" s="258"/>
      <c r="AH2" s="258"/>
      <c r="AI2" s="258"/>
      <c r="AJ2" s="258"/>
      <c r="AK2" s="259"/>
      <c r="AL2" s="257">
        <v>42</v>
      </c>
      <c r="AM2" s="258"/>
      <c r="AN2" s="258"/>
      <c r="AO2" s="258"/>
      <c r="AP2" s="258"/>
      <c r="AQ2" s="258"/>
      <c r="AR2" s="259"/>
      <c r="AS2" s="257">
        <v>43</v>
      </c>
      <c r="AT2" s="258"/>
      <c r="AU2" s="258"/>
      <c r="AV2" s="258"/>
      <c r="AW2" s="258"/>
      <c r="AX2" s="258"/>
      <c r="AY2" s="259"/>
      <c r="AZ2" s="257">
        <v>44</v>
      </c>
      <c r="BA2" s="258"/>
      <c r="BB2" s="258"/>
      <c r="BC2" s="258"/>
      <c r="BD2" s="258"/>
      <c r="BE2" s="258"/>
      <c r="BF2" s="259"/>
      <c r="BG2" s="257">
        <v>45</v>
      </c>
      <c r="BH2" s="258"/>
      <c r="BI2" s="258"/>
      <c r="BJ2" s="258"/>
      <c r="BK2" s="258"/>
      <c r="BL2" s="258"/>
      <c r="BM2" s="259"/>
      <c r="BN2" s="257">
        <v>46</v>
      </c>
      <c r="BO2" s="258"/>
      <c r="BP2" s="258"/>
      <c r="BQ2" s="258"/>
      <c r="BR2" s="258"/>
      <c r="BS2" s="258"/>
      <c r="BT2" s="259"/>
      <c r="BU2" s="257">
        <v>47</v>
      </c>
      <c r="BV2" s="258"/>
      <c r="BW2" s="258"/>
      <c r="BX2" s="258"/>
      <c r="BY2" s="258"/>
      <c r="BZ2" s="258"/>
      <c r="CA2" s="259"/>
      <c r="CB2" s="257">
        <v>48</v>
      </c>
      <c r="CC2" s="258"/>
      <c r="CD2" s="258"/>
      <c r="CE2" s="258"/>
      <c r="CF2" s="258"/>
      <c r="CG2" s="258"/>
      <c r="CH2" s="259"/>
      <c r="CI2" s="257">
        <v>49</v>
      </c>
      <c r="CJ2" s="258"/>
      <c r="CK2" s="258"/>
      <c r="CL2" s="258"/>
      <c r="CM2" s="258"/>
      <c r="CN2" s="258"/>
      <c r="CO2" s="259"/>
      <c r="CP2" s="257">
        <v>50</v>
      </c>
      <c r="CQ2" s="258"/>
      <c r="CR2" s="258"/>
      <c r="CS2" s="258"/>
      <c r="CT2" s="258"/>
      <c r="CU2" s="258"/>
      <c r="CV2" s="259"/>
      <c r="CW2" s="257">
        <v>51</v>
      </c>
      <c r="CX2" s="258"/>
      <c r="CY2" s="258"/>
      <c r="CZ2" s="258"/>
      <c r="DA2" s="258"/>
      <c r="DB2" s="258"/>
      <c r="DC2" s="259"/>
      <c r="DD2" s="257">
        <v>52</v>
      </c>
      <c r="DE2" s="258"/>
      <c r="DF2" s="258"/>
      <c r="DG2" s="258"/>
      <c r="DH2" s="258"/>
      <c r="DI2" s="258"/>
      <c r="DJ2" s="259"/>
      <c r="DK2" s="263"/>
      <c r="DL2" s="264"/>
      <c r="DM2" s="265"/>
    </row>
    <row r="3" spans="1:117" ht="15" customHeight="1" x14ac:dyDescent="0.3">
      <c r="A3" s="246"/>
      <c r="B3" s="27" t="s">
        <v>6</v>
      </c>
      <c r="C3" s="28">
        <v>8</v>
      </c>
      <c r="D3" s="29">
        <v>9</v>
      </c>
      <c r="E3" s="29">
        <v>10</v>
      </c>
      <c r="F3" s="29">
        <v>11</v>
      </c>
      <c r="G3" s="29">
        <v>12</v>
      </c>
      <c r="H3" s="29">
        <v>13</v>
      </c>
      <c r="I3" s="30">
        <v>14</v>
      </c>
      <c r="J3" s="28">
        <v>15</v>
      </c>
      <c r="K3" s="29">
        <v>16</v>
      </c>
      <c r="L3" s="29">
        <v>17</v>
      </c>
      <c r="M3" s="29">
        <v>18</v>
      </c>
      <c r="N3" s="29">
        <v>19</v>
      </c>
      <c r="O3" s="29">
        <v>20</v>
      </c>
      <c r="P3" s="30">
        <v>21</v>
      </c>
      <c r="Q3" s="28">
        <v>22</v>
      </c>
      <c r="R3" s="29">
        <v>23</v>
      </c>
      <c r="S3" s="29">
        <v>24</v>
      </c>
      <c r="T3" s="29">
        <v>25</v>
      </c>
      <c r="U3" s="29">
        <v>26</v>
      </c>
      <c r="V3" s="29">
        <v>27</v>
      </c>
      <c r="W3" s="30">
        <v>28</v>
      </c>
      <c r="X3" s="28">
        <v>29</v>
      </c>
      <c r="Y3" s="29">
        <v>30</v>
      </c>
      <c r="Z3" s="29">
        <v>1</v>
      </c>
      <c r="AA3" s="29">
        <v>2</v>
      </c>
      <c r="AB3" s="29">
        <v>3</v>
      </c>
      <c r="AC3" s="29">
        <v>4</v>
      </c>
      <c r="AD3" s="30">
        <v>5</v>
      </c>
      <c r="AE3" s="28">
        <v>6</v>
      </c>
      <c r="AF3" s="29">
        <v>7</v>
      </c>
      <c r="AG3" s="29">
        <v>8</v>
      </c>
      <c r="AH3" s="29">
        <v>9</v>
      </c>
      <c r="AI3" s="29">
        <v>10</v>
      </c>
      <c r="AJ3" s="29">
        <v>11</v>
      </c>
      <c r="AK3" s="30">
        <v>12</v>
      </c>
      <c r="AL3" s="28">
        <v>13</v>
      </c>
      <c r="AM3" s="29">
        <v>14</v>
      </c>
      <c r="AN3" s="29">
        <v>15</v>
      </c>
      <c r="AO3" s="29">
        <v>16</v>
      </c>
      <c r="AP3" s="29">
        <v>17</v>
      </c>
      <c r="AQ3" s="29">
        <v>18</v>
      </c>
      <c r="AR3" s="30">
        <v>19</v>
      </c>
      <c r="AS3" s="28">
        <v>20</v>
      </c>
      <c r="AT3" s="29">
        <v>21</v>
      </c>
      <c r="AU3" s="29">
        <v>22</v>
      </c>
      <c r="AV3" s="29">
        <v>23</v>
      </c>
      <c r="AW3" s="29">
        <v>24</v>
      </c>
      <c r="AX3" s="29">
        <v>25</v>
      </c>
      <c r="AY3" s="30">
        <v>26</v>
      </c>
      <c r="AZ3" s="28">
        <v>27</v>
      </c>
      <c r="BA3" s="29">
        <v>28</v>
      </c>
      <c r="BB3" s="29">
        <v>29</v>
      </c>
      <c r="BC3" s="29">
        <v>30</v>
      </c>
      <c r="BD3" s="29">
        <v>31</v>
      </c>
      <c r="BE3" s="29">
        <v>1</v>
      </c>
      <c r="BF3" s="30">
        <v>2</v>
      </c>
      <c r="BG3" s="28">
        <v>3</v>
      </c>
      <c r="BH3" s="29">
        <v>4</v>
      </c>
      <c r="BI3" s="29">
        <v>5</v>
      </c>
      <c r="BJ3" s="29">
        <v>6</v>
      </c>
      <c r="BK3" s="29">
        <v>7</v>
      </c>
      <c r="BL3" s="29">
        <v>8</v>
      </c>
      <c r="BM3" s="30">
        <v>9</v>
      </c>
      <c r="BN3" s="28">
        <v>10</v>
      </c>
      <c r="BO3" s="29">
        <v>11</v>
      </c>
      <c r="BP3" s="29">
        <v>12</v>
      </c>
      <c r="BQ3" s="29">
        <v>13</v>
      </c>
      <c r="BR3" s="29">
        <v>14</v>
      </c>
      <c r="BS3" s="29">
        <v>15</v>
      </c>
      <c r="BT3" s="30">
        <v>16</v>
      </c>
      <c r="BU3" s="28">
        <v>17</v>
      </c>
      <c r="BV3" s="29">
        <v>18</v>
      </c>
      <c r="BW3" s="29">
        <v>19</v>
      </c>
      <c r="BX3" s="29">
        <v>20</v>
      </c>
      <c r="BY3" s="29">
        <v>21</v>
      </c>
      <c r="BZ3" s="29">
        <v>22</v>
      </c>
      <c r="CA3" s="30">
        <v>23</v>
      </c>
      <c r="CB3" s="28">
        <v>24</v>
      </c>
      <c r="CC3" s="29">
        <v>25</v>
      </c>
      <c r="CD3" s="29">
        <v>26</v>
      </c>
      <c r="CE3" s="29">
        <v>27</v>
      </c>
      <c r="CF3" s="29">
        <v>28</v>
      </c>
      <c r="CG3" s="29">
        <v>29</v>
      </c>
      <c r="CH3" s="30">
        <v>30</v>
      </c>
      <c r="CI3" s="28">
        <v>1</v>
      </c>
      <c r="CJ3" s="29">
        <v>2</v>
      </c>
      <c r="CK3" s="29">
        <v>3</v>
      </c>
      <c r="CL3" s="29">
        <v>4</v>
      </c>
      <c r="CM3" s="29">
        <v>5</v>
      </c>
      <c r="CN3" s="29">
        <v>6</v>
      </c>
      <c r="CO3" s="30">
        <v>7</v>
      </c>
      <c r="CP3" s="28">
        <v>8</v>
      </c>
      <c r="CQ3" s="29">
        <v>9</v>
      </c>
      <c r="CR3" s="29">
        <v>10</v>
      </c>
      <c r="CS3" s="29">
        <v>11</v>
      </c>
      <c r="CT3" s="29">
        <v>12</v>
      </c>
      <c r="CU3" s="29">
        <v>13</v>
      </c>
      <c r="CV3" s="30">
        <v>14</v>
      </c>
      <c r="CW3" s="28">
        <v>15</v>
      </c>
      <c r="CX3" s="29">
        <v>16</v>
      </c>
      <c r="CY3" s="29">
        <v>17</v>
      </c>
      <c r="CZ3" s="29">
        <v>18</v>
      </c>
      <c r="DA3" s="29">
        <v>19</v>
      </c>
      <c r="DB3" s="29">
        <v>20</v>
      </c>
      <c r="DC3" s="30">
        <v>21</v>
      </c>
      <c r="DD3" s="28">
        <v>22</v>
      </c>
      <c r="DE3" s="29">
        <v>23</v>
      </c>
      <c r="DF3" s="29">
        <v>24</v>
      </c>
      <c r="DG3" s="29">
        <v>25</v>
      </c>
      <c r="DH3" s="29">
        <v>26</v>
      </c>
      <c r="DI3" s="29">
        <v>27</v>
      </c>
      <c r="DJ3" s="30">
        <v>28</v>
      </c>
      <c r="DK3" s="28">
        <v>29</v>
      </c>
      <c r="DL3" s="29">
        <v>30</v>
      </c>
      <c r="DM3" s="30">
        <v>31</v>
      </c>
    </row>
    <row r="4" spans="1:117" x14ac:dyDescent="0.3">
      <c r="A4" s="140" t="s">
        <v>7</v>
      </c>
      <c r="B4" s="250" t="s">
        <v>8</v>
      </c>
      <c r="C4" s="107">
        <v>3336</v>
      </c>
      <c r="D4" s="107">
        <v>3336</v>
      </c>
      <c r="E4" s="107">
        <v>3336</v>
      </c>
      <c r="F4" s="103">
        <v>3328</v>
      </c>
      <c r="G4" s="103">
        <v>3328</v>
      </c>
      <c r="H4" s="23"/>
      <c r="I4" s="24"/>
      <c r="J4" s="107">
        <v>3336</v>
      </c>
      <c r="K4" s="101" t="s">
        <v>9</v>
      </c>
      <c r="L4" s="107">
        <v>3336</v>
      </c>
      <c r="M4" s="103">
        <v>3328</v>
      </c>
      <c r="N4" s="108">
        <v>3336</v>
      </c>
      <c r="O4" s="23"/>
      <c r="P4" s="24"/>
      <c r="Q4" s="107">
        <v>3336</v>
      </c>
      <c r="R4" s="103">
        <v>3328</v>
      </c>
      <c r="S4" s="103">
        <v>3328</v>
      </c>
      <c r="T4" s="101" t="s">
        <v>9</v>
      </c>
      <c r="U4" s="101" t="s">
        <v>9</v>
      </c>
      <c r="V4" s="23"/>
      <c r="W4" s="24"/>
      <c r="X4" s="103">
        <v>3328</v>
      </c>
      <c r="Y4" s="107">
        <v>3336</v>
      </c>
      <c r="Z4" s="103">
        <v>3328</v>
      </c>
      <c r="AA4" s="101" t="s">
        <v>9</v>
      </c>
      <c r="AB4" s="101" t="s">
        <v>9</v>
      </c>
      <c r="AC4" s="23"/>
      <c r="AD4" s="24"/>
      <c r="AE4" s="107">
        <v>3336</v>
      </c>
      <c r="AF4" s="103">
        <v>3328</v>
      </c>
      <c r="AG4" s="102">
        <v>3268</v>
      </c>
      <c r="AH4" s="137" t="s">
        <v>10</v>
      </c>
      <c r="AI4" s="137" t="s">
        <v>10</v>
      </c>
      <c r="AJ4" s="23"/>
      <c r="AK4" s="24"/>
      <c r="AL4" s="121">
        <v>3300</v>
      </c>
      <c r="AM4" s="103">
        <v>3328</v>
      </c>
      <c r="AN4" s="108">
        <v>3336</v>
      </c>
      <c r="AO4" s="114" t="s">
        <v>7</v>
      </c>
      <c r="AP4" s="114" t="s">
        <v>7</v>
      </c>
      <c r="AQ4" s="23"/>
      <c r="AR4" s="24"/>
      <c r="AS4" s="106">
        <v>3264</v>
      </c>
      <c r="AT4" s="114" t="s">
        <v>7</v>
      </c>
      <c r="AU4" s="114" t="s">
        <v>7</v>
      </c>
      <c r="AV4" s="114" t="s">
        <v>7</v>
      </c>
      <c r="AW4" s="101" t="s">
        <v>9</v>
      </c>
      <c r="AX4" s="23"/>
      <c r="AY4" s="24"/>
      <c r="AZ4" s="101" t="s">
        <v>9</v>
      </c>
      <c r="BA4" s="101" t="s">
        <v>9</v>
      </c>
      <c r="BB4" s="101" t="s">
        <v>9</v>
      </c>
      <c r="BC4" s="101" t="s">
        <v>9</v>
      </c>
      <c r="BD4" s="101" t="s">
        <v>9</v>
      </c>
      <c r="BE4" s="23"/>
      <c r="BF4" s="24"/>
      <c r="BG4" s="150">
        <v>3336</v>
      </c>
      <c r="BH4" s="157">
        <v>3351</v>
      </c>
      <c r="BI4" s="157">
        <v>3351</v>
      </c>
      <c r="BJ4" s="114" t="s">
        <v>7</v>
      </c>
      <c r="BK4" s="114" t="s">
        <v>7</v>
      </c>
      <c r="BL4" s="23"/>
      <c r="BM4" s="24"/>
      <c r="BN4" s="157">
        <v>3351</v>
      </c>
      <c r="BO4" s="157">
        <v>3351</v>
      </c>
      <c r="BP4" s="114" t="s">
        <v>7</v>
      </c>
      <c r="BQ4" s="114" t="s">
        <v>7</v>
      </c>
      <c r="BR4" s="114" t="s">
        <v>7</v>
      </c>
      <c r="BS4" s="23"/>
      <c r="BT4" s="24"/>
      <c r="BU4" s="143" t="s">
        <v>9</v>
      </c>
      <c r="BV4" s="157">
        <v>3351</v>
      </c>
      <c r="BW4" s="157">
        <v>3351</v>
      </c>
      <c r="BX4" s="157">
        <v>3351</v>
      </c>
      <c r="BY4" s="121">
        <v>3300</v>
      </c>
      <c r="BZ4" s="23"/>
      <c r="CA4" s="24"/>
      <c r="CB4" s="151">
        <v>3272</v>
      </c>
      <c r="CC4" s="114" t="s">
        <v>7</v>
      </c>
      <c r="CD4" s="114" t="s">
        <v>7</v>
      </c>
      <c r="CE4" s="114" t="s">
        <v>7</v>
      </c>
      <c r="CF4" s="114" t="s">
        <v>7</v>
      </c>
      <c r="CG4" s="23"/>
      <c r="CH4" s="24"/>
      <c r="CI4" s="147">
        <v>3328</v>
      </c>
      <c r="CJ4" s="114" t="s">
        <v>7</v>
      </c>
      <c r="CK4" s="114" t="s">
        <v>7</v>
      </c>
      <c r="CL4" s="114" t="s">
        <v>7</v>
      </c>
      <c r="CM4" s="114" t="s">
        <v>7</v>
      </c>
      <c r="CN4" s="23"/>
      <c r="CO4" s="24"/>
      <c r="CP4" s="114" t="s">
        <v>7</v>
      </c>
      <c r="CQ4" s="114" t="s">
        <v>7</v>
      </c>
      <c r="CR4" s="114" t="s">
        <v>7</v>
      </c>
      <c r="CS4" s="114" t="s">
        <v>7</v>
      </c>
      <c r="CT4" s="114" t="s">
        <v>7</v>
      </c>
      <c r="CU4" s="23"/>
      <c r="CV4" s="24"/>
      <c r="CW4" s="147">
        <v>3328</v>
      </c>
      <c r="CX4" s="114" t="s">
        <v>7</v>
      </c>
      <c r="CY4" s="114" t="s">
        <v>7</v>
      </c>
      <c r="CZ4" s="114" t="s">
        <v>7</v>
      </c>
      <c r="DA4" s="114" t="s">
        <v>7</v>
      </c>
      <c r="DB4" s="23"/>
      <c r="DC4" s="24"/>
      <c r="DD4" s="151">
        <v>3272</v>
      </c>
      <c r="DE4" s="114" t="s">
        <v>7</v>
      </c>
      <c r="DF4" s="114" t="s">
        <v>7</v>
      </c>
      <c r="DG4" s="101" t="s">
        <v>9</v>
      </c>
      <c r="DH4" s="101" t="s">
        <v>9</v>
      </c>
      <c r="DI4" s="23"/>
      <c r="DJ4" s="24"/>
      <c r="DK4" s="101" t="s">
        <v>9</v>
      </c>
      <c r="DL4" s="101" t="s">
        <v>9</v>
      </c>
      <c r="DM4" s="101" t="s">
        <v>9</v>
      </c>
    </row>
    <row r="5" spans="1:117" x14ac:dyDescent="0.3">
      <c r="A5" s="141" t="s">
        <v>11</v>
      </c>
      <c r="B5" s="251"/>
      <c r="C5" s="108">
        <v>3336</v>
      </c>
      <c r="D5" s="108">
        <v>3336</v>
      </c>
      <c r="E5" s="108">
        <v>3336</v>
      </c>
      <c r="F5" s="103">
        <v>3328</v>
      </c>
      <c r="G5" s="103">
        <v>3328</v>
      </c>
      <c r="H5" s="16"/>
      <c r="I5" s="17"/>
      <c r="J5" s="108">
        <v>3336</v>
      </c>
      <c r="K5" s="101" t="s">
        <v>9</v>
      </c>
      <c r="L5" s="108">
        <v>3336</v>
      </c>
      <c r="M5" s="103">
        <v>3328</v>
      </c>
      <c r="N5" s="107">
        <v>3336</v>
      </c>
      <c r="O5" s="16"/>
      <c r="P5" s="17"/>
      <c r="Q5" s="108">
        <v>3336</v>
      </c>
      <c r="R5" s="103">
        <v>3328</v>
      </c>
      <c r="S5" s="103">
        <v>3328</v>
      </c>
      <c r="T5" s="101" t="s">
        <v>9</v>
      </c>
      <c r="U5" s="101" t="s">
        <v>9</v>
      </c>
      <c r="V5" s="16"/>
      <c r="W5" s="17"/>
      <c r="X5" s="103">
        <v>3328</v>
      </c>
      <c r="Y5" s="108">
        <v>3336</v>
      </c>
      <c r="Z5" s="103">
        <v>3328</v>
      </c>
      <c r="AA5" s="101" t="s">
        <v>9</v>
      </c>
      <c r="AB5" s="101" t="s">
        <v>9</v>
      </c>
      <c r="AC5" s="16"/>
      <c r="AD5" s="17"/>
      <c r="AE5" s="108">
        <v>3336</v>
      </c>
      <c r="AF5" s="103">
        <v>3328</v>
      </c>
      <c r="AG5" s="102">
        <v>3268</v>
      </c>
      <c r="AH5" s="137" t="s">
        <v>10</v>
      </c>
      <c r="AI5" s="137" t="s">
        <v>10</v>
      </c>
      <c r="AJ5" s="16"/>
      <c r="AK5" s="17"/>
      <c r="AL5" s="121">
        <v>3300</v>
      </c>
      <c r="AM5" s="103">
        <v>3328</v>
      </c>
      <c r="AN5" s="108">
        <v>3336</v>
      </c>
      <c r="AO5" s="114" t="s">
        <v>7</v>
      </c>
      <c r="AP5" s="114" t="s">
        <v>7</v>
      </c>
      <c r="AQ5" s="16"/>
      <c r="AR5" s="17"/>
      <c r="AS5" s="106">
        <v>3264</v>
      </c>
      <c r="AT5" s="114" t="s">
        <v>7</v>
      </c>
      <c r="AU5" s="114" t="s">
        <v>7</v>
      </c>
      <c r="AV5" s="114" t="s">
        <v>7</v>
      </c>
      <c r="AW5" s="101" t="s">
        <v>9</v>
      </c>
      <c r="AX5" s="16"/>
      <c r="AY5" s="17"/>
      <c r="AZ5" s="101" t="s">
        <v>9</v>
      </c>
      <c r="BA5" s="101" t="s">
        <v>9</v>
      </c>
      <c r="BB5" s="101" t="s">
        <v>9</v>
      </c>
      <c r="BC5" s="101" t="s">
        <v>9</v>
      </c>
      <c r="BD5" s="101" t="s">
        <v>9</v>
      </c>
      <c r="BE5" s="16"/>
      <c r="BF5" s="17"/>
      <c r="BG5" s="150">
        <v>3336</v>
      </c>
      <c r="BH5" s="157">
        <v>3351</v>
      </c>
      <c r="BI5" s="157">
        <v>3351</v>
      </c>
      <c r="BJ5" s="114" t="s">
        <v>7</v>
      </c>
      <c r="BK5" s="114" t="s">
        <v>7</v>
      </c>
      <c r="BL5" s="16"/>
      <c r="BM5" s="17"/>
      <c r="BN5" s="157">
        <v>3351</v>
      </c>
      <c r="BO5" s="157">
        <v>3351</v>
      </c>
      <c r="BP5" s="114" t="s">
        <v>7</v>
      </c>
      <c r="BQ5" s="114" t="s">
        <v>7</v>
      </c>
      <c r="BR5" s="114" t="s">
        <v>7</v>
      </c>
      <c r="BS5" s="16"/>
      <c r="BT5" s="17"/>
      <c r="BU5" s="143" t="s">
        <v>9</v>
      </c>
      <c r="BV5" s="157">
        <v>3351</v>
      </c>
      <c r="BW5" s="157">
        <v>3351</v>
      </c>
      <c r="BX5" s="157">
        <v>3351</v>
      </c>
      <c r="BY5" s="121">
        <v>3300</v>
      </c>
      <c r="BZ5" s="16"/>
      <c r="CA5" s="17"/>
      <c r="CB5" s="121">
        <v>3300</v>
      </c>
      <c r="CC5" s="114" t="s">
        <v>7</v>
      </c>
      <c r="CD5" s="114" t="s">
        <v>7</v>
      </c>
      <c r="CE5" s="114" t="s">
        <v>7</v>
      </c>
      <c r="CF5" s="114" t="s">
        <v>7</v>
      </c>
      <c r="CG5" s="16"/>
      <c r="CH5" s="17"/>
      <c r="CI5" s="151">
        <v>3272</v>
      </c>
      <c r="CJ5" s="114" t="s">
        <v>7</v>
      </c>
      <c r="CK5" s="114" t="s">
        <v>7</v>
      </c>
      <c r="CL5" s="114" t="s">
        <v>7</v>
      </c>
      <c r="CM5" s="114" t="s">
        <v>7</v>
      </c>
      <c r="CN5" s="16"/>
      <c r="CO5" s="17"/>
      <c r="CP5" s="114" t="s">
        <v>7</v>
      </c>
      <c r="CQ5" s="114" t="s">
        <v>7</v>
      </c>
      <c r="CR5" s="114" t="s">
        <v>7</v>
      </c>
      <c r="CS5" s="114" t="s">
        <v>7</v>
      </c>
      <c r="CT5" s="114" t="s">
        <v>7</v>
      </c>
      <c r="CU5" s="16"/>
      <c r="CV5" s="17"/>
      <c r="CW5" s="147">
        <v>3328</v>
      </c>
      <c r="CX5" s="114" t="s">
        <v>7</v>
      </c>
      <c r="CY5" s="114" t="s">
        <v>7</v>
      </c>
      <c r="CZ5" s="114" t="s">
        <v>7</v>
      </c>
      <c r="DA5" s="114" t="s">
        <v>7</v>
      </c>
      <c r="DB5" s="16"/>
      <c r="DC5" s="17"/>
      <c r="DD5" s="114" t="s">
        <v>7</v>
      </c>
      <c r="DE5" s="114" t="s">
        <v>7</v>
      </c>
      <c r="DF5" s="114" t="s">
        <v>7</v>
      </c>
      <c r="DG5" s="101" t="s">
        <v>9</v>
      </c>
      <c r="DH5" s="101" t="s">
        <v>9</v>
      </c>
      <c r="DI5" s="16"/>
      <c r="DJ5" s="17"/>
      <c r="DK5" s="101" t="s">
        <v>9</v>
      </c>
      <c r="DL5" s="101" t="s">
        <v>9</v>
      </c>
      <c r="DM5" s="101" t="s">
        <v>9</v>
      </c>
    </row>
    <row r="6" spans="1:117" x14ac:dyDescent="0.3">
      <c r="A6" s="142" t="s">
        <v>10</v>
      </c>
      <c r="B6" s="251"/>
      <c r="C6" s="108">
        <v>3336</v>
      </c>
      <c r="D6" s="108">
        <v>3336</v>
      </c>
      <c r="E6" s="108">
        <v>3336</v>
      </c>
      <c r="F6" s="103">
        <v>3328</v>
      </c>
      <c r="G6" s="103">
        <v>3328</v>
      </c>
      <c r="H6" s="16"/>
      <c r="I6" s="17"/>
      <c r="J6" s="108">
        <v>3336</v>
      </c>
      <c r="K6" s="101" t="s">
        <v>9</v>
      </c>
      <c r="L6" s="108">
        <v>3336</v>
      </c>
      <c r="M6" s="103">
        <v>3328</v>
      </c>
      <c r="N6" s="122">
        <v>3300</v>
      </c>
      <c r="O6" s="16"/>
      <c r="P6" s="17"/>
      <c r="Q6" s="108">
        <v>3336</v>
      </c>
      <c r="R6" s="103">
        <v>3328</v>
      </c>
      <c r="S6" s="103">
        <v>3328</v>
      </c>
      <c r="T6" s="101" t="s">
        <v>9</v>
      </c>
      <c r="U6" s="101" t="s">
        <v>9</v>
      </c>
      <c r="V6" s="16"/>
      <c r="W6" s="17"/>
      <c r="X6" s="103">
        <v>3328</v>
      </c>
      <c r="Y6" s="108">
        <v>3336</v>
      </c>
      <c r="Z6" s="103">
        <v>3328</v>
      </c>
      <c r="AA6" s="101" t="s">
        <v>9</v>
      </c>
      <c r="AB6" s="101" t="s">
        <v>9</v>
      </c>
      <c r="AC6" s="16"/>
      <c r="AD6" s="17"/>
      <c r="AE6" s="108">
        <v>3336</v>
      </c>
      <c r="AF6" s="103">
        <v>3328</v>
      </c>
      <c r="AG6" s="106">
        <v>3264</v>
      </c>
      <c r="AH6" s="137" t="s">
        <v>10</v>
      </c>
      <c r="AI6" s="137" t="s">
        <v>10</v>
      </c>
      <c r="AJ6" s="16"/>
      <c r="AK6" s="17"/>
      <c r="AL6" s="103">
        <v>3328</v>
      </c>
      <c r="AM6" s="103">
        <v>3328</v>
      </c>
      <c r="AN6" s="108">
        <v>3336</v>
      </c>
      <c r="AO6" s="114" t="s">
        <v>7</v>
      </c>
      <c r="AP6" s="114" t="s">
        <v>7</v>
      </c>
      <c r="AQ6" s="16"/>
      <c r="AR6" s="17"/>
      <c r="AS6" s="144">
        <v>3268</v>
      </c>
      <c r="AT6" s="114" t="s">
        <v>7</v>
      </c>
      <c r="AU6" s="114" t="s">
        <v>7</v>
      </c>
      <c r="AV6" s="114" t="s">
        <v>7</v>
      </c>
      <c r="AW6" s="101" t="s">
        <v>9</v>
      </c>
      <c r="AX6" s="16"/>
      <c r="AY6" s="17"/>
      <c r="AZ6" s="101" t="s">
        <v>9</v>
      </c>
      <c r="BA6" s="101" t="s">
        <v>9</v>
      </c>
      <c r="BB6" s="101" t="s">
        <v>9</v>
      </c>
      <c r="BC6" s="101" t="s">
        <v>9</v>
      </c>
      <c r="BD6" s="101" t="s">
        <v>9</v>
      </c>
      <c r="BE6" s="16"/>
      <c r="BF6" s="17"/>
      <c r="BG6" s="157">
        <v>3351</v>
      </c>
      <c r="BH6" s="157">
        <v>3351</v>
      </c>
      <c r="BI6" s="114" t="s">
        <v>7</v>
      </c>
      <c r="BJ6" s="114" t="s">
        <v>7</v>
      </c>
      <c r="BK6" s="114" t="s">
        <v>7</v>
      </c>
      <c r="BL6" s="16"/>
      <c r="BM6" s="17"/>
      <c r="BN6" s="157">
        <v>3351</v>
      </c>
      <c r="BO6" s="157">
        <v>3351</v>
      </c>
      <c r="BP6" s="114" t="s">
        <v>7</v>
      </c>
      <c r="BQ6" s="114" t="s">
        <v>7</v>
      </c>
      <c r="BR6" s="114" t="s">
        <v>7</v>
      </c>
      <c r="BS6" s="16"/>
      <c r="BT6" s="17"/>
      <c r="BU6" s="143" t="s">
        <v>9</v>
      </c>
      <c r="BV6" s="157">
        <v>3351</v>
      </c>
      <c r="BW6" s="157">
        <v>3351</v>
      </c>
      <c r="BX6" s="157">
        <v>3351</v>
      </c>
      <c r="BY6" s="151">
        <v>3272</v>
      </c>
      <c r="BZ6" s="16"/>
      <c r="CA6" s="17"/>
      <c r="CB6" s="121">
        <v>3300</v>
      </c>
      <c r="CC6" s="114" t="s">
        <v>7</v>
      </c>
      <c r="CD6" s="114" t="s">
        <v>7</v>
      </c>
      <c r="CE6" s="114" t="s">
        <v>7</v>
      </c>
      <c r="CF6" s="114" t="s">
        <v>7</v>
      </c>
      <c r="CG6" s="16"/>
      <c r="CH6" s="17"/>
      <c r="CI6" s="108">
        <v>3336</v>
      </c>
      <c r="CJ6" s="114" t="s">
        <v>7</v>
      </c>
      <c r="CK6" s="114" t="s">
        <v>7</v>
      </c>
      <c r="CL6" s="114" t="s">
        <v>7</v>
      </c>
      <c r="CM6" s="114" t="s">
        <v>7</v>
      </c>
      <c r="CN6" s="16"/>
      <c r="CO6" s="17"/>
      <c r="CP6" s="114" t="s">
        <v>7</v>
      </c>
      <c r="CQ6" s="114" t="s">
        <v>7</v>
      </c>
      <c r="CR6" s="114" t="s">
        <v>7</v>
      </c>
      <c r="CS6" s="114" t="s">
        <v>7</v>
      </c>
      <c r="CT6" s="114" t="s">
        <v>7</v>
      </c>
      <c r="CU6" s="16"/>
      <c r="CV6" s="17"/>
      <c r="CW6" s="108">
        <v>3336</v>
      </c>
      <c r="CX6" s="114" t="s">
        <v>7</v>
      </c>
      <c r="CY6" s="114" t="s">
        <v>7</v>
      </c>
      <c r="CZ6" s="114" t="s">
        <v>7</v>
      </c>
      <c r="DA6" s="114" t="s">
        <v>7</v>
      </c>
      <c r="DB6" s="16"/>
      <c r="DC6" s="17"/>
      <c r="DD6" s="114" t="s">
        <v>7</v>
      </c>
      <c r="DE6" s="114" t="s">
        <v>7</v>
      </c>
      <c r="DF6" s="114" t="s">
        <v>7</v>
      </c>
      <c r="DG6" s="101" t="s">
        <v>9</v>
      </c>
      <c r="DH6" s="101" t="s">
        <v>9</v>
      </c>
      <c r="DI6" s="16"/>
      <c r="DJ6" s="17"/>
      <c r="DK6" s="101" t="s">
        <v>9</v>
      </c>
      <c r="DL6" s="101" t="s">
        <v>9</v>
      </c>
      <c r="DM6" s="101" t="s">
        <v>9</v>
      </c>
    </row>
    <row r="7" spans="1:117" x14ac:dyDescent="0.3">
      <c r="A7" s="143" t="s">
        <v>9</v>
      </c>
      <c r="B7" s="251"/>
      <c r="C7" s="107">
        <v>3336</v>
      </c>
      <c r="D7" s="107">
        <v>3336</v>
      </c>
      <c r="E7" s="107">
        <v>3336</v>
      </c>
      <c r="F7" s="103">
        <v>3328</v>
      </c>
      <c r="G7" s="103">
        <v>3328</v>
      </c>
      <c r="H7" s="16"/>
      <c r="I7" s="17"/>
      <c r="J7" s="107">
        <v>3336</v>
      </c>
      <c r="K7" s="101" t="s">
        <v>9</v>
      </c>
      <c r="L7" s="107">
        <v>3336</v>
      </c>
      <c r="M7" s="103">
        <v>3328</v>
      </c>
      <c r="N7" s="122">
        <v>3300</v>
      </c>
      <c r="O7" s="16"/>
      <c r="P7" s="17"/>
      <c r="Q7" s="107">
        <v>3336</v>
      </c>
      <c r="R7" s="103">
        <v>3328</v>
      </c>
      <c r="S7" s="103">
        <v>3328</v>
      </c>
      <c r="T7" s="101" t="s">
        <v>9</v>
      </c>
      <c r="U7" s="101" t="s">
        <v>9</v>
      </c>
      <c r="V7" s="16"/>
      <c r="W7" s="17"/>
      <c r="X7" s="103">
        <v>3328</v>
      </c>
      <c r="Y7" s="102">
        <v>3268</v>
      </c>
      <c r="Z7" s="103">
        <v>3328</v>
      </c>
      <c r="AA7" s="101" t="s">
        <v>9</v>
      </c>
      <c r="AB7" s="101" t="s">
        <v>9</v>
      </c>
      <c r="AC7" s="16"/>
      <c r="AD7" s="17"/>
      <c r="AE7" s="108">
        <v>3336</v>
      </c>
      <c r="AF7" s="103">
        <v>3328</v>
      </c>
      <c r="AG7" s="106">
        <v>3264</v>
      </c>
      <c r="AH7" s="137" t="s">
        <v>10</v>
      </c>
      <c r="AI7" s="137" t="s">
        <v>10</v>
      </c>
      <c r="AJ7" s="16"/>
      <c r="AK7" s="17"/>
      <c r="AL7" s="103">
        <v>3328</v>
      </c>
      <c r="AM7" s="108">
        <v>3336</v>
      </c>
      <c r="AN7" s="114" t="s">
        <v>7</v>
      </c>
      <c r="AO7" s="114" t="s">
        <v>7</v>
      </c>
      <c r="AP7" s="114" t="s">
        <v>7</v>
      </c>
      <c r="AQ7" s="16"/>
      <c r="AR7" s="17"/>
      <c r="AS7" s="103">
        <v>3328</v>
      </c>
      <c r="AT7" s="114" t="s">
        <v>7</v>
      </c>
      <c r="AU7" s="114" t="s">
        <v>7</v>
      </c>
      <c r="AV7" s="114" t="s">
        <v>7</v>
      </c>
      <c r="AW7" s="101" t="s">
        <v>9</v>
      </c>
      <c r="AX7" s="16"/>
      <c r="AY7" s="17"/>
      <c r="AZ7" s="101" t="s">
        <v>9</v>
      </c>
      <c r="BA7" s="101" t="s">
        <v>9</v>
      </c>
      <c r="BB7" s="101" t="s">
        <v>9</v>
      </c>
      <c r="BC7" s="101" t="s">
        <v>9</v>
      </c>
      <c r="BD7" s="101" t="s">
        <v>9</v>
      </c>
      <c r="BE7" s="16"/>
      <c r="BF7" s="17"/>
      <c r="BG7" s="157">
        <v>3351</v>
      </c>
      <c r="BH7" s="157">
        <v>3351</v>
      </c>
      <c r="BI7" s="114" t="s">
        <v>7</v>
      </c>
      <c r="BJ7" s="114" t="s">
        <v>7</v>
      </c>
      <c r="BK7" s="114" t="s">
        <v>7</v>
      </c>
      <c r="BL7" s="16"/>
      <c r="BM7" s="17"/>
      <c r="BN7" s="157">
        <v>3351</v>
      </c>
      <c r="BO7" s="157">
        <v>3351</v>
      </c>
      <c r="BP7" s="114" t="s">
        <v>7</v>
      </c>
      <c r="BQ7" s="114" t="s">
        <v>7</v>
      </c>
      <c r="BR7" s="114" t="s">
        <v>7</v>
      </c>
      <c r="BS7" s="16"/>
      <c r="BT7" s="17"/>
      <c r="BU7" s="143" t="s">
        <v>9</v>
      </c>
      <c r="BV7" s="157">
        <v>3351</v>
      </c>
      <c r="BW7" s="157">
        <v>3351</v>
      </c>
      <c r="BX7" s="157">
        <v>3351</v>
      </c>
      <c r="BY7" s="114" t="s">
        <v>7</v>
      </c>
      <c r="BZ7" s="16"/>
      <c r="CA7" s="17"/>
      <c r="CB7" s="147">
        <v>3328</v>
      </c>
      <c r="CC7" s="114" t="s">
        <v>7</v>
      </c>
      <c r="CD7" s="114" t="s">
        <v>7</v>
      </c>
      <c r="CE7" s="114" t="s">
        <v>7</v>
      </c>
      <c r="CF7" s="114" t="s">
        <v>7</v>
      </c>
      <c r="CG7" s="16"/>
      <c r="CH7" s="17"/>
      <c r="CI7" s="108">
        <v>3336</v>
      </c>
      <c r="CJ7" s="114" t="s">
        <v>7</v>
      </c>
      <c r="CK7" s="114" t="s">
        <v>7</v>
      </c>
      <c r="CL7" s="114" t="s">
        <v>7</v>
      </c>
      <c r="CM7" s="114" t="s">
        <v>7</v>
      </c>
      <c r="CN7" s="16"/>
      <c r="CO7" s="17"/>
      <c r="CP7" s="114" t="s">
        <v>7</v>
      </c>
      <c r="CQ7" s="114" t="s">
        <v>7</v>
      </c>
      <c r="CR7" s="114" t="s">
        <v>7</v>
      </c>
      <c r="CS7" s="114" t="s">
        <v>7</v>
      </c>
      <c r="CT7" s="114" t="s">
        <v>7</v>
      </c>
      <c r="CU7" s="16"/>
      <c r="CV7" s="17"/>
      <c r="CW7" s="114" t="s">
        <v>7</v>
      </c>
      <c r="CX7" s="114" t="s">
        <v>7</v>
      </c>
      <c r="CY7" s="114" t="s">
        <v>7</v>
      </c>
      <c r="CZ7" s="114" t="s">
        <v>7</v>
      </c>
      <c r="DA7" s="114" t="s">
        <v>7</v>
      </c>
      <c r="DB7" s="16"/>
      <c r="DC7" s="17"/>
      <c r="DD7" s="114" t="s">
        <v>7</v>
      </c>
      <c r="DE7" s="114" t="s">
        <v>7</v>
      </c>
      <c r="DF7" s="114" t="s">
        <v>7</v>
      </c>
      <c r="DG7" s="101" t="s">
        <v>9</v>
      </c>
      <c r="DH7" s="101" t="s">
        <v>9</v>
      </c>
      <c r="DI7" s="16"/>
      <c r="DJ7" s="17"/>
      <c r="DK7" s="101" t="s">
        <v>9</v>
      </c>
      <c r="DL7" s="101" t="s">
        <v>9</v>
      </c>
      <c r="DM7" s="101" t="s">
        <v>9</v>
      </c>
    </row>
    <row r="8" spans="1:117" x14ac:dyDescent="0.3">
      <c r="A8" s="144">
        <v>3268</v>
      </c>
      <c r="B8" s="251"/>
      <c r="C8" s="108">
        <v>3336</v>
      </c>
      <c r="D8" s="108">
        <v>3336</v>
      </c>
      <c r="E8" s="108">
        <v>3336</v>
      </c>
      <c r="F8" s="103">
        <v>3328</v>
      </c>
      <c r="G8" s="103">
        <v>3328</v>
      </c>
      <c r="H8" s="16"/>
      <c r="I8" s="17"/>
      <c r="J8" s="108">
        <v>3336</v>
      </c>
      <c r="K8" s="101" t="s">
        <v>9</v>
      </c>
      <c r="L8" s="108">
        <v>3336</v>
      </c>
      <c r="M8" s="103">
        <v>3328</v>
      </c>
      <c r="N8" s="122">
        <v>3300</v>
      </c>
      <c r="O8" s="16"/>
      <c r="P8" s="17"/>
      <c r="Q8" s="108">
        <v>3336</v>
      </c>
      <c r="R8" s="103">
        <v>3328</v>
      </c>
      <c r="S8" s="103">
        <v>3328</v>
      </c>
      <c r="T8" s="101" t="s">
        <v>9</v>
      </c>
      <c r="U8" s="101" t="s">
        <v>9</v>
      </c>
      <c r="V8" s="16"/>
      <c r="W8" s="17"/>
      <c r="X8" s="103">
        <v>3328</v>
      </c>
      <c r="Y8" s="102">
        <v>3268</v>
      </c>
      <c r="Z8" s="103">
        <v>3328</v>
      </c>
      <c r="AA8" s="101" t="s">
        <v>9</v>
      </c>
      <c r="AB8" s="101" t="s">
        <v>9</v>
      </c>
      <c r="AC8" s="16"/>
      <c r="AD8" s="17"/>
      <c r="AE8" s="108">
        <v>3336</v>
      </c>
      <c r="AF8" s="114" t="s">
        <v>7</v>
      </c>
      <c r="AG8" s="105">
        <v>3272</v>
      </c>
      <c r="AH8" s="137" t="s">
        <v>10</v>
      </c>
      <c r="AI8" s="137" t="s">
        <v>10</v>
      </c>
      <c r="AJ8" s="16"/>
      <c r="AK8" s="17"/>
      <c r="AL8" s="103">
        <v>3328</v>
      </c>
      <c r="AM8" s="108">
        <v>3336</v>
      </c>
      <c r="AN8" s="114" t="s">
        <v>7</v>
      </c>
      <c r="AO8" s="114" t="s">
        <v>7</v>
      </c>
      <c r="AP8" s="114" t="s">
        <v>7</v>
      </c>
      <c r="AQ8" s="16"/>
      <c r="AR8" s="17"/>
      <c r="AS8" s="157">
        <v>3351</v>
      </c>
      <c r="AT8" s="114" t="s">
        <v>7</v>
      </c>
      <c r="AU8" s="114" t="s">
        <v>7</v>
      </c>
      <c r="AV8" s="114" t="s">
        <v>7</v>
      </c>
      <c r="AW8" s="101" t="s">
        <v>9</v>
      </c>
      <c r="AX8" s="16"/>
      <c r="AY8" s="17"/>
      <c r="AZ8" s="101" t="s">
        <v>9</v>
      </c>
      <c r="BA8" s="101" t="s">
        <v>9</v>
      </c>
      <c r="BB8" s="101" t="s">
        <v>9</v>
      </c>
      <c r="BC8" s="101" t="s">
        <v>9</v>
      </c>
      <c r="BD8" s="101" t="s">
        <v>9</v>
      </c>
      <c r="BE8" s="16"/>
      <c r="BF8" s="17"/>
      <c r="BG8" s="157">
        <v>3351</v>
      </c>
      <c r="BH8" s="157">
        <v>3351</v>
      </c>
      <c r="BI8" s="114" t="s">
        <v>7</v>
      </c>
      <c r="BJ8" s="114" t="s">
        <v>7</v>
      </c>
      <c r="BK8" s="114" t="s">
        <v>7</v>
      </c>
      <c r="BL8" s="16"/>
      <c r="BM8" s="17"/>
      <c r="BN8" s="157">
        <v>3351</v>
      </c>
      <c r="BO8" s="157">
        <v>3351</v>
      </c>
      <c r="BP8" s="114" t="s">
        <v>7</v>
      </c>
      <c r="BQ8" s="114" t="s">
        <v>7</v>
      </c>
      <c r="BR8" s="114" t="s">
        <v>7</v>
      </c>
      <c r="BS8" s="16"/>
      <c r="BT8" s="17"/>
      <c r="BU8" s="143" t="s">
        <v>9</v>
      </c>
      <c r="BV8" s="157">
        <v>3351</v>
      </c>
      <c r="BW8" s="157">
        <v>3351</v>
      </c>
      <c r="BX8" s="157">
        <v>3351</v>
      </c>
      <c r="BY8" s="114" t="s">
        <v>7</v>
      </c>
      <c r="BZ8" s="16"/>
      <c r="CA8" s="17"/>
      <c r="CB8" s="147">
        <v>3328</v>
      </c>
      <c r="CC8" s="114" t="s">
        <v>7</v>
      </c>
      <c r="CD8" s="114" t="s">
        <v>7</v>
      </c>
      <c r="CE8" s="114" t="s">
        <v>7</v>
      </c>
      <c r="CF8" s="114" t="s">
        <v>7</v>
      </c>
      <c r="CG8" s="16"/>
      <c r="CH8" s="17"/>
      <c r="CI8" s="108">
        <v>3336</v>
      </c>
      <c r="CJ8" s="114" t="s">
        <v>7</v>
      </c>
      <c r="CK8" s="114" t="s">
        <v>7</v>
      </c>
      <c r="CL8" s="143" t="s">
        <v>9</v>
      </c>
      <c r="CM8" s="114" t="s">
        <v>7</v>
      </c>
      <c r="CN8" s="16"/>
      <c r="CO8" s="17"/>
      <c r="CP8" s="114" t="s">
        <v>7</v>
      </c>
      <c r="CQ8" s="114" t="s">
        <v>7</v>
      </c>
      <c r="CR8" s="114" t="s">
        <v>7</v>
      </c>
      <c r="CS8" s="114" t="s">
        <v>7</v>
      </c>
      <c r="CT8" s="114" t="s">
        <v>7</v>
      </c>
      <c r="CU8" s="16"/>
      <c r="CV8" s="17"/>
      <c r="CW8" s="114" t="s">
        <v>7</v>
      </c>
      <c r="CX8" s="114" t="s">
        <v>7</v>
      </c>
      <c r="CY8" s="114" t="s">
        <v>7</v>
      </c>
      <c r="CZ8" s="114" t="s">
        <v>7</v>
      </c>
      <c r="DA8" s="114" t="s">
        <v>7</v>
      </c>
      <c r="DB8" s="16"/>
      <c r="DC8" s="17"/>
      <c r="DD8" s="114" t="s">
        <v>7</v>
      </c>
      <c r="DE8" s="114" t="s">
        <v>7</v>
      </c>
      <c r="DF8" s="114" t="s">
        <v>7</v>
      </c>
      <c r="DG8" s="101" t="s">
        <v>9</v>
      </c>
      <c r="DH8" s="101" t="s">
        <v>9</v>
      </c>
      <c r="DI8" s="16"/>
      <c r="DJ8" s="17"/>
      <c r="DK8" s="101" t="s">
        <v>9</v>
      </c>
      <c r="DL8" s="101" t="s">
        <v>9</v>
      </c>
      <c r="DM8" s="101" t="s">
        <v>9</v>
      </c>
    </row>
    <row r="9" spans="1:117" x14ac:dyDescent="0.3">
      <c r="A9" s="145">
        <v>3335</v>
      </c>
      <c r="B9" s="251"/>
      <c r="C9" s="108">
        <v>3336</v>
      </c>
      <c r="D9" s="108">
        <v>3336</v>
      </c>
      <c r="E9" s="108">
        <v>3336</v>
      </c>
      <c r="F9" s="103">
        <v>3328</v>
      </c>
      <c r="G9" s="103">
        <v>3328</v>
      </c>
      <c r="H9" s="16"/>
      <c r="I9" s="17"/>
      <c r="J9" s="108">
        <v>3336</v>
      </c>
      <c r="K9" s="101" t="s">
        <v>9</v>
      </c>
      <c r="L9" s="108">
        <v>3336</v>
      </c>
      <c r="M9" s="103">
        <v>3328</v>
      </c>
      <c r="N9" s="114" t="s">
        <v>7</v>
      </c>
      <c r="O9" s="16"/>
      <c r="P9" s="17"/>
      <c r="Q9" s="108">
        <v>3336</v>
      </c>
      <c r="R9" s="103">
        <v>3328</v>
      </c>
      <c r="S9" s="103">
        <v>3328</v>
      </c>
      <c r="T9" s="101" t="s">
        <v>9</v>
      </c>
      <c r="U9" s="101" t="s">
        <v>9</v>
      </c>
      <c r="V9" s="16"/>
      <c r="W9" s="17"/>
      <c r="X9" s="103">
        <v>3328</v>
      </c>
      <c r="Y9" s="103">
        <v>3328</v>
      </c>
      <c r="Z9" s="114" t="s">
        <v>7</v>
      </c>
      <c r="AA9" s="101" t="s">
        <v>9</v>
      </c>
      <c r="AB9" s="101" t="s">
        <v>9</v>
      </c>
      <c r="AC9" s="16"/>
      <c r="AD9" s="17"/>
      <c r="AE9" s="114" t="s">
        <v>7</v>
      </c>
      <c r="AF9" s="114" t="s">
        <v>7</v>
      </c>
      <c r="AG9" s="137" t="s">
        <v>10</v>
      </c>
      <c r="AH9" s="137" t="s">
        <v>10</v>
      </c>
      <c r="AI9" s="137" t="s">
        <v>10</v>
      </c>
      <c r="AJ9" s="16"/>
      <c r="AK9" s="17"/>
      <c r="AL9" s="103">
        <v>3328</v>
      </c>
      <c r="AM9" s="108">
        <v>3336</v>
      </c>
      <c r="AN9" s="114" t="s">
        <v>7</v>
      </c>
      <c r="AO9" s="114" t="s">
        <v>7</v>
      </c>
      <c r="AP9" s="114" t="s">
        <v>7</v>
      </c>
      <c r="AQ9" s="16"/>
      <c r="AR9" s="17"/>
      <c r="AS9" s="157">
        <v>3351</v>
      </c>
      <c r="AT9" s="114" t="s">
        <v>7</v>
      </c>
      <c r="AU9" s="114" t="s">
        <v>7</v>
      </c>
      <c r="AV9" s="114" t="s">
        <v>7</v>
      </c>
      <c r="AW9" s="101" t="s">
        <v>9</v>
      </c>
      <c r="AX9" s="16"/>
      <c r="AY9" s="17"/>
      <c r="AZ9" s="101" t="s">
        <v>9</v>
      </c>
      <c r="BA9" s="101" t="s">
        <v>9</v>
      </c>
      <c r="BB9" s="101" t="s">
        <v>9</v>
      </c>
      <c r="BC9" s="101" t="s">
        <v>9</v>
      </c>
      <c r="BD9" s="101" t="s">
        <v>9</v>
      </c>
      <c r="BE9" s="16"/>
      <c r="BF9" s="17"/>
      <c r="BG9" s="157">
        <v>3351</v>
      </c>
      <c r="BH9" s="157">
        <v>3351</v>
      </c>
      <c r="BI9" s="114" t="s">
        <v>7</v>
      </c>
      <c r="BJ9" s="114" t="s">
        <v>7</v>
      </c>
      <c r="BK9" s="114" t="s">
        <v>7</v>
      </c>
      <c r="BL9" s="16"/>
      <c r="BM9" s="17"/>
      <c r="BN9" s="157">
        <v>3351</v>
      </c>
      <c r="BO9" s="157">
        <v>3351</v>
      </c>
      <c r="BP9" s="114" t="s">
        <v>7</v>
      </c>
      <c r="BQ9" s="114" t="s">
        <v>7</v>
      </c>
      <c r="BR9" s="114" t="s">
        <v>7</v>
      </c>
      <c r="BS9" s="16"/>
      <c r="BT9" s="17"/>
      <c r="BU9" s="143" t="s">
        <v>9</v>
      </c>
      <c r="BV9" s="157">
        <v>3351</v>
      </c>
      <c r="BW9" s="157">
        <v>3351</v>
      </c>
      <c r="BX9" s="157">
        <v>3351</v>
      </c>
      <c r="BY9" s="114" t="s">
        <v>7</v>
      </c>
      <c r="BZ9" s="16"/>
      <c r="CA9" s="17"/>
      <c r="CB9" s="150">
        <v>3336</v>
      </c>
      <c r="CC9" s="114" t="s">
        <v>7</v>
      </c>
      <c r="CD9" s="114" t="s">
        <v>7</v>
      </c>
      <c r="CE9" s="114" t="s">
        <v>7</v>
      </c>
      <c r="CF9" s="114" t="s">
        <v>7</v>
      </c>
      <c r="CG9" s="16"/>
      <c r="CH9" s="17"/>
      <c r="CI9" s="108">
        <v>3336</v>
      </c>
      <c r="CJ9" s="114" t="s">
        <v>7</v>
      </c>
      <c r="CK9" s="114" t="s">
        <v>7</v>
      </c>
      <c r="CL9" s="101" t="s">
        <v>9</v>
      </c>
      <c r="CM9" s="114" t="s">
        <v>7</v>
      </c>
      <c r="CN9" s="16"/>
      <c r="CO9" s="17"/>
      <c r="CP9" s="114" t="s">
        <v>7</v>
      </c>
      <c r="CQ9" s="114" t="s">
        <v>7</v>
      </c>
      <c r="CR9" s="114" t="s">
        <v>7</v>
      </c>
      <c r="CS9" s="114" t="s">
        <v>7</v>
      </c>
      <c r="CT9" s="114" t="s">
        <v>7</v>
      </c>
      <c r="CU9" s="16"/>
      <c r="CV9" s="17"/>
      <c r="CW9" s="114" t="s">
        <v>7</v>
      </c>
      <c r="CX9" s="114" t="s">
        <v>7</v>
      </c>
      <c r="CY9" s="114" t="s">
        <v>7</v>
      </c>
      <c r="CZ9" s="114" t="s">
        <v>7</v>
      </c>
      <c r="DA9" s="114" t="s">
        <v>7</v>
      </c>
      <c r="DB9" s="16"/>
      <c r="DC9" s="17"/>
      <c r="DD9" s="114" t="s">
        <v>7</v>
      </c>
      <c r="DE9" s="114" t="s">
        <v>7</v>
      </c>
      <c r="DF9" s="114" t="s">
        <v>7</v>
      </c>
      <c r="DG9" s="101" t="s">
        <v>9</v>
      </c>
      <c r="DH9" s="101" t="s">
        <v>9</v>
      </c>
      <c r="DI9" s="16"/>
      <c r="DJ9" s="17"/>
      <c r="DK9" s="101" t="s">
        <v>9</v>
      </c>
      <c r="DL9" s="101" t="s">
        <v>9</v>
      </c>
      <c r="DM9" s="101" t="s">
        <v>9</v>
      </c>
    </row>
    <row r="10" spans="1:117" x14ac:dyDescent="0.3">
      <c r="A10" s="146">
        <v>3332</v>
      </c>
      <c r="B10" s="251"/>
      <c r="C10" s="107">
        <v>3336</v>
      </c>
      <c r="D10" s="107">
        <v>3336</v>
      </c>
      <c r="E10" s="107">
        <v>3336</v>
      </c>
      <c r="F10" s="103">
        <v>3328</v>
      </c>
      <c r="G10" s="106">
        <v>3264</v>
      </c>
      <c r="H10" s="16"/>
      <c r="I10" s="17"/>
      <c r="J10" s="107">
        <v>3336</v>
      </c>
      <c r="K10" s="101" t="s">
        <v>9</v>
      </c>
      <c r="L10" s="107">
        <v>3336</v>
      </c>
      <c r="M10" s="103">
        <v>3328</v>
      </c>
      <c r="N10" s="110">
        <v>3272</v>
      </c>
      <c r="O10" s="16"/>
      <c r="P10" s="17"/>
      <c r="Q10" s="107">
        <v>3336</v>
      </c>
      <c r="R10" s="103">
        <v>3328</v>
      </c>
      <c r="S10" s="103">
        <v>3328</v>
      </c>
      <c r="T10" s="101" t="s">
        <v>9</v>
      </c>
      <c r="U10" s="101" t="s">
        <v>9</v>
      </c>
      <c r="V10" s="16"/>
      <c r="W10" s="17"/>
      <c r="X10" s="103">
        <v>3328</v>
      </c>
      <c r="Y10" s="103">
        <v>3328</v>
      </c>
      <c r="Z10" s="114" t="s">
        <v>7</v>
      </c>
      <c r="AA10" s="101" t="s">
        <v>9</v>
      </c>
      <c r="AB10" s="101" t="s">
        <v>9</v>
      </c>
      <c r="AC10" s="16"/>
      <c r="AD10" s="17"/>
      <c r="AE10" s="114" t="s">
        <v>7</v>
      </c>
      <c r="AF10" s="114" t="s">
        <v>7</v>
      </c>
      <c r="AG10" s="137" t="s">
        <v>10</v>
      </c>
      <c r="AH10" s="137" t="s">
        <v>10</v>
      </c>
      <c r="AI10" s="137" t="s">
        <v>10</v>
      </c>
      <c r="AJ10" s="16"/>
      <c r="AK10" s="17"/>
      <c r="AL10" s="103">
        <v>3328</v>
      </c>
      <c r="AM10" s="108">
        <v>3336</v>
      </c>
      <c r="AN10" s="114" t="s">
        <v>7</v>
      </c>
      <c r="AO10" s="114" t="s">
        <v>7</v>
      </c>
      <c r="AP10" s="114" t="s">
        <v>7</v>
      </c>
      <c r="AQ10" s="16"/>
      <c r="AR10" s="17"/>
      <c r="AS10" s="157">
        <v>3351</v>
      </c>
      <c r="AT10" s="114" t="s">
        <v>7</v>
      </c>
      <c r="AU10" s="114" t="s">
        <v>7</v>
      </c>
      <c r="AV10" s="114" t="s">
        <v>7</v>
      </c>
      <c r="AW10" s="101" t="s">
        <v>9</v>
      </c>
      <c r="AX10" s="16"/>
      <c r="AY10" s="17"/>
      <c r="AZ10" s="101" t="s">
        <v>9</v>
      </c>
      <c r="BA10" s="101" t="s">
        <v>9</v>
      </c>
      <c r="BB10" s="101" t="s">
        <v>9</v>
      </c>
      <c r="BC10" s="101" t="s">
        <v>9</v>
      </c>
      <c r="BD10" s="101" t="s">
        <v>9</v>
      </c>
      <c r="BE10" s="16"/>
      <c r="BF10" s="17"/>
      <c r="BG10" s="157">
        <v>3351</v>
      </c>
      <c r="BH10" s="157">
        <v>3351</v>
      </c>
      <c r="BI10" s="114" t="s">
        <v>7</v>
      </c>
      <c r="BJ10" s="114" t="s">
        <v>7</v>
      </c>
      <c r="BK10" s="114" t="s">
        <v>7</v>
      </c>
      <c r="BL10" s="16"/>
      <c r="BM10" s="17"/>
      <c r="BN10" s="157">
        <v>3351</v>
      </c>
      <c r="BO10" s="157">
        <v>3351</v>
      </c>
      <c r="BP10" s="114" t="s">
        <v>7</v>
      </c>
      <c r="BQ10" s="114" t="s">
        <v>7</v>
      </c>
      <c r="BR10" s="114" t="s">
        <v>7</v>
      </c>
      <c r="BS10" s="16"/>
      <c r="BT10" s="17"/>
      <c r="BU10" s="143" t="s">
        <v>9</v>
      </c>
      <c r="BV10" s="157">
        <v>3351</v>
      </c>
      <c r="BW10" s="157">
        <v>3351</v>
      </c>
      <c r="BX10" s="157">
        <v>3351</v>
      </c>
      <c r="BY10" s="114" t="s">
        <v>7</v>
      </c>
      <c r="BZ10" s="16"/>
      <c r="CA10" s="17"/>
      <c r="CB10" s="114" t="s">
        <v>7</v>
      </c>
      <c r="CC10" s="114" t="s">
        <v>7</v>
      </c>
      <c r="CD10" s="114" t="s">
        <v>7</v>
      </c>
      <c r="CE10" s="114" t="s">
        <v>7</v>
      </c>
      <c r="CF10" s="114" t="s">
        <v>7</v>
      </c>
      <c r="CG10" s="16"/>
      <c r="CH10" s="17"/>
      <c r="CI10" s="108">
        <v>3336</v>
      </c>
      <c r="CJ10" s="114" t="s">
        <v>7</v>
      </c>
      <c r="CK10" s="114" t="s">
        <v>7</v>
      </c>
      <c r="CL10" s="101" t="s">
        <v>9</v>
      </c>
      <c r="CM10" s="114" t="s">
        <v>7</v>
      </c>
      <c r="CN10" s="16"/>
      <c r="CO10" s="17"/>
      <c r="CP10" s="114" t="s">
        <v>7</v>
      </c>
      <c r="CQ10" s="114" t="s">
        <v>7</v>
      </c>
      <c r="CR10" s="114" t="s">
        <v>7</v>
      </c>
      <c r="CS10" s="114" t="s">
        <v>7</v>
      </c>
      <c r="CT10" s="114" t="s">
        <v>7</v>
      </c>
      <c r="CU10" s="16"/>
      <c r="CV10" s="17"/>
      <c r="CW10" s="114" t="s">
        <v>7</v>
      </c>
      <c r="CX10" s="114" t="s">
        <v>7</v>
      </c>
      <c r="CY10" s="114" t="s">
        <v>7</v>
      </c>
      <c r="CZ10" s="114" t="s">
        <v>7</v>
      </c>
      <c r="DA10" s="114" t="s">
        <v>7</v>
      </c>
      <c r="DB10" s="16"/>
      <c r="DC10" s="17"/>
      <c r="DD10" s="114" t="s">
        <v>7</v>
      </c>
      <c r="DE10" s="114" t="s">
        <v>7</v>
      </c>
      <c r="DF10" s="114" t="s">
        <v>7</v>
      </c>
      <c r="DG10" s="101" t="s">
        <v>9</v>
      </c>
      <c r="DH10" s="101" t="s">
        <v>9</v>
      </c>
      <c r="DI10" s="16"/>
      <c r="DJ10" s="17"/>
      <c r="DK10" s="101" t="s">
        <v>9</v>
      </c>
      <c r="DL10" s="101" t="s">
        <v>9</v>
      </c>
      <c r="DM10" s="101" t="s">
        <v>9</v>
      </c>
    </row>
    <row r="11" spans="1:117" x14ac:dyDescent="0.3">
      <c r="A11" s="147">
        <v>3328</v>
      </c>
      <c r="B11" s="251"/>
      <c r="C11" s="108">
        <v>3336</v>
      </c>
      <c r="D11" s="108">
        <v>3336</v>
      </c>
      <c r="E11" s="109">
        <v>3268</v>
      </c>
      <c r="F11" s="103">
        <v>3328</v>
      </c>
      <c r="G11" s="106">
        <v>3264</v>
      </c>
      <c r="H11" s="16"/>
      <c r="I11" s="17"/>
      <c r="J11" s="108">
        <v>3336</v>
      </c>
      <c r="K11" s="101" t="s">
        <v>9</v>
      </c>
      <c r="L11" s="122">
        <v>3300</v>
      </c>
      <c r="M11" s="103">
        <v>3328</v>
      </c>
      <c r="N11" s="106">
        <v>3264</v>
      </c>
      <c r="O11" s="16"/>
      <c r="P11" s="17"/>
      <c r="Q11" s="108">
        <v>3336</v>
      </c>
      <c r="R11" s="103">
        <v>3328</v>
      </c>
      <c r="S11" s="103">
        <v>3328</v>
      </c>
      <c r="T11" s="101" t="s">
        <v>9</v>
      </c>
      <c r="U11" s="101" t="s">
        <v>9</v>
      </c>
      <c r="V11" s="16"/>
      <c r="W11" s="17"/>
      <c r="X11" s="103">
        <v>3328</v>
      </c>
      <c r="Y11" s="103">
        <v>3328</v>
      </c>
      <c r="Z11" s="106">
        <v>3264</v>
      </c>
      <c r="AA11" s="101" t="s">
        <v>9</v>
      </c>
      <c r="AB11" s="101" t="s">
        <v>9</v>
      </c>
      <c r="AC11" s="16"/>
      <c r="AD11" s="17"/>
      <c r="AE11" s="114" t="s">
        <v>7</v>
      </c>
      <c r="AF11" s="114" t="s">
        <v>7</v>
      </c>
      <c r="AG11" s="137" t="s">
        <v>10</v>
      </c>
      <c r="AH11" s="137" t="s">
        <v>10</v>
      </c>
      <c r="AI11" s="137" t="s">
        <v>10</v>
      </c>
      <c r="AJ11" s="16"/>
      <c r="AK11" s="17"/>
      <c r="AL11" s="103">
        <v>3328</v>
      </c>
      <c r="AM11" s="108">
        <v>3336</v>
      </c>
      <c r="AN11" s="114" t="s">
        <v>7</v>
      </c>
      <c r="AO11" s="114" t="s">
        <v>7</v>
      </c>
      <c r="AP11" s="114" t="s">
        <v>7</v>
      </c>
      <c r="AQ11" s="16"/>
      <c r="AR11" s="17"/>
      <c r="AS11" s="157">
        <v>3351</v>
      </c>
      <c r="AT11" s="114" t="s">
        <v>7</v>
      </c>
      <c r="AU11" s="114" t="s">
        <v>7</v>
      </c>
      <c r="AV11" s="114" t="s">
        <v>7</v>
      </c>
      <c r="AW11" s="101" t="s">
        <v>9</v>
      </c>
      <c r="AX11" s="16"/>
      <c r="AY11" s="17"/>
      <c r="AZ11" s="101" t="s">
        <v>9</v>
      </c>
      <c r="BA11" s="101" t="s">
        <v>9</v>
      </c>
      <c r="BB11" s="101" t="s">
        <v>9</v>
      </c>
      <c r="BC11" s="101" t="s">
        <v>9</v>
      </c>
      <c r="BD11" s="101" t="s">
        <v>9</v>
      </c>
      <c r="BE11" s="16"/>
      <c r="BF11" s="17"/>
      <c r="BG11" s="157">
        <v>3351</v>
      </c>
      <c r="BH11" s="157">
        <v>3351</v>
      </c>
      <c r="BI11" s="114" t="s">
        <v>7</v>
      </c>
      <c r="BJ11" s="114" t="s">
        <v>7</v>
      </c>
      <c r="BK11" s="114" t="s">
        <v>7</v>
      </c>
      <c r="BL11" s="16"/>
      <c r="BM11" s="17"/>
      <c r="BN11" s="157">
        <v>3351</v>
      </c>
      <c r="BO11" s="157">
        <v>3351</v>
      </c>
      <c r="BP11" s="114" t="s">
        <v>7</v>
      </c>
      <c r="BQ11" s="114" t="s">
        <v>7</v>
      </c>
      <c r="BR11" s="114" t="s">
        <v>7</v>
      </c>
      <c r="BS11" s="16"/>
      <c r="BT11" s="17"/>
      <c r="BU11" s="143" t="s">
        <v>9</v>
      </c>
      <c r="BV11" s="157">
        <v>3351</v>
      </c>
      <c r="BW11" s="157">
        <v>3351</v>
      </c>
      <c r="BX11" s="157">
        <v>3351</v>
      </c>
      <c r="BY11" s="114" t="s">
        <v>7</v>
      </c>
      <c r="BZ11" s="16"/>
      <c r="CA11" s="17"/>
      <c r="CB11" s="114" t="s">
        <v>7</v>
      </c>
      <c r="CC11" s="114" t="s">
        <v>7</v>
      </c>
      <c r="CD11" s="114" t="s">
        <v>7</v>
      </c>
      <c r="CE11" s="114" t="s">
        <v>7</v>
      </c>
      <c r="CF11" s="114" t="s">
        <v>7</v>
      </c>
      <c r="CG11" s="16"/>
      <c r="CH11" s="17"/>
      <c r="CI11" s="108">
        <v>3336</v>
      </c>
      <c r="CJ11" s="114" t="s">
        <v>7</v>
      </c>
      <c r="CK11" s="114" t="s">
        <v>7</v>
      </c>
      <c r="CL11" s="101" t="s">
        <v>9</v>
      </c>
      <c r="CM11" s="114" t="s">
        <v>7</v>
      </c>
      <c r="CN11" s="16"/>
      <c r="CO11" s="17"/>
      <c r="CP11" s="114" t="s">
        <v>7</v>
      </c>
      <c r="CQ11" s="114" t="s">
        <v>7</v>
      </c>
      <c r="CR11" s="114" t="s">
        <v>7</v>
      </c>
      <c r="CS11" s="114" t="s">
        <v>7</v>
      </c>
      <c r="CT11" s="114" t="s">
        <v>7</v>
      </c>
      <c r="CU11" s="16"/>
      <c r="CV11" s="17"/>
      <c r="CW11" s="114" t="s">
        <v>7</v>
      </c>
      <c r="CX11" s="114" t="s">
        <v>7</v>
      </c>
      <c r="CY11" s="114" t="s">
        <v>7</v>
      </c>
      <c r="CZ11" s="114" t="s">
        <v>7</v>
      </c>
      <c r="DA11" s="114" t="s">
        <v>7</v>
      </c>
      <c r="DB11" s="16"/>
      <c r="DC11" s="17"/>
      <c r="DD11" s="114" t="s">
        <v>7</v>
      </c>
      <c r="DE11" s="114" t="s">
        <v>7</v>
      </c>
      <c r="DF11" s="114" t="s">
        <v>7</v>
      </c>
      <c r="DG11" s="101" t="s">
        <v>9</v>
      </c>
      <c r="DH11" s="101" t="s">
        <v>9</v>
      </c>
      <c r="DI11" s="16"/>
      <c r="DJ11" s="17"/>
      <c r="DK11" s="101" t="s">
        <v>9</v>
      </c>
      <c r="DL11" s="101" t="s">
        <v>9</v>
      </c>
      <c r="DM11" s="101" t="s">
        <v>9</v>
      </c>
    </row>
    <row r="12" spans="1:117" x14ac:dyDescent="0.3">
      <c r="A12" s="148">
        <v>3346</v>
      </c>
      <c r="B12" s="251"/>
      <c r="C12" s="108">
        <v>3336</v>
      </c>
      <c r="D12" s="108">
        <v>3336</v>
      </c>
      <c r="E12" s="109">
        <v>3268</v>
      </c>
      <c r="F12" s="103">
        <v>3328</v>
      </c>
      <c r="G12" s="110">
        <v>3272</v>
      </c>
      <c r="H12" s="16"/>
      <c r="I12" s="17"/>
      <c r="J12" s="108">
        <v>3336</v>
      </c>
      <c r="K12" s="101" t="s">
        <v>9</v>
      </c>
      <c r="L12" s="122">
        <v>3300</v>
      </c>
      <c r="M12" s="103">
        <v>3328</v>
      </c>
      <c r="N12" s="106">
        <v>3264</v>
      </c>
      <c r="O12" s="16"/>
      <c r="P12" s="17"/>
      <c r="Q12" s="103">
        <v>3328</v>
      </c>
      <c r="R12" s="110">
        <v>3272</v>
      </c>
      <c r="S12" s="103">
        <v>3328</v>
      </c>
      <c r="T12" s="101" t="s">
        <v>9</v>
      </c>
      <c r="U12" s="101" t="s">
        <v>9</v>
      </c>
      <c r="V12" s="16"/>
      <c r="W12" s="17"/>
      <c r="X12" s="103">
        <v>3328</v>
      </c>
      <c r="Y12" s="103">
        <v>3328</v>
      </c>
      <c r="Z12" s="106">
        <v>3264</v>
      </c>
      <c r="AA12" s="101" t="s">
        <v>9</v>
      </c>
      <c r="AB12" s="101" t="s">
        <v>9</v>
      </c>
      <c r="AC12" s="16"/>
      <c r="AD12" s="17"/>
      <c r="AE12" s="114" t="s">
        <v>7</v>
      </c>
      <c r="AF12" s="114" t="s">
        <v>7</v>
      </c>
      <c r="AG12" s="137" t="s">
        <v>10</v>
      </c>
      <c r="AH12" s="137" t="s">
        <v>10</v>
      </c>
      <c r="AI12" s="137" t="s">
        <v>10</v>
      </c>
      <c r="AJ12" s="16"/>
      <c r="AK12" s="17"/>
      <c r="AL12" s="103">
        <v>3328</v>
      </c>
      <c r="AM12" s="108">
        <v>3336</v>
      </c>
      <c r="AN12" s="114" t="s">
        <v>7</v>
      </c>
      <c r="AO12" s="114" t="s">
        <v>7</v>
      </c>
      <c r="AP12" s="114" t="s">
        <v>7</v>
      </c>
      <c r="AQ12" s="16"/>
      <c r="AR12" s="17"/>
      <c r="AS12" s="157">
        <v>3351</v>
      </c>
      <c r="AT12" s="114" t="s">
        <v>7</v>
      </c>
      <c r="AU12" s="114" t="s">
        <v>7</v>
      </c>
      <c r="AV12" s="114" t="s">
        <v>7</v>
      </c>
      <c r="AW12" s="101" t="s">
        <v>9</v>
      </c>
      <c r="AX12" s="16"/>
      <c r="AY12" s="17"/>
      <c r="AZ12" s="101" t="s">
        <v>9</v>
      </c>
      <c r="BA12" s="101" t="s">
        <v>9</v>
      </c>
      <c r="BB12" s="101" t="s">
        <v>9</v>
      </c>
      <c r="BC12" s="101" t="s">
        <v>9</v>
      </c>
      <c r="BD12" s="101" t="s">
        <v>9</v>
      </c>
      <c r="BE12" s="16"/>
      <c r="BF12" s="17"/>
      <c r="BG12" s="157">
        <v>3351</v>
      </c>
      <c r="BH12" s="157">
        <v>3351</v>
      </c>
      <c r="BI12" s="114" t="s">
        <v>7</v>
      </c>
      <c r="BJ12" s="114" t="s">
        <v>7</v>
      </c>
      <c r="BK12" s="114" t="s">
        <v>7</v>
      </c>
      <c r="BL12" s="16"/>
      <c r="BM12" s="17"/>
      <c r="BN12" s="157">
        <v>3351</v>
      </c>
      <c r="BO12" s="157">
        <v>3351</v>
      </c>
      <c r="BP12" s="114" t="s">
        <v>7</v>
      </c>
      <c r="BQ12" s="114" t="s">
        <v>7</v>
      </c>
      <c r="BR12" s="114" t="s">
        <v>7</v>
      </c>
      <c r="BS12" s="16"/>
      <c r="BT12" s="17"/>
      <c r="BU12" s="143" t="s">
        <v>9</v>
      </c>
      <c r="BV12" s="157">
        <v>3351</v>
      </c>
      <c r="BW12" s="157">
        <v>3351</v>
      </c>
      <c r="BX12" s="157">
        <v>3351</v>
      </c>
      <c r="BY12" s="114" t="s">
        <v>7</v>
      </c>
      <c r="BZ12" s="16"/>
      <c r="CA12" s="17"/>
      <c r="CB12" s="114" t="s">
        <v>7</v>
      </c>
      <c r="CC12" s="114" t="s">
        <v>7</v>
      </c>
      <c r="CD12" s="114" t="s">
        <v>7</v>
      </c>
      <c r="CE12" s="114" t="s">
        <v>7</v>
      </c>
      <c r="CF12" s="114" t="s">
        <v>7</v>
      </c>
      <c r="CG12" s="16"/>
      <c r="CH12" s="17"/>
      <c r="CI12" s="114" t="s">
        <v>7</v>
      </c>
      <c r="CJ12" s="114" t="s">
        <v>7</v>
      </c>
      <c r="CK12" s="114" t="s">
        <v>7</v>
      </c>
      <c r="CL12" s="101" t="s">
        <v>9</v>
      </c>
      <c r="CM12" s="114" t="s">
        <v>7</v>
      </c>
      <c r="CN12" s="16"/>
      <c r="CO12" s="17"/>
      <c r="CP12" s="114" t="s">
        <v>7</v>
      </c>
      <c r="CQ12" s="114" t="s">
        <v>7</v>
      </c>
      <c r="CR12" s="114" t="s">
        <v>7</v>
      </c>
      <c r="CS12" s="114" t="s">
        <v>7</v>
      </c>
      <c r="CT12" s="114" t="s">
        <v>7</v>
      </c>
      <c r="CU12" s="16"/>
      <c r="CV12" s="17"/>
      <c r="CW12" s="114" t="s">
        <v>7</v>
      </c>
      <c r="CX12" s="114" t="s">
        <v>7</v>
      </c>
      <c r="CY12" s="114" t="s">
        <v>7</v>
      </c>
      <c r="CZ12" s="114" t="s">
        <v>7</v>
      </c>
      <c r="DA12" s="114" t="s">
        <v>7</v>
      </c>
      <c r="DB12" s="16"/>
      <c r="DC12" s="17"/>
      <c r="DD12" s="114" t="s">
        <v>7</v>
      </c>
      <c r="DE12" s="114" t="s">
        <v>7</v>
      </c>
      <c r="DF12" s="114" t="s">
        <v>7</v>
      </c>
      <c r="DG12" s="101" t="s">
        <v>9</v>
      </c>
      <c r="DH12" s="101" t="s">
        <v>9</v>
      </c>
      <c r="DI12" s="16"/>
      <c r="DJ12" s="17"/>
      <c r="DK12" s="101" t="s">
        <v>9</v>
      </c>
      <c r="DL12" s="101" t="s">
        <v>9</v>
      </c>
      <c r="DM12" s="101" t="s">
        <v>9</v>
      </c>
    </row>
    <row r="13" spans="1:117" x14ac:dyDescent="0.3">
      <c r="A13" s="149">
        <v>3334</v>
      </c>
      <c r="B13" s="251"/>
      <c r="C13" s="100"/>
      <c r="D13" s="23"/>
      <c r="E13" s="16"/>
      <c r="F13" s="23"/>
      <c r="G13" s="16"/>
      <c r="H13" s="16"/>
      <c r="I13" s="17"/>
      <c r="J13" s="18"/>
      <c r="K13" s="16"/>
      <c r="L13" s="16"/>
      <c r="M13" s="16"/>
      <c r="N13" s="16"/>
      <c r="O13" s="16"/>
      <c r="P13" s="17"/>
      <c r="Q13" s="18"/>
      <c r="R13" s="16"/>
      <c r="S13" s="16"/>
      <c r="T13" s="16"/>
      <c r="U13" s="16"/>
      <c r="V13" s="16"/>
      <c r="W13" s="17"/>
      <c r="X13" s="18"/>
      <c r="Y13" s="16"/>
      <c r="Z13" s="16"/>
      <c r="AA13" s="16"/>
      <c r="AB13" s="16"/>
      <c r="AC13" s="16"/>
      <c r="AD13" s="17"/>
      <c r="AE13" s="18"/>
      <c r="AF13" s="16"/>
      <c r="AG13" s="16"/>
      <c r="AH13" s="16"/>
      <c r="AI13" s="16"/>
      <c r="AJ13" s="16"/>
      <c r="AK13" s="17"/>
      <c r="AL13" s="18"/>
      <c r="AM13" s="16"/>
      <c r="AN13" s="16"/>
      <c r="AO13" s="16"/>
      <c r="AP13" s="16"/>
      <c r="AQ13" s="16"/>
      <c r="AR13" s="17"/>
      <c r="AS13" s="18"/>
      <c r="AT13" s="16"/>
      <c r="AU13" s="16"/>
      <c r="AV13" s="16"/>
      <c r="AW13" s="16"/>
      <c r="AX13" s="16"/>
      <c r="AY13" s="17"/>
      <c r="AZ13" s="18"/>
      <c r="BA13" s="16"/>
      <c r="BB13" s="16"/>
      <c r="BC13" s="16"/>
      <c r="BD13" s="16"/>
      <c r="BE13" s="16"/>
      <c r="BF13" s="17"/>
      <c r="BG13" s="18"/>
      <c r="BH13" s="16"/>
      <c r="BI13" s="16"/>
      <c r="BJ13" s="16"/>
      <c r="BK13" s="16"/>
      <c r="BL13" s="16"/>
      <c r="BM13" s="17"/>
      <c r="BN13" s="18"/>
      <c r="BO13" s="16"/>
      <c r="BP13" s="16"/>
      <c r="BQ13" s="16"/>
      <c r="BR13" s="16"/>
      <c r="BS13" s="16"/>
      <c r="BT13" s="17"/>
      <c r="BU13" s="18"/>
      <c r="BV13" s="16"/>
      <c r="BW13" s="16"/>
      <c r="BX13" s="16"/>
      <c r="BY13" s="16"/>
      <c r="BZ13" s="16"/>
      <c r="CA13" s="17"/>
      <c r="CB13" s="18"/>
      <c r="CC13" s="16"/>
      <c r="CD13" s="16"/>
      <c r="CE13" s="16"/>
      <c r="CF13" s="16"/>
      <c r="CG13" s="16"/>
      <c r="CH13" s="17"/>
      <c r="CI13" s="18"/>
      <c r="CJ13" s="16"/>
      <c r="CK13" s="16"/>
      <c r="CL13" s="16"/>
      <c r="CM13" s="16"/>
      <c r="CN13" s="16"/>
      <c r="CO13" s="17"/>
      <c r="CP13" s="18"/>
      <c r="CQ13" s="16"/>
      <c r="CR13" s="16"/>
      <c r="CS13" s="16"/>
      <c r="CT13" s="16"/>
      <c r="CU13" s="16"/>
      <c r="CV13" s="17"/>
      <c r="CW13" s="18"/>
      <c r="CX13" s="16"/>
      <c r="CY13" s="16"/>
      <c r="CZ13" s="16"/>
      <c r="DA13" s="16"/>
      <c r="DB13" s="16"/>
      <c r="DC13" s="17"/>
      <c r="DD13" s="18"/>
      <c r="DE13" s="16"/>
      <c r="DF13" s="16"/>
      <c r="DG13" s="16"/>
      <c r="DH13" s="16"/>
      <c r="DI13" s="16"/>
      <c r="DJ13" s="17"/>
      <c r="DK13" s="18"/>
      <c r="DL13" s="16"/>
      <c r="DM13" s="16"/>
    </row>
    <row r="14" spans="1:117" x14ac:dyDescent="0.3">
      <c r="A14" s="150">
        <v>3336</v>
      </c>
      <c r="B14" s="251"/>
      <c r="C14" s="18"/>
      <c r="D14" s="16"/>
      <c r="E14" s="16"/>
      <c r="F14" s="16"/>
      <c r="G14" s="16"/>
      <c r="H14" s="16"/>
      <c r="I14" s="17"/>
      <c r="J14" s="18"/>
      <c r="K14" s="16"/>
      <c r="L14" s="16"/>
      <c r="M14" s="16"/>
      <c r="N14" s="16"/>
      <c r="O14" s="16"/>
      <c r="P14" s="17"/>
      <c r="Q14" s="18"/>
      <c r="R14" s="16"/>
      <c r="S14" s="16"/>
      <c r="T14" s="16"/>
      <c r="U14" s="16"/>
      <c r="V14" s="16"/>
      <c r="W14" s="17"/>
      <c r="X14" s="18"/>
      <c r="Y14" s="16"/>
      <c r="Z14" s="16"/>
      <c r="AA14" s="16"/>
      <c r="AB14" s="16"/>
      <c r="AC14" s="16"/>
      <c r="AD14" s="17"/>
      <c r="AE14" s="18"/>
      <c r="AF14" s="16"/>
      <c r="AG14" s="16"/>
      <c r="AH14" s="16"/>
      <c r="AI14" s="16"/>
      <c r="AJ14" s="16"/>
      <c r="AK14" s="17"/>
      <c r="AL14" s="18"/>
      <c r="AM14" s="16"/>
      <c r="AN14" s="16"/>
      <c r="AO14" s="16"/>
      <c r="AP14" s="16"/>
      <c r="AQ14" s="16"/>
      <c r="AR14" s="17"/>
      <c r="AS14" s="18"/>
      <c r="AT14" s="16"/>
      <c r="AU14" s="16"/>
      <c r="AV14" s="16"/>
      <c r="AW14" s="16"/>
      <c r="AX14" s="16"/>
      <c r="AY14" s="17"/>
      <c r="AZ14" s="18"/>
      <c r="BA14" s="16"/>
      <c r="BB14" s="16"/>
      <c r="BC14" s="16"/>
      <c r="BD14" s="16"/>
      <c r="BE14" s="16"/>
      <c r="BF14" s="17"/>
      <c r="BG14" s="18"/>
      <c r="BH14" s="16"/>
      <c r="BI14" s="16"/>
      <c r="BJ14" s="16"/>
      <c r="BK14" s="16"/>
      <c r="BL14" s="16"/>
      <c r="BM14" s="17"/>
      <c r="BN14" s="18"/>
      <c r="BO14" s="16"/>
      <c r="BP14" s="16"/>
      <c r="BQ14" s="16"/>
      <c r="BR14" s="16"/>
      <c r="BS14" s="16"/>
      <c r="BT14" s="17"/>
      <c r="BU14" s="18"/>
      <c r="BV14" s="16"/>
      <c r="BW14" s="16"/>
      <c r="BX14" s="16"/>
      <c r="BY14" s="16"/>
      <c r="BZ14" s="16"/>
      <c r="CA14" s="17"/>
      <c r="CB14" s="18"/>
      <c r="CC14" s="16"/>
      <c r="CD14" s="16"/>
      <c r="CE14" s="16"/>
      <c r="CF14" s="16"/>
      <c r="CG14" s="16"/>
      <c r="CH14" s="17"/>
      <c r="CI14" s="18"/>
      <c r="CJ14" s="16"/>
      <c r="CK14" s="16"/>
      <c r="CL14" s="16"/>
      <c r="CM14" s="16"/>
      <c r="CN14" s="16"/>
      <c r="CO14" s="17"/>
      <c r="CP14" s="18"/>
      <c r="CQ14" s="16"/>
      <c r="CR14" s="16"/>
      <c r="CS14" s="16"/>
      <c r="CT14" s="16"/>
      <c r="CU14" s="16"/>
      <c r="CV14" s="17"/>
      <c r="CW14" s="18"/>
      <c r="CX14" s="16"/>
      <c r="CY14" s="16"/>
      <c r="CZ14" s="16"/>
      <c r="DA14" s="16"/>
      <c r="DB14" s="16"/>
      <c r="DC14" s="17"/>
      <c r="DD14" s="18"/>
      <c r="DE14" s="16"/>
      <c r="DF14" s="16"/>
      <c r="DG14" s="16"/>
      <c r="DH14" s="16"/>
      <c r="DI14" s="16"/>
      <c r="DJ14" s="17"/>
      <c r="DK14" s="18"/>
      <c r="DL14" s="16"/>
      <c r="DM14" s="16"/>
    </row>
    <row r="15" spans="1:117" x14ac:dyDescent="0.3">
      <c r="A15" s="151">
        <v>3272</v>
      </c>
      <c r="B15" s="252"/>
      <c r="C15" s="21"/>
      <c r="D15" s="19"/>
      <c r="E15" s="19"/>
      <c r="F15" s="19"/>
      <c r="G15" s="19"/>
      <c r="H15" s="19"/>
      <c r="I15" s="20"/>
      <c r="J15" s="21"/>
      <c r="K15" s="19"/>
      <c r="L15" s="19"/>
      <c r="M15" s="19"/>
      <c r="N15" s="19"/>
      <c r="O15" s="19"/>
      <c r="P15" s="20"/>
      <c r="Q15" s="21"/>
      <c r="R15" s="19"/>
      <c r="S15" s="19"/>
      <c r="T15" s="19"/>
      <c r="U15" s="19"/>
      <c r="V15" s="19"/>
      <c r="W15" s="20"/>
      <c r="X15" s="21"/>
      <c r="Y15" s="19"/>
      <c r="Z15" s="19"/>
      <c r="AA15" s="19"/>
      <c r="AB15" s="19"/>
      <c r="AC15" s="19"/>
      <c r="AD15" s="20"/>
      <c r="AE15" s="21"/>
      <c r="AF15" s="19"/>
      <c r="AG15" s="19"/>
      <c r="AH15" s="19"/>
      <c r="AI15" s="19"/>
      <c r="AJ15" s="19"/>
      <c r="AK15" s="20"/>
      <c r="AL15" s="21"/>
      <c r="AM15" s="19"/>
      <c r="AN15" s="19"/>
      <c r="AO15" s="19"/>
      <c r="AP15" s="19"/>
      <c r="AQ15" s="19"/>
      <c r="AR15" s="20"/>
      <c r="AS15" s="21"/>
      <c r="AT15" s="19"/>
      <c r="AU15" s="19"/>
      <c r="AV15" s="19"/>
      <c r="AW15" s="19"/>
      <c r="AX15" s="19"/>
      <c r="AY15" s="20"/>
      <c r="AZ15" s="21"/>
      <c r="BA15" s="19"/>
      <c r="BB15" s="19"/>
      <c r="BC15" s="19"/>
      <c r="BD15" s="19"/>
      <c r="BE15" s="19"/>
      <c r="BF15" s="20"/>
      <c r="BG15" s="21"/>
      <c r="BH15" s="19"/>
      <c r="BI15" s="19"/>
      <c r="BJ15" s="19"/>
      <c r="BK15" s="19"/>
      <c r="BL15" s="19"/>
      <c r="BM15" s="20"/>
      <c r="BN15" s="21"/>
      <c r="BO15" s="19"/>
      <c r="BP15" s="19"/>
      <c r="BQ15" s="19"/>
      <c r="BR15" s="19"/>
      <c r="BS15" s="19"/>
      <c r="BT15" s="20"/>
      <c r="BU15" s="21"/>
      <c r="BV15" s="19"/>
      <c r="BW15" s="19"/>
      <c r="BX15" s="19"/>
      <c r="BY15" s="19"/>
      <c r="BZ15" s="19"/>
      <c r="CA15" s="20"/>
      <c r="CB15" s="21"/>
      <c r="CC15" s="19"/>
      <c r="CD15" s="19"/>
      <c r="CE15" s="19"/>
      <c r="CF15" s="19"/>
      <c r="CG15" s="19"/>
      <c r="CH15" s="20"/>
      <c r="CI15" s="21"/>
      <c r="CJ15" s="19"/>
      <c r="CK15" s="19"/>
      <c r="CL15" s="19"/>
      <c r="CM15" s="19"/>
      <c r="CN15" s="19"/>
      <c r="CO15" s="20"/>
      <c r="CP15" s="21"/>
      <c r="CQ15" s="19"/>
      <c r="CR15" s="19"/>
      <c r="CS15" s="19"/>
      <c r="CT15" s="19"/>
      <c r="CU15" s="19"/>
      <c r="CV15" s="20"/>
      <c r="CW15" s="21"/>
      <c r="CX15" s="19"/>
      <c r="CY15" s="19"/>
      <c r="CZ15" s="19"/>
      <c r="DA15" s="19"/>
      <c r="DB15" s="19"/>
      <c r="DC15" s="20"/>
      <c r="DD15" s="21"/>
      <c r="DE15" s="19"/>
      <c r="DF15" s="19"/>
      <c r="DG15" s="19"/>
      <c r="DH15" s="19"/>
      <c r="DI15" s="19"/>
      <c r="DJ15" s="20"/>
      <c r="DK15" s="21"/>
      <c r="DL15" s="19"/>
      <c r="DM15" s="19"/>
    </row>
    <row r="16" spans="1:117" x14ac:dyDescent="0.3">
      <c r="A16" s="152">
        <v>3340</v>
      </c>
      <c r="B16" s="250" t="s">
        <v>12</v>
      </c>
      <c r="C16" s="11">
        <v>3332</v>
      </c>
      <c r="D16" s="11">
        <v>3332</v>
      </c>
      <c r="E16" s="113" t="s">
        <v>7</v>
      </c>
      <c r="F16" s="103">
        <v>3328</v>
      </c>
      <c r="G16" s="103">
        <v>3328</v>
      </c>
      <c r="H16" s="13"/>
      <c r="I16" s="14"/>
      <c r="J16" s="101" t="s">
        <v>9</v>
      </c>
      <c r="K16" s="101" t="s">
        <v>9</v>
      </c>
      <c r="L16" s="103">
        <v>3328</v>
      </c>
      <c r="M16" s="11">
        <v>3332</v>
      </c>
      <c r="N16" s="123">
        <v>3335</v>
      </c>
      <c r="O16" s="13"/>
      <c r="P16" s="14"/>
      <c r="Q16" s="103">
        <v>3328</v>
      </c>
      <c r="R16" s="11">
        <v>3332</v>
      </c>
      <c r="S16" s="123">
        <v>3335</v>
      </c>
      <c r="T16" s="113" t="s">
        <v>7</v>
      </c>
      <c r="U16" s="113" t="s">
        <v>7</v>
      </c>
      <c r="V16" s="13"/>
      <c r="W16" s="14"/>
      <c r="X16" s="103">
        <v>3328</v>
      </c>
      <c r="Y16" s="137" t="s">
        <v>10</v>
      </c>
      <c r="Z16" s="137" t="s">
        <v>10</v>
      </c>
      <c r="AA16" s="137" t="s">
        <v>10</v>
      </c>
      <c r="AB16" s="137" t="s">
        <v>10</v>
      </c>
      <c r="AC16" s="13"/>
      <c r="AD16" s="14"/>
      <c r="AE16" s="137" t="s">
        <v>10</v>
      </c>
      <c r="AF16" s="137" t="s">
        <v>10</v>
      </c>
      <c r="AG16" s="137" t="s">
        <v>10</v>
      </c>
      <c r="AH16" s="137" t="s">
        <v>10</v>
      </c>
      <c r="AI16" s="137" t="s">
        <v>10</v>
      </c>
      <c r="AJ16" s="13"/>
      <c r="AK16" s="14"/>
      <c r="AL16" s="137" t="s">
        <v>10</v>
      </c>
      <c r="AM16" s="137" t="s">
        <v>10</v>
      </c>
      <c r="AN16" s="114" t="s">
        <v>7</v>
      </c>
      <c r="AO16" s="114" t="s">
        <v>7</v>
      </c>
      <c r="AP16" s="114" t="s">
        <v>7</v>
      </c>
      <c r="AQ16" s="13"/>
      <c r="AR16" s="14"/>
      <c r="AS16" s="103">
        <v>3328</v>
      </c>
      <c r="AT16" s="114" t="s">
        <v>7</v>
      </c>
      <c r="AU16" s="114" t="s">
        <v>7</v>
      </c>
      <c r="AV16" s="114" t="s">
        <v>7</v>
      </c>
      <c r="AW16" s="114" t="s">
        <v>7</v>
      </c>
      <c r="AX16" s="13"/>
      <c r="AY16" s="14"/>
      <c r="AZ16" s="114" t="s">
        <v>7</v>
      </c>
      <c r="BA16" s="114" t="s">
        <v>7</v>
      </c>
      <c r="BB16" s="114" t="s">
        <v>7</v>
      </c>
      <c r="BC16" s="114" t="s">
        <v>7</v>
      </c>
      <c r="BD16" s="101" t="s">
        <v>9</v>
      </c>
      <c r="BE16" s="13"/>
      <c r="BF16" s="14"/>
      <c r="BG16" s="101" t="s">
        <v>9</v>
      </c>
      <c r="BH16" s="114" t="s">
        <v>7</v>
      </c>
      <c r="BI16" s="114" t="s">
        <v>7</v>
      </c>
      <c r="BJ16" s="114" t="s">
        <v>7</v>
      </c>
      <c r="BK16" s="114" t="s">
        <v>7</v>
      </c>
      <c r="BL16" s="13"/>
      <c r="BM16" s="14"/>
      <c r="BN16" s="114" t="s">
        <v>7</v>
      </c>
      <c r="BO16" s="114" t="s">
        <v>7</v>
      </c>
      <c r="BP16" s="114" t="s">
        <v>7</v>
      </c>
      <c r="BQ16" s="114" t="s">
        <v>7</v>
      </c>
      <c r="BR16" s="114" t="s">
        <v>7</v>
      </c>
      <c r="BS16" s="13"/>
      <c r="BT16" s="14"/>
      <c r="BU16" s="143" t="s">
        <v>9</v>
      </c>
      <c r="BV16" s="114" t="s">
        <v>7</v>
      </c>
      <c r="BW16" s="114" t="s">
        <v>7</v>
      </c>
      <c r="BX16" s="114" t="s">
        <v>7</v>
      </c>
      <c r="BY16" s="114" t="s">
        <v>7</v>
      </c>
      <c r="BZ16" s="13"/>
      <c r="CA16" s="14"/>
      <c r="CB16" s="162">
        <v>3321</v>
      </c>
      <c r="CC16" s="162">
        <v>3321</v>
      </c>
      <c r="CD16" s="114" t="s">
        <v>7</v>
      </c>
      <c r="CE16" s="114" t="s">
        <v>7</v>
      </c>
      <c r="CF16" s="145">
        <v>3335</v>
      </c>
      <c r="CG16" s="13"/>
      <c r="CH16" s="14"/>
      <c r="CI16" s="162">
        <v>3321</v>
      </c>
      <c r="CJ16" s="147">
        <v>3328</v>
      </c>
      <c r="CK16" s="114" t="s">
        <v>7</v>
      </c>
      <c r="CL16" s="114" t="s">
        <v>7</v>
      </c>
      <c r="CM16" s="114" t="s">
        <v>7</v>
      </c>
      <c r="CN16" s="13"/>
      <c r="CO16" s="14"/>
      <c r="CP16" s="114" t="s">
        <v>7</v>
      </c>
      <c r="CQ16" s="114" t="s">
        <v>7</v>
      </c>
      <c r="CR16" s="114" t="s">
        <v>7</v>
      </c>
      <c r="CS16" s="114" t="s">
        <v>7</v>
      </c>
      <c r="CT16" s="114" t="s">
        <v>7</v>
      </c>
      <c r="CU16" s="13"/>
      <c r="CV16" s="14"/>
      <c r="CW16" s="145">
        <v>3335</v>
      </c>
      <c r="CX16" s="114" t="s">
        <v>7</v>
      </c>
      <c r="CY16" s="114" t="s">
        <v>7</v>
      </c>
      <c r="CZ16" s="114" t="s">
        <v>7</v>
      </c>
      <c r="DA16" s="114" t="s">
        <v>7</v>
      </c>
      <c r="DB16" s="13"/>
      <c r="DC16" s="14"/>
      <c r="DD16" s="146">
        <v>3332</v>
      </c>
      <c r="DE16" s="146">
        <v>3332</v>
      </c>
      <c r="DF16" s="145">
        <v>3335</v>
      </c>
      <c r="DG16" s="101" t="s">
        <v>9</v>
      </c>
      <c r="DH16" s="101" t="s">
        <v>9</v>
      </c>
      <c r="DI16" s="13"/>
      <c r="DJ16" s="14"/>
      <c r="DK16" s="101" t="s">
        <v>9</v>
      </c>
      <c r="DL16" s="101" t="s">
        <v>9</v>
      </c>
      <c r="DM16" s="101" t="s">
        <v>9</v>
      </c>
    </row>
    <row r="17" spans="1:117" x14ac:dyDescent="0.3">
      <c r="A17" s="153">
        <v>3300</v>
      </c>
      <c r="B17" s="251"/>
      <c r="C17" s="11">
        <v>3332</v>
      </c>
      <c r="D17" s="11">
        <v>3332</v>
      </c>
      <c r="E17" s="114" t="s">
        <v>7</v>
      </c>
      <c r="F17" s="103">
        <v>3328</v>
      </c>
      <c r="G17" s="103">
        <v>3328</v>
      </c>
      <c r="H17" s="16"/>
      <c r="I17" s="17"/>
      <c r="J17" s="101" t="s">
        <v>9</v>
      </c>
      <c r="K17" s="101" t="s">
        <v>9</v>
      </c>
      <c r="L17" s="103">
        <v>3328</v>
      </c>
      <c r="M17" s="11">
        <v>3332</v>
      </c>
      <c r="N17" s="114" t="s">
        <v>7</v>
      </c>
      <c r="O17" s="16"/>
      <c r="P17" s="17"/>
      <c r="Q17" s="103">
        <v>3328</v>
      </c>
      <c r="R17" s="11">
        <v>3332</v>
      </c>
      <c r="S17" s="123">
        <v>3335</v>
      </c>
      <c r="T17" s="114" t="s">
        <v>7</v>
      </c>
      <c r="U17" s="114" t="s">
        <v>7</v>
      </c>
      <c r="V17" s="16"/>
      <c r="W17" s="17"/>
      <c r="X17" s="103">
        <v>3328</v>
      </c>
      <c r="Y17" s="137" t="s">
        <v>10</v>
      </c>
      <c r="Z17" s="137" t="s">
        <v>10</v>
      </c>
      <c r="AA17" s="137" t="s">
        <v>10</v>
      </c>
      <c r="AB17" s="137" t="s">
        <v>10</v>
      </c>
      <c r="AC17" s="16"/>
      <c r="AD17" s="17"/>
      <c r="AE17" s="137" t="s">
        <v>10</v>
      </c>
      <c r="AF17" s="137" t="s">
        <v>10</v>
      </c>
      <c r="AG17" s="137" t="s">
        <v>10</v>
      </c>
      <c r="AH17" s="137" t="s">
        <v>10</v>
      </c>
      <c r="AI17" s="137" t="s">
        <v>10</v>
      </c>
      <c r="AJ17" s="16"/>
      <c r="AK17" s="17"/>
      <c r="AL17" s="137" t="s">
        <v>10</v>
      </c>
      <c r="AM17" s="137" t="s">
        <v>10</v>
      </c>
      <c r="AN17" s="114" t="s">
        <v>7</v>
      </c>
      <c r="AO17" s="114" t="s">
        <v>7</v>
      </c>
      <c r="AP17" s="114" t="s">
        <v>7</v>
      </c>
      <c r="AQ17" s="16"/>
      <c r="AR17" s="17"/>
      <c r="AS17" s="114" t="s">
        <v>7</v>
      </c>
      <c r="AT17" s="114" t="s">
        <v>7</v>
      </c>
      <c r="AU17" s="114" t="s">
        <v>7</v>
      </c>
      <c r="AV17" s="114" t="s">
        <v>7</v>
      </c>
      <c r="AW17" s="114" t="s">
        <v>7</v>
      </c>
      <c r="AX17" s="16"/>
      <c r="AY17" s="17"/>
      <c r="AZ17" s="114" t="s">
        <v>7</v>
      </c>
      <c r="BA17" s="114" t="s">
        <v>7</v>
      </c>
      <c r="BB17" s="114" t="s">
        <v>7</v>
      </c>
      <c r="BC17" s="114" t="s">
        <v>7</v>
      </c>
      <c r="BD17" s="101" t="s">
        <v>9</v>
      </c>
      <c r="BE17" s="16"/>
      <c r="BF17" s="17"/>
      <c r="BG17" s="101" t="s">
        <v>9</v>
      </c>
      <c r="BH17" s="114" t="s">
        <v>7</v>
      </c>
      <c r="BI17" s="114" t="s">
        <v>7</v>
      </c>
      <c r="BJ17" s="114" t="s">
        <v>7</v>
      </c>
      <c r="BK17" s="114" t="s">
        <v>7</v>
      </c>
      <c r="BL17" s="16"/>
      <c r="BM17" s="17"/>
      <c r="BN17" s="114" t="s">
        <v>7</v>
      </c>
      <c r="BO17" s="114" t="s">
        <v>7</v>
      </c>
      <c r="BP17" s="114" t="s">
        <v>7</v>
      </c>
      <c r="BQ17" s="114" t="s">
        <v>7</v>
      </c>
      <c r="BR17" s="114" t="s">
        <v>7</v>
      </c>
      <c r="BS17" s="16"/>
      <c r="BT17" s="17"/>
      <c r="BU17" s="143" t="s">
        <v>9</v>
      </c>
      <c r="BV17" s="114" t="s">
        <v>7</v>
      </c>
      <c r="BW17" s="114" t="s">
        <v>7</v>
      </c>
      <c r="BX17" s="114" t="s">
        <v>7</v>
      </c>
      <c r="BY17" s="114" t="s">
        <v>7</v>
      </c>
      <c r="BZ17" s="16"/>
      <c r="CA17" s="17"/>
      <c r="CB17" s="162">
        <v>3321</v>
      </c>
      <c r="CC17" s="162">
        <v>3321</v>
      </c>
      <c r="CD17" s="114" t="s">
        <v>7</v>
      </c>
      <c r="CE17" s="114" t="s">
        <v>7</v>
      </c>
      <c r="CF17" s="145">
        <v>3335</v>
      </c>
      <c r="CG17" s="16"/>
      <c r="CH17" s="17"/>
      <c r="CI17" s="162">
        <v>3321</v>
      </c>
      <c r="CJ17" s="149">
        <v>3334</v>
      </c>
      <c r="CK17" s="114" t="s">
        <v>7</v>
      </c>
      <c r="CL17" s="114" t="s">
        <v>7</v>
      </c>
      <c r="CM17" s="114" t="s">
        <v>7</v>
      </c>
      <c r="CN17" s="16"/>
      <c r="CO17" s="17"/>
      <c r="CP17" s="114" t="s">
        <v>7</v>
      </c>
      <c r="CQ17" s="114" t="s">
        <v>7</v>
      </c>
      <c r="CR17" s="114" t="s">
        <v>7</v>
      </c>
      <c r="CS17" s="114" t="s">
        <v>7</v>
      </c>
      <c r="CT17" s="114" t="s">
        <v>7</v>
      </c>
      <c r="CU17" s="16"/>
      <c r="CV17" s="17"/>
      <c r="CW17" s="114" t="s">
        <v>7</v>
      </c>
      <c r="CX17" s="114" t="s">
        <v>7</v>
      </c>
      <c r="CY17" s="114" t="s">
        <v>7</v>
      </c>
      <c r="CZ17" s="114" t="s">
        <v>7</v>
      </c>
      <c r="DA17" s="114" t="s">
        <v>7</v>
      </c>
      <c r="DB17" s="16"/>
      <c r="DC17" s="17"/>
      <c r="DD17" s="146">
        <v>3332</v>
      </c>
      <c r="DE17" s="146">
        <v>3332</v>
      </c>
      <c r="DF17" s="145">
        <v>3335</v>
      </c>
      <c r="DG17" s="101" t="s">
        <v>9</v>
      </c>
      <c r="DH17" s="101" t="s">
        <v>9</v>
      </c>
      <c r="DI17" s="16"/>
      <c r="DJ17" s="17"/>
      <c r="DK17" s="101" t="s">
        <v>9</v>
      </c>
      <c r="DL17" s="101" t="s">
        <v>9</v>
      </c>
      <c r="DM17" s="101" t="s">
        <v>9</v>
      </c>
    </row>
    <row r="18" spans="1:117" x14ac:dyDescent="0.3">
      <c r="A18" s="154">
        <v>3331</v>
      </c>
      <c r="B18" s="251"/>
      <c r="C18" s="11">
        <v>3332</v>
      </c>
      <c r="D18" s="11">
        <v>3332</v>
      </c>
      <c r="E18" s="114" t="s">
        <v>7</v>
      </c>
      <c r="F18" s="103">
        <v>3328</v>
      </c>
      <c r="G18" s="103">
        <v>3328</v>
      </c>
      <c r="H18" s="16"/>
      <c r="I18" s="17"/>
      <c r="J18" s="101" t="s">
        <v>9</v>
      </c>
      <c r="K18" s="101" t="s">
        <v>9</v>
      </c>
      <c r="L18" s="103">
        <v>3328</v>
      </c>
      <c r="M18" s="11">
        <v>3332</v>
      </c>
      <c r="N18" s="114" t="s">
        <v>7</v>
      </c>
      <c r="O18" s="16"/>
      <c r="P18" s="17"/>
      <c r="Q18" s="103">
        <v>3328</v>
      </c>
      <c r="R18" s="11">
        <v>3332</v>
      </c>
      <c r="S18" s="123">
        <v>3335</v>
      </c>
      <c r="T18" s="114" t="s">
        <v>7</v>
      </c>
      <c r="U18" s="114" t="s">
        <v>7</v>
      </c>
      <c r="V18" s="16"/>
      <c r="W18" s="17"/>
      <c r="X18" s="107">
        <v>3336</v>
      </c>
      <c r="Y18" s="137" t="s">
        <v>10</v>
      </c>
      <c r="Z18" s="137" t="s">
        <v>10</v>
      </c>
      <c r="AA18" s="137" t="s">
        <v>10</v>
      </c>
      <c r="AB18" s="137" t="s">
        <v>10</v>
      </c>
      <c r="AC18" s="16"/>
      <c r="AD18" s="17"/>
      <c r="AE18" s="137" t="s">
        <v>10</v>
      </c>
      <c r="AF18" s="137" t="s">
        <v>10</v>
      </c>
      <c r="AG18" s="137" t="s">
        <v>10</v>
      </c>
      <c r="AH18" s="137" t="s">
        <v>10</v>
      </c>
      <c r="AI18" s="137" t="s">
        <v>10</v>
      </c>
      <c r="AJ18" s="16"/>
      <c r="AK18" s="17"/>
      <c r="AL18" s="137" t="s">
        <v>10</v>
      </c>
      <c r="AM18" s="137" t="s">
        <v>10</v>
      </c>
      <c r="AN18" s="114" t="s">
        <v>7</v>
      </c>
      <c r="AO18" s="114" t="s">
        <v>7</v>
      </c>
      <c r="AP18" s="114" t="s">
        <v>7</v>
      </c>
      <c r="AQ18" s="16"/>
      <c r="AR18" s="17"/>
      <c r="AS18" s="114" t="s">
        <v>7</v>
      </c>
      <c r="AT18" s="114" t="s">
        <v>7</v>
      </c>
      <c r="AU18" s="114" t="s">
        <v>7</v>
      </c>
      <c r="AV18" s="114" t="s">
        <v>7</v>
      </c>
      <c r="AW18" s="114" t="s">
        <v>7</v>
      </c>
      <c r="AX18" s="16"/>
      <c r="AY18" s="17"/>
      <c r="AZ18" s="114" t="s">
        <v>7</v>
      </c>
      <c r="BA18" s="114" t="s">
        <v>7</v>
      </c>
      <c r="BB18" s="114" t="s">
        <v>7</v>
      </c>
      <c r="BC18" s="114" t="s">
        <v>7</v>
      </c>
      <c r="BD18" s="101" t="s">
        <v>9</v>
      </c>
      <c r="BE18" s="16"/>
      <c r="BF18" s="17"/>
      <c r="BG18" s="101" t="s">
        <v>9</v>
      </c>
      <c r="BH18" s="114" t="s">
        <v>7</v>
      </c>
      <c r="BI18" s="114" t="s">
        <v>7</v>
      </c>
      <c r="BJ18" s="114" t="s">
        <v>7</v>
      </c>
      <c r="BK18" s="114" t="s">
        <v>7</v>
      </c>
      <c r="BL18" s="16"/>
      <c r="BM18" s="17"/>
      <c r="BN18" s="114" t="s">
        <v>7</v>
      </c>
      <c r="BO18" s="114" t="s">
        <v>7</v>
      </c>
      <c r="BP18" s="114" t="s">
        <v>7</v>
      </c>
      <c r="BQ18" s="114" t="s">
        <v>7</v>
      </c>
      <c r="BR18" s="114" t="s">
        <v>7</v>
      </c>
      <c r="BS18" s="16"/>
      <c r="BT18" s="17"/>
      <c r="BU18" s="143" t="s">
        <v>9</v>
      </c>
      <c r="BV18" s="114" t="s">
        <v>7</v>
      </c>
      <c r="BW18" s="114" t="s">
        <v>7</v>
      </c>
      <c r="BX18" s="114" t="s">
        <v>7</v>
      </c>
      <c r="BY18" s="114" t="s">
        <v>7</v>
      </c>
      <c r="BZ18" s="16"/>
      <c r="CA18" s="17"/>
      <c r="CB18" s="162">
        <v>3321</v>
      </c>
      <c r="CC18" s="162">
        <v>3321</v>
      </c>
      <c r="CD18" s="114" t="s">
        <v>7</v>
      </c>
      <c r="CE18" s="114" t="s">
        <v>7</v>
      </c>
      <c r="CF18" s="114" t="s">
        <v>7</v>
      </c>
      <c r="CG18" s="16"/>
      <c r="CH18" s="17"/>
      <c r="CI18" s="162">
        <v>3321</v>
      </c>
      <c r="CJ18" s="149">
        <v>3334</v>
      </c>
      <c r="CK18" s="114" t="s">
        <v>7</v>
      </c>
      <c r="CL18" s="114" t="s">
        <v>7</v>
      </c>
      <c r="CM18" s="114" t="s">
        <v>7</v>
      </c>
      <c r="CN18" s="16"/>
      <c r="CO18" s="17"/>
      <c r="CP18" s="114" t="s">
        <v>7</v>
      </c>
      <c r="CQ18" s="114" t="s">
        <v>7</v>
      </c>
      <c r="CR18" s="114" t="s">
        <v>7</v>
      </c>
      <c r="CS18" s="114" t="s">
        <v>7</v>
      </c>
      <c r="CT18" s="114" t="s">
        <v>7</v>
      </c>
      <c r="CU18" s="16"/>
      <c r="CV18" s="17"/>
      <c r="CW18" s="114" t="s">
        <v>7</v>
      </c>
      <c r="CX18" s="114" t="s">
        <v>7</v>
      </c>
      <c r="CY18" s="114" t="s">
        <v>7</v>
      </c>
      <c r="CZ18" s="114" t="s">
        <v>7</v>
      </c>
      <c r="DA18" s="114" t="s">
        <v>7</v>
      </c>
      <c r="DB18" s="16"/>
      <c r="DC18" s="17"/>
      <c r="DD18" s="146">
        <v>3332</v>
      </c>
      <c r="DE18" s="146">
        <v>3332</v>
      </c>
      <c r="DF18" s="149">
        <v>3334</v>
      </c>
      <c r="DG18" s="101" t="s">
        <v>9</v>
      </c>
      <c r="DH18" s="101" t="s">
        <v>9</v>
      </c>
      <c r="DI18" s="16"/>
      <c r="DJ18" s="17"/>
      <c r="DK18" s="101" t="s">
        <v>9</v>
      </c>
      <c r="DL18" s="101" t="s">
        <v>9</v>
      </c>
      <c r="DM18" s="101" t="s">
        <v>9</v>
      </c>
    </row>
    <row r="19" spans="1:117" x14ac:dyDescent="0.3">
      <c r="A19" s="155">
        <v>3341</v>
      </c>
      <c r="B19" s="251"/>
      <c r="C19" s="11">
        <v>3332</v>
      </c>
      <c r="D19" s="11">
        <v>3332</v>
      </c>
      <c r="E19" s="114" t="s">
        <v>7</v>
      </c>
      <c r="F19" s="103">
        <v>3328</v>
      </c>
      <c r="G19" s="103">
        <v>3328</v>
      </c>
      <c r="H19" s="16"/>
      <c r="I19" s="17"/>
      <c r="J19" s="101" t="s">
        <v>9</v>
      </c>
      <c r="K19" s="101" t="s">
        <v>9</v>
      </c>
      <c r="L19" s="103">
        <v>3328</v>
      </c>
      <c r="M19" s="11">
        <v>3332</v>
      </c>
      <c r="N19" s="114" t="s">
        <v>7</v>
      </c>
      <c r="O19" s="16"/>
      <c r="P19" s="17"/>
      <c r="Q19" s="103">
        <v>3328</v>
      </c>
      <c r="R19" s="11">
        <v>3332</v>
      </c>
      <c r="S19" s="123">
        <v>3335</v>
      </c>
      <c r="T19" s="114" t="s">
        <v>7</v>
      </c>
      <c r="U19" s="114" t="s">
        <v>7</v>
      </c>
      <c r="V19" s="16"/>
      <c r="W19" s="17"/>
      <c r="X19" s="108">
        <v>3336</v>
      </c>
      <c r="Y19" s="137" t="s">
        <v>10</v>
      </c>
      <c r="Z19" s="137" t="s">
        <v>10</v>
      </c>
      <c r="AA19" s="137" t="s">
        <v>10</v>
      </c>
      <c r="AB19" s="137" t="s">
        <v>10</v>
      </c>
      <c r="AC19" s="16"/>
      <c r="AD19" s="17"/>
      <c r="AE19" s="137" t="s">
        <v>10</v>
      </c>
      <c r="AF19" s="137" t="s">
        <v>10</v>
      </c>
      <c r="AG19" s="137" t="s">
        <v>10</v>
      </c>
      <c r="AH19" s="137" t="s">
        <v>10</v>
      </c>
      <c r="AI19" s="137" t="s">
        <v>10</v>
      </c>
      <c r="AJ19" s="16"/>
      <c r="AK19" s="17"/>
      <c r="AL19" s="137" t="s">
        <v>10</v>
      </c>
      <c r="AM19" s="137" t="s">
        <v>10</v>
      </c>
      <c r="AN19" s="114" t="s">
        <v>7</v>
      </c>
      <c r="AO19" s="114" t="s">
        <v>7</v>
      </c>
      <c r="AP19" s="114" t="s">
        <v>7</v>
      </c>
      <c r="AQ19" s="16"/>
      <c r="AR19" s="17"/>
      <c r="AS19" s="114" t="s">
        <v>7</v>
      </c>
      <c r="AT19" s="114" t="s">
        <v>7</v>
      </c>
      <c r="AU19" s="114" t="s">
        <v>7</v>
      </c>
      <c r="AV19" s="114" t="s">
        <v>7</v>
      </c>
      <c r="AW19" s="114" t="s">
        <v>7</v>
      </c>
      <c r="AX19" s="16"/>
      <c r="AY19" s="17"/>
      <c r="AZ19" s="114" t="s">
        <v>7</v>
      </c>
      <c r="BA19" s="114" t="s">
        <v>7</v>
      </c>
      <c r="BB19" s="114" t="s">
        <v>7</v>
      </c>
      <c r="BC19" s="114" t="s">
        <v>7</v>
      </c>
      <c r="BD19" s="101" t="s">
        <v>9</v>
      </c>
      <c r="BE19" s="16"/>
      <c r="BF19" s="17"/>
      <c r="BG19" s="101" t="s">
        <v>9</v>
      </c>
      <c r="BH19" s="114" t="s">
        <v>7</v>
      </c>
      <c r="BI19" s="114" t="s">
        <v>7</v>
      </c>
      <c r="BJ19" s="114" t="s">
        <v>7</v>
      </c>
      <c r="BK19" s="114" t="s">
        <v>7</v>
      </c>
      <c r="BL19" s="16"/>
      <c r="BM19" s="17"/>
      <c r="BN19" s="114" t="s">
        <v>7</v>
      </c>
      <c r="BO19" s="114" t="s">
        <v>7</v>
      </c>
      <c r="BP19" s="114" t="s">
        <v>7</v>
      </c>
      <c r="BQ19" s="114" t="s">
        <v>7</v>
      </c>
      <c r="BR19" s="114" t="s">
        <v>7</v>
      </c>
      <c r="BS19" s="16"/>
      <c r="BT19" s="17"/>
      <c r="BU19" s="143" t="s">
        <v>9</v>
      </c>
      <c r="BV19" s="114" t="s">
        <v>7</v>
      </c>
      <c r="BW19" s="114" t="s">
        <v>7</v>
      </c>
      <c r="BX19" s="114" t="s">
        <v>7</v>
      </c>
      <c r="BY19" s="114" t="s">
        <v>7</v>
      </c>
      <c r="BZ19" s="16"/>
      <c r="CA19" s="17"/>
      <c r="CB19" s="162">
        <v>3321</v>
      </c>
      <c r="CC19" s="162">
        <v>3321</v>
      </c>
      <c r="CD19" s="114" t="s">
        <v>7</v>
      </c>
      <c r="CE19" s="114" t="s">
        <v>7</v>
      </c>
      <c r="CF19" s="114" t="s">
        <v>7</v>
      </c>
      <c r="CG19" s="16"/>
      <c r="CH19" s="17"/>
      <c r="CI19" s="162">
        <v>3321</v>
      </c>
      <c r="CJ19" s="145">
        <v>3335</v>
      </c>
      <c r="CK19" s="114" t="s">
        <v>7</v>
      </c>
      <c r="CL19" s="114" t="s">
        <v>7</v>
      </c>
      <c r="CM19" s="114" t="s">
        <v>7</v>
      </c>
      <c r="CN19" s="16"/>
      <c r="CO19" s="17"/>
      <c r="CP19" s="114" t="s">
        <v>7</v>
      </c>
      <c r="CQ19" s="114" t="s">
        <v>7</v>
      </c>
      <c r="CR19" s="114" t="s">
        <v>7</v>
      </c>
      <c r="CS19" s="114" t="s">
        <v>7</v>
      </c>
      <c r="CT19" s="114" t="s">
        <v>7</v>
      </c>
      <c r="CU19" s="16"/>
      <c r="CV19" s="17"/>
      <c r="CW19" s="114" t="s">
        <v>7</v>
      </c>
      <c r="CX19" s="114" t="s">
        <v>7</v>
      </c>
      <c r="CY19" s="114" t="s">
        <v>7</v>
      </c>
      <c r="CZ19" s="114" t="s">
        <v>7</v>
      </c>
      <c r="DA19" s="114" t="s">
        <v>7</v>
      </c>
      <c r="DB19" s="16"/>
      <c r="DC19" s="17"/>
      <c r="DD19" s="146">
        <v>3332</v>
      </c>
      <c r="DE19" s="146">
        <v>3332</v>
      </c>
      <c r="DF19" s="114" t="s">
        <v>7</v>
      </c>
      <c r="DG19" s="101" t="s">
        <v>9</v>
      </c>
      <c r="DH19" s="101" t="s">
        <v>9</v>
      </c>
      <c r="DI19" s="16"/>
      <c r="DJ19" s="17"/>
      <c r="DK19" s="101" t="s">
        <v>9</v>
      </c>
      <c r="DL19" s="101" t="s">
        <v>9</v>
      </c>
      <c r="DM19" s="101" t="s">
        <v>9</v>
      </c>
    </row>
    <row r="20" spans="1:117" x14ac:dyDescent="0.3">
      <c r="A20" s="156">
        <v>3351</v>
      </c>
      <c r="B20" s="253"/>
      <c r="C20" s="11">
        <v>3332</v>
      </c>
      <c r="D20" s="11">
        <v>3332</v>
      </c>
      <c r="E20" s="114" t="s">
        <v>7</v>
      </c>
      <c r="F20" s="103">
        <v>3328</v>
      </c>
      <c r="G20" s="103">
        <v>3328</v>
      </c>
      <c r="H20" s="16"/>
      <c r="I20" s="17"/>
      <c r="J20" s="101" t="s">
        <v>9</v>
      </c>
      <c r="K20" s="101" t="s">
        <v>9</v>
      </c>
      <c r="L20" s="103">
        <v>3328</v>
      </c>
      <c r="M20" s="11">
        <v>3332</v>
      </c>
      <c r="N20" s="114" t="s">
        <v>7</v>
      </c>
      <c r="O20" s="16"/>
      <c r="P20" s="17"/>
      <c r="Q20" s="114" t="s">
        <v>7</v>
      </c>
      <c r="R20" s="11">
        <v>3332</v>
      </c>
      <c r="S20" s="123">
        <v>3335</v>
      </c>
      <c r="T20" s="114" t="s">
        <v>7</v>
      </c>
      <c r="U20" s="114" t="s">
        <v>7</v>
      </c>
      <c r="V20" s="16"/>
      <c r="W20" s="17"/>
      <c r="X20" s="135">
        <v>3334</v>
      </c>
      <c r="Y20" s="137" t="s">
        <v>10</v>
      </c>
      <c r="Z20" s="137" t="s">
        <v>10</v>
      </c>
      <c r="AA20" s="137" t="s">
        <v>10</v>
      </c>
      <c r="AB20" s="137" t="s">
        <v>10</v>
      </c>
      <c r="AC20" s="16"/>
      <c r="AD20" s="17"/>
      <c r="AE20" s="137" t="s">
        <v>10</v>
      </c>
      <c r="AF20" s="137" t="s">
        <v>10</v>
      </c>
      <c r="AG20" s="137" t="s">
        <v>10</v>
      </c>
      <c r="AH20" s="137" t="s">
        <v>10</v>
      </c>
      <c r="AI20" s="137" t="s">
        <v>10</v>
      </c>
      <c r="AJ20" s="16"/>
      <c r="AK20" s="17"/>
      <c r="AL20" s="137" t="s">
        <v>10</v>
      </c>
      <c r="AM20" s="137" t="s">
        <v>10</v>
      </c>
      <c r="AN20" s="114" t="s">
        <v>7</v>
      </c>
      <c r="AO20" s="114" t="s">
        <v>7</v>
      </c>
      <c r="AP20" s="114" t="s">
        <v>7</v>
      </c>
      <c r="AQ20" s="16"/>
      <c r="AR20" s="17"/>
      <c r="AS20" s="114" t="s">
        <v>7</v>
      </c>
      <c r="AT20" s="114" t="s">
        <v>7</v>
      </c>
      <c r="AU20" s="114" t="s">
        <v>7</v>
      </c>
      <c r="AV20" s="114" t="s">
        <v>7</v>
      </c>
      <c r="AW20" s="114" t="s">
        <v>7</v>
      </c>
      <c r="AX20" s="16"/>
      <c r="AY20" s="17"/>
      <c r="AZ20" s="114" t="s">
        <v>7</v>
      </c>
      <c r="BA20" s="114" t="s">
        <v>7</v>
      </c>
      <c r="BB20" s="114" t="s">
        <v>7</v>
      </c>
      <c r="BC20" s="114" t="s">
        <v>7</v>
      </c>
      <c r="BD20" s="101" t="s">
        <v>9</v>
      </c>
      <c r="BE20" s="16"/>
      <c r="BF20" s="17"/>
      <c r="BG20" s="101" t="s">
        <v>9</v>
      </c>
      <c r="BH20" s="114" t="s">
        <v>7</v>
      </c>
      <c r="BI20" s="114" t="s">
        <v>7</v>
      </c>
      <c r="BJ20" s="114" t="s">
        <v>7</v>
      </c>
      <c r="BK20" s="114" t="s">
        <v>7</v>
      </c>
      <c r="BL20" s="16"/>
      <c r="BM20" s="17"/>
      <c r="BN20" s="114" t="s">
        <v>7</v>
      </c>
      <c r="BO20" s="114" t="s">
        <v>7</v>
      </c>
      <c r="BP20" s="114" t="s">
        <v>7</v>
      </c>
      <c r="BQ20" s="114" t="s">
        <v>7</v>
      </c>
      <c r="BR20" s="114" t="s">
        <v>7</v>
      </c>
      <c r="BS20" s="16"/>
      <c r="BT20" s="17"/>
      <c r="BU20" s="143" t="s">
        <v>9</v>
      </c>
      <c r="BV20" s="114" t="s">
        <v>7</v>
      </c>
      <c r="BW20" s="114" t="s">
        <v>7</v>
      </c>
      <c r="BX20" s="114" t="s">
        <v>7</v>
      </c>
      <c r="BY20" s="114" t="s">
        <v>7</v>
      </c>
      <c r="BZ20" s="16"/>
      <c r="CA20" s="17"/>
      <c r="CB20" s="162">
        <v>3321</v>
      </c>
      <c r="CC20" s="162">
        <v>3321</v>
      </c>
      <c r="CD20" s="114" t="s">
        <v>7</v>
      </c>
      <c r="CE20" s="114" t="s">
        <v>7</v>
      </c>
      <c r="CF20" s="114" t="s">
        <v>7</v>
      </c>
      <c r="CG20" s="16"/>
      <c r="CH20" s="17"/>
      <c r="CI20" s="162">
        <v>3321</v>
      </c>
      <c r="CJ20" s="145">
        <v>3335</v>
      </c>
      <c r="CK20" s="114" t="s">
        <v>7</v>
      </c>
      <c r="CL20" s="143" t="s">
        <v>9</v>
      </c>
      <c r="CM20" s="114" t="s">
        <v>7</v>
      </c>
      <c r="CN20" s="16"/>
      <c r="CO20" s="17"/>
      <c r="CP20" s="114" t="s">
        <v>7</v>
      </c>
      <c r="CQ20" s="114" t="s">
        <v>7</v>
      </c>
      <c r="CR20" s="114" t="s">
        <v>7</v>
      </c>
      <c r="CS20" s="114" t="s">
        <v>7</v>
      </c>
      <c r="CT20" s="114" t="s">
        <v>7</v>
      </c>
      <c r="CU20" s="16"/>
      <c r="CV20" s="17"/>
      <c r="CW20" s="114" t="s">
        <v>7</v>
      </c>
      <c r="CX20" s="114" t="s">
        <v>7</v>
      </c>
      <c r="CY20" s="114" t="s">
        <v>7</v>
      </c>
      <c r="CZ20" s="114" t="s">
        <v>7</v>
      </c>
      <c r="DA20" s="114" t="s">
        <v>7</v>
      </c>
      <c r="DB20" s="16"/>
      <c r="DC20" s="17"/>
      <c r="DD20" s="146">
        <v>3332</v>
      </c>
      <c r="DE20" s="146">
        <v>3332</v>
      </c>
      <c r="DF20" s="114" t="s">
        <v>7</v>
      </c>
      <c r="DG20" s="101" t="s">
        <v>9</v>
      </c>
      <c r="DH20" s="101" t="s">
        <v>9</v>
      </c>
      <c r="DI20" s="16"/>
      <c r="DJ20" s="17"/>
      <c r="DK20" s="101" t="s">
        <v>9</v>
      </c>
      <c r="DL20" s="101" t="s">
        <v>9</v>
      </c>
      <c r="DM20" s="101" t="s">
        <v>9</v>
      </c>
    </row>
    <row r="21" spans="1:117" x14ac:dyDescent="0.3">
      <c r="A21" s="162">
        <v>3321</v>
      </c>
      <c r="B21" s="253"/>
      <c r="C21" s="11">
        <v>3332</v>
      </c>
      <c r="D21" s="11">
        <v>3332</v>
      </c>
      <c r="E21" s="114" t="s">
        <v>7</v>
      </c>
      <c r="F21" s="103">
        <v>3328</v>
      </c>
      <c r="G21" s="103">
        <v>3328</v>
      </c>
      <c r="H21" s="16"/>
      <c r="I21" s="17"/>
      <c r="J21" s="101" t="s">
        <v>9</v>
      </c>
      <c r="K21" s="101" t="s">
        <v>9</v>
      </c>
      <c r="L21" s="103">
        <v>3328</v>
      </c>
      <c r="M21" s="11">
        <v>3332</v>
      </c>
      <c r="N21" s="114" t="s">
        <v>7</v>
      </c>
      <c r="O21" s="16"/>
      <c r="P21" s="17"/>
      <c r="Q21" s="114" t="s">
        <v>7</v>
      </c>
      <c r="R21" s="11">
        <v>3332</v>
      </c>
      <c r="S21" s="123">
        <v>3335</v>
      </c>
      <c r="T21" s="114" t="s">
        <v>7</v>
      </c>
      <c r="U21" s="114" t="s">
        <v>7</v>
      </c>
      <c r="V21" s="16"/>
      <c r="W21" s="17"/>
      <c r="X21" s="135">
        <v>3334</v>
      </c>
      <c r="Y21" s="137" t="s">
        <v>10</v>
      </c>
      <c r="Z21" s="137" t="s">
        <v>10</v>
      </c>
      <c r="AA21" s="137" t="s">
        <v>10</v>
      </c>
      <c r="AB21" s="137" t="s">
        <v>10</v>
      </c>
      <c r="AC21" s="16"/>
      <c r="AD21" s="17"/>
      <c r="AE21" s="137" t="s">
        <v>10</v>
      </c>
      <c r="AF21" s="137" t="s">
        <v>10</v>
      </c>
      <c r="AG21" s="137" t="s">
        <v>10</v>
      </c>
      <c r="AH21" s="137" t="s">
        <v>10</v>
      </c>
      <c r="AI21" s="137" t="s">
        <v>10</v>
      </c>
      <c r="AJ21" s="16"/>
      <c r="AK21" s="17"/>
      <c r="AL21" s="137" t="s">
        <v>10</v>
      </c>
      <c r="AM21" s="137" t="s">
        <v>10</v>
      </c>
      <c r="AN21" s="114" t="s">
        <v>7</v>
      </c>
      <c r="AO21" s="114" t="s">
        <v>7</v>
      </c>
      <c r="AP21" s="114" t="s">
        <v>7</v>
      </c>
      <c r="AQ21" s="16"/>
      <c r="AR21" s="17"/>
      <c r="AS21" s="114" t="s">
        <v>7</v>
      </c>
      <c r="AT21" s="114" t="s">
        <v>7</v>
      </c>
      <c r="AU21" s="114" t="s">
        <v>7</v>
      </c>
      <c r="AV21" s="114" t="s">
        <v>7</v>
      </c>
      <c r="AW21" s="114" t="s">
        <v>7</v>
      </c>
      <c r="AX21" s="16"/>
      <c r="AY21" s="17"/>
      <c r="AZ21" s="114" t="s">
        <v>7</v>
      </c>
      <c r="BA21" s="114" t="s">
        <v>7</v>
      </c>
      <c r="BB21" s="114" t="s">
        <v>7</v>
      </c>
      <c r="BC21" s="114" t="s">
        <v>7</v>
      </c>
      <c r="BD21" s="101" t="s">
        <v>9</v>
      </c>
      <c r="BE21" s="16"/>
      <c r="BF21" s="17"/>
      <c r="BG21" s="101" t="s">
        <v>9</v>
      </c>
      <c r="BH21" s="114" t="s">
        <v>7</v>
      </c>
      <c r="BI21" s="114" t="s">
        <v>7</v>
      </c>
      <c r="BJ21" s="114" t="s">
        <v>7</v>
      </c>
      <c r="BK21" s="114" t="s">
        <v>7</v>
      </c>
      <c r="BL21" s="16"/>
      <c r="BM21" s="17"/>
      <c r="BN21" s="114" t="s">
        <v>7</v>
      </c>
      <c r="BO21" s="114" t="s">
        <v>7</v>
      </c>
      <c r="BP21" s="114" t="s">
        <v>7</v>
      </c>
      <c r="BQ21" s="114" t="s">
        <v>7</v>
      </c>
      <c r="BR21" s="114" t="s">
        <v>7</v>
      </c>
      <c r="BS21" s="16"/>
      <c r="BT21" s="17"/>
      <c r="BU21" s="143" t="s">
        <v>9</v>
      </c>
      <c r="BV21" s="114" t="s">
        <v>7</v>
      </c>
      <c r="BW21" s="114" t="s">
        <v>7</v>
      </c>
      <c r="BX21" s="114" t="s">
        <v>7</v>
      </c>
      <c r="BY21" s="114" t="s">
        <v>7</v>
      </c>
      <c r="BZ21" s="16"/>
      <c r="CA21" s="17"/>
      <c r="CB21" s="162">
        <v>3321</v>
      </c>
      <c r="CC21" s="162">
        <v>3321</v>
      </c>
      <c r="CD21" s="114" t="s">
        <v>7</v>
      </c>
      <c r="CE21" s="114" t="s">
        <v>7</v>
      </c>
      <c r="CF21" s="114" t="s">
        <v>7</v>
      </c>
      <c r="CG21" s="16"/>
      <c r="CH21" s="17"/>
      <c r="CI21" s="162">
        <v>3321</v>
      </c>
      <c r="CJ21" s="114" t="s">
        <v>7</v>
      </c>
      <c r="CK21" s="114" t="s">
        <v>7</v>
      </c>
      <c r="CL21" s="101" t="s">
        <v>9</v>
      </c>
      <c r="CM21" s="114" t="s">
        <v>7</v>
      </c>
      <c r="CN21" s="16"/>
      <c r="CO21" s="17"/>
      <c r="CP21" s="114" t="s">
        <v>7</v>
      </c>
      <c r="CQ21" s="114" t="s">
        <v>7</v>
      </c>
      <c r="CR21" s="114" t="s">
        <v>7</v>
      </c>
      <c r="CS21" s="114" t="s">
        <v>7</v>
      </c>
      <c r="CT21" s="114" t="s">
        <v>7</v>
      </c>
      <c r="CU21" s="16"/>
      <c r="CV21" s="17"/>
      <c r="CW21" s="114" t="s">
        <v>7</v>
      </c>
      <c r="CX21" s="114" t="s">
        <v>7</v>
      </c>
      <c r="CY21" s="114" t="s">
        <v>7</v>
      </c>
      <c r="CZ21" s="114" t="s">
        <v>7</v>
      </c>
      <c r="DA21" s="114" t="s">
        <v>7</v>
      </c>
      <c r="DB21" s="16"/>
      <c r="DC21" s="17"/>
      <c r="DD21" s="146">
        <v>3332</v>
      </c>
      <c r="DE21" s="146">
        <v>3332</v>
      </c>
      <c r="DF21" s="114" t="s">
        <v>7</v>
      </c>
      <c r="DG21" s="101" t="s">
        <v>9</v>
      </c>
      <c r="DH21" s="101" t="s">
        <v>9</v>
      </c>
      <c r="DI21" s="16"/>
      <c r="DJ21" s="17"/>
      <c r="DK21" s="101" t="s">
        <v>9</v>
      </c>
      <c r="DL21" s="101" t="s">
        <v>9</v>
      </c>
      <c r="DM21" s="101" t="s">
        <v>9</v>
      </c>
    </row>
    <row r="22" spans="1:117" x14ac:dyDescent="0.3">
      <c r="A22" s="32"/>
      <c r="B22" s="253"/>
      <c r="C22" s="11">
        <v>3332</v>
      </c>
      <c r="D22" s="11">
        <v>3332</v>
      </c>
      <c r="E22" s="114" t="s">
        <v>7</v>
      </c>
      <c r="F22" s="103">
        <v>3328</v>
      </c>
      <c r="G22" s="103">
        <v>3328</v>
      </c>
      <c r="H22" s="16"/>
      <c r="I22" s="17"/>
      <c r="J22" s="101" t="s">
        <v>9</v>
      </c>
      <c r="K22" s="101" t="s">
        <v>9</v>
      </c>
      <c r="L22" s="103">
        <v>3328</v>
      </c>
      <c r="M22" s="11">
        <v>3332</v>
      </c>
      <c r="N22" s="114" t="s">
        <v>7</v>
      </c>
      <c r="O22" s="16"/>
      <c r="P22" s="17"/>
      <c r="Q22" s="114" t="s">
        <v>7</v>
      </c>
      <c r="R22" s="11">
        <v>3332</v>
      </c>
      <c r="S22" s="114" t="s">
        <v>7</v>
      </c>
      <c r="T22" s="114" t="s">
        <v>7</v>
      </c>
      <c r="U22" s="114" t="s">
        <v>7</v>
      </c>
      <c r="V22" s="16"/>
      <c r="W22" s="17"/>
      <c r="X22" s="135">
        <v>3334</v>
      </c>
      <c r="Y22" s="137" t="s">
        <v>10</v>
      </c>
      <c r="Z22" s="137" t="s">
        <v>10</v>
      </c>
      <c r="AA22" s="137" t="s">
        <v>10</v>
      </c>
      <c r="AB22" s="137" t="s">
        <v>10</v>
      </c>
      <c r="AC22" s="16"/>
      <c r="AD22" s="17"/>
      <c r="AE22" s="137" t="s">
        <v>10</v>
      </c>
      <c r="AF22" s="137" t="s">
        <v>10</v>
      </c>
      <c r="AG22" s="137" t="s">
        <v>10</v>
      </c>
      <c r="AH22" s="137" t="s">
        <v>10</v>
      </c>
      <c r="AI22" s="137" t="s">
        <v>10</v>
      </c>
      <c r="AJ22" s="16"/>
      <c r="AK22" s="17"/>
      <c r="AL22" s="137" t="s">
        <v>10</v>
      </c>
      <c r="AM22" s="137" t="s">
        <v>10</v>
      </c>
      <c r="AN22" s="114" t="s">
        <v>7</v>
      </c>
      <c r="AO22" s="114" t="s">
        <v>7</v>
      </c>
      <c r="AP22" s="114" t="s">
        <v>7</v>
      </c>
      <c r="AQ22" s="16"/>
      <c r="AR22" s="17"/>
      <c r="AS22" s="114" t="s">
        <v>7</v>
      </c>
      <c r="AT22" s="114" t="s">
        <v>7</v>
      </c>
      <c r="AU22" s="114" t="s">
        <v>7</v>
      </c>
      <c r="AV22" s="114" t="s">
        <v>7</v>
      </c>
      <c r="AW22" s="114" t="s">
        <v>7</v>
      </c>
      <c r="AX22" s="16"/>
      <c r="AY22" s="17"/>
      <c r="AZ22" s="114" t="s">
        <v>7</v>
      </c>
      <c r="BA22" s="114" t="s">
        <v>7</v>
      </c>
      <c r="BB22" s="114" t="s">
        <v>7</v>
      </c>
      <c r="BC22" s="114" t="s">
        <v>7</v>
      </c>
      <c r="BD22" s="101" t="s">
        <v>9</v>
      </c>
      <c r="BE22" s="16"/>
      <c r="BF22" s="17"/>
      <c r="BG22" s="101" t="s">
        <v>9</v>
      </c>
      <c r="BH22" s="114" t="s">
        <v>7</v>
      </c>
      <c r="BI22" s="114" t="s">
        <v>7</v>
      </c>
      <c r="BJ22" s="114" t="s">
        <v>7</v>
      </c>
      <c r="BK22" s="114" t="s">
        <v>7</v>
      </c>
      <c r="BL22" s="16"/>
      <c r="BM22" s="17"/>
      <c r="BN22" s="114" t="s">
        <v>7</v>
      </c>
      <c r="BO22" s="114" t="s">
        <v>7</v>
      </c>
      <c r="BP22" s="114" t="s">
        <v>7</v>
      </c>
      <c r="BQ22" s="114" t="s">
        <v>7</v>
      </c>
      <c r="BR22" s="114" t="s">
        <v>7</v>
      </c>
      <c r="BS22" s="16"/>
      <c r="BT22" s="17"/>
      <c r="BU22" s="143" t="s">
        <v>9</v>
      </c>
      <c r="BV22" s="114" t="s">
        <v>7</v>
      </c>
      <c r="BW22" s="114" t="s">
        <v>7</v>
      </c>
      <c r="BX22" s="114" t="s">
        <v>7</v>
      </c>
      <c r="BY22" s="114" t="s">
        <v>7</v>
      </c>
      <c r="BZ22" s="16"/>
      <c r="CA22" s="17"/>
      <c r="CB22" s="162">
        <v>3321</v>
      </c>
      <c r="CC22" s="162">
        <v>3321</v>
      </c>
      <c r="CD22" s="114" t="s">
        <v>7</v>
      </c>
      <c r="CE22" s="114" t="s">
        <v>7</v>
      </c>
      <c r="CF22" s="114" t="s">
        <v>7</v>
      </c>
      <c r="CG22" s="16"/>
      <c r="CH22" s="17"/>
      <c r="CI22" s="162">
        <v>3321</v>
      </c>
      <c r="CJ22" s="114" t="s">
        <v>7</v>
      </c>
      <c r="CK22" s="114" t="s">
        <v>7</v>
      </c>
      <c r="CL22" s="101" t="s">
        <v>9</v>
      </c>
      <c r="CM22" s="114" t="s">
        <v>7</v>
      </c>
      <c r="CN22" s="16"/>
      <c r="CO22" s="17"/>
      <c r="CP22" s="114" t="s">
        <v>7</v>
      </c>
      <c r="CQ22" s="114" t="s">
        <v>7</v>
      </c>
      <c r="CR22" s="114" t="s">
        <v>7</v>
      </c>
      <c r="CS22" s="114" t="s">
        <v>7</v>
      </c>
      <c r="CT22" s="114" t="s">
        <v>7</v>
      </c>
      <c r="CU22" s="16"/>
      <c r="CV22" s="17"/>
      <c r="CW22" s="114" t="s">
        <v>7</v>
      </c>
      <c r="CX22" s="114" t="s">
        <v>7</v>
      </c>
      <c r="CY22" s="114" t="s">
        <v>7</v>
      </c>
      <c r="CZ22" s="114" t="s">
        <v>7</v>
      </c>
      <c r="DA22" s="114" t="s">
        <v>7</v>
      </c>
      <c r="DB22" s="16"/>
      <c r="DC22" s="17"/>
      <c r="DD22" s="146">
        <v>3332</v>
      </c>
      <c r="DE22" s="146">
        <v>3332</v>
      </c>
      <c r="DF22" s="114" t="s">
        <v>7</v>
      </c>
      <c r="DG22" s="101" t="s">
        <v>9</v>
      </c>
      <c r="DH22" s="101" t="s">
        <v>9</v>
      </c>
      <c r="DI22" s="16"/>
      <c r="DJ22" s="17"/>
      <c r="DK22" s="101" t="s">
        <v>9</v>
      </c>
      <c r="DL22" s="101" t="s">
        <v>9</v>
      </c>
      <c r="DM22" s="101" t="s">
        <v>9</v>
      </c>
    </row>
    <row r="23" spans="1:117" x14ac:dyDescent="0.3">
      <c r="A23" s="32"/>
      <c r="B23" s="253"/>
      <c r="C23" s="11">
        <v>3332</v>
      </c>
      <c r="D23" s="11">
        <v>3332</v>
      </c>
      <c r="E23" s="114" t="s">
        <v>7</v>
      </c>
      <c r="F23" s="103">
        <v>3328</v>
      </c>
      <c r="G23" s="103">
        <v>3328</v>
      </c>
      <c r="H23" s="16"/>
      <c r="I23" s="17"/>
      <c r="J23" s="101" t="s">
        <v>9</v>
      </c>
      <c r="K23" s="101" t="s">
        <v>9</v>
      </c>
      <c r="L23" s="103">
        <v>3328</v>
      </c>
      <c r="M23" s="11">
        <v>3332</v>
      </c>
      <c r="N23" s="114" t="s">
        <v>7</v>
      </c>
      <c r="O23" s="16"/>
      <c r="P23" s="17"/>
      <c r="Q23" s="114" t="s">
        <v>7</v>
      </c>
      <c r="R23" s="11">
        <v>3332</v>
      </c>
      <c r="S23" s="114" t="s">
        <v>7</v>
      </c>
      <c r="T23" s="114" t="s">
        <v>7</v>
      </c>
      <c r="U23" s="114" t="s">
        <v>7</v>
      </c>
      <c r="V23" s="16"/>
      <c r="W23" s="17"/>
      <c r="X23" s="135">
        <v>3334</v>
      </c>
      <c r="Y23" s="137" t="s">
        <v>10</v>
      </c>
      <c r="Z23" s="137" t="s">
        <v>10</v>
      </c>
      <c r="AA23" s="137" t="s">
        <v>10</v>
      </c>
      <c r="AB23" s="137" t="s">
        <v>10</v>
      </c>
      <c r="AC23" s="16"/>
      <c r="AD23" s="17"/>
      <c r="AE23" s="137" t="s">
        <v>10</v>
      </c>
      <c r="AF23" s="137" t="s">
        <v>10</v>
      </c>
      <c r="AG23" s="137" t="s">
        <v>10</v>
      </c>
      <c r="AH23" s="137" t="s">
        <v>10</v>
      </c>
      <c r="AI23" s="137" t="s">
        <v>10</v>
      </c>
      <c r="AJ23" s="16"/>
      <c r="AK23" s="17"/>
      <c r="AL23" s="137" t="s">
        <v>10</v>
      </c>
      <c r="AM23" s="137" t="s">
        <v>10</v>
      </c>
      <c r="AN23" s="114" t="s">
        <v>7</v>
      </c>
      <c r="AO23" s="114" t="s">
        <v>7</v>
      </c>
      <c r="AP23" s="114" t="s">
        <v>7</v>
      </c>
      <c r="AQ23" s="16"/>
      <c r="AR23" s="17"/>
      <c r="AS23" s="114" t="s">
        <v>7</v>
      </c>
      <c r="AT23" s="114" t="s">
        <v>7</v>
      </c>
      <c r="AU23" s="114" t="s">
        <v>7</v>
      </c>
      <c r="AV23" s="114" t="s">
        <v>7</v>
      </c>
      <c r="AW23" s="114" t="s">
        <v>7</v>
      </c>
      <c r="AX23" s="16"/>
      <c r="AY23" s="17"/>
      <c r="AZ23" s="114" t="s">
        <v>7</v>
      </c>
      <c r="BA23" s="114" t="s">
        <v>7</v>
      </c>
      <c r="BB23" s="114" t="s">
        <v>7</v>
      </c>
      <c r="BC23" s="114" t="s">
        <v>7</v>
      </c>
      <c r="BD23" s="101" t="s">
        <v>9</v>
      </c>
      <c r="BE23" s="16"/>
      <c r="BF23" s="17"/>
      <c r="BG23" s="101" t="s">
        <v>9</v>
      </c>
      <c r="BH23" s="114" t="s">
        <v>7</v>
      </c>
      <c r="BI23" s="114" t="s">
        <v>7</v>
      </c>
      <c r="BJ23" s="114" t="s">
        <v>7</v>
      </c>
      <c r="BK23" s="114" t="s">
        <v>7</v>
      </c>
      <c r="BL23" s="16"/>
      <c r="BM23" s="17"/>
      <c r="BN23" s="114" t="s">
        <v>7</v>
      </c>
      <c r="BO23" s="114" t="s">
        <v>7</v>
      </c>
      <c r="BP23" s="114" t="s">
        <v>7</v>
      </c>
      <c r="BQ23" s="114" t="s">
        <v>7</v>
      </c>
      <c r="BR23" s="114" t="s">
        <v>7</v>
      </c>
      <c r="BS23" s="16"/>
      <c r="BT23" s="17"/>
      <c r="BU23" s="143" t="s">
        <v>9</v>
      </c>
      <c r="BV23" s="114" t="s">
        <v>7</v>
      </c>
      <c r="BW23" s="114" t="s">
        <v>7</v>
      </c>
      <c r="BX23" s="114" t="s">
        <v>7</v>
      </c>
      <c r="BY23" s="114" t="s">
        <v>7</v>
      </c>
      <c r="BZ23" s="16"/>
      <c r="CA23" s="17"/>
      <c r="CB23" s="162">
        <v>3321</v>
      </c>
      <c r="CC23" s="162">
        <v>3321</v>
      </c>
      <c r="CD23" s="114" t="s">
        <v>7</v>
      </c>
      <c r="CE23" s="114" t="s">
        <v>7</v>
      </c>
      <c r="CF23" s="114" t="s">
        <v>7</v>
      </c>
      <c r="CG23" s="16"/>
      <c r="CH23" s="17"/>
      <c r="CI23" s="162">
        <v>3321</v>
      </c>
      <c r="CJ23" s="114" t="s">
        <v>7</v>
      </c>
      <c r="CK23" s="114" t="s">
        <v>7</v>
      </c>
      <c r="CL23" s="101" t="s">
        <v>9</v>
      </c>
      <c r="CM23" s="114" t="s">
        <v>7</v>
      </c>
      <c r="CN23" s="16"/>
      <c r="CO23" s="17"/>
      <c r="CP23" s="114" t="s">
        <v>7</v>
      </c>
      <c r="CQ23" s="114" t="s">
        <v>7</v>
      </c>
      <c r="CR23" s="114" t="s">
        <v>7</v>
      </c>
      <c r="CS23" s="114" t="s">
        <v>7</v>
      </c>
      <c r="CT23" s="114" t="s">
        <v>7</v>
      </c>
      <c r="CU23" s="16"/>
      <c r="CV23" s="17"/>
      <c r="CW23" s="114" t="s">
        <v>7</v>
      </c>
      <c r="CX23" s="114" t="s">
        <v>7</v>
      </c>
      <c r="CY23" s="114" t="s">
        <v>7</v>
      </c>
      <c r="CZ23" s="114" t="s">
        <v>7</v>
      </c>
      <c r="DA23" s="114" t="s">
        <v>7</v>
      </c>
      <c r="DB23" s="16"/>
      <c r="DC23" s="17"/>
      <c r="DD23" s="146">
        <v>3332</v>
      </c>
      <c r="DE23" s="146">
        <v>3332</v>
      </c>
      <c r="DF23" s="114" t="s">
        <v>7</v>
      </c>
      <c r="DG23" s="101" t="s">
        <v>9</v>
      </c>
      <c r="DH23" s="101" t="s">
        <v>9</v>
      </c>
      <c r="DI23" s="16"/>
      <c r="DJ23" s="17"/>
      <c r="DK23" s="101" t="s">
        <v>9</v>
      </c>
      <c r="DL23" s="101" t="s">
        <v>9</v>
      </c>
      <c r="DM23" s="101" t="s">
        <v>9</v>
      </c>
    </row>
    <row r="24" spans="1:117" x14ac:dyDescent="0.3">
      <c r="A24" s="32"/>
      <c r="B24" s="253"/>
      <c r="C24" s="11">
        <v>3332</v>
      </c>
      <c r="D24" s="11">
        <v>3332</v>
      </c>
      <c r="E24" s="114" t="s">
        <v>7</v>
      </c>
      <c r="F24" s="103">
        <v>3328</v>
      </c>
      <c r="G24" s="103">
        <v>3328</v>
      </c>
      <c r="H24" s="16"/>
      <c r="I24" s="17"/>
      <c r="J24" s="101" t="s">
        <v>9</v>
      </c>
      <c r="K24" s="101" t="s">
        <v>9</v>
      </c>
      <c r="L24" s="103">
        <v>3328</v>
      </c>
      <c r="M24" s="11">
        <v>3332</v>
      </c>
      <c r="N24" s="114" t="s">
        <v>7</v>
      </c>
      <c r="O24" s="16"/>
      <c r="P24" s="17"/>
      <c r="Q24" s="114" t="s">
        <v>7</v>
      </c>
      <c r="R24" s="11">
        <v>3332</v>
      </c>
      <c r="S24" s="114" t="s">
        <v>7</v>
      </c>
      <c r="T24" s="114" t="s">
        <v>7</v>
      </c>
      <c r="U24" s="114" t="s">
        <v>7</v>
      </c>
      <c r="V24" s="16"/>
      <c r="W24" s="17"/>
      <c r="X24" s="137" t="s">
        <v>10</v>
      </c>
      <c r="Y24" s="137" t="s">
        <v>10</v>
      </c>
      <c r="Z24" s="137" t="s">
        <v>10</v>
      </c>
      <c r="AA24" s="137" t="s">
        <v>10</v>
      </c>
      <c r="AB24" s="137" t="s">
        <v>10</v>
      </c>
      <c r="AC24" s="16"/>
      <c r="AD24" s="17"/>
      <c r="AE24" s="137" t="s">
        <v>10</v>
      </c>
      <c r="AF24" s="137" t="s">
        <v>10</v>
      </c>
      <c r="AG24" s="137" t="s">
        <v>10</v>
      </c>
      <c r="AH24" s="137" t="s">
        <v>10</v>
      </c>
      <c r="AI24" s="137" t="s">
        <v>10</v>
      </c>
      <c r="AJ24" s="16"/>
      <c r="AK24" s="17"/>
      <c r="AL24" s="137" t="s">
        <v>10</v>
      </c>
      <c r="AM24" s="137" t="s">
        <v>10</v>
      </c>
      <c r="AN24" s="114" t="s">
        <v>7</v>
      </c>
      <c r="AO24" s="114" t="s">
        <v>7</v>
      </c>
      <c r="AP24" s="114" t="s">
        <v>7</v>
      </c>
      <c r="AQ24" s="16"/>
      <c r="AR24" s="17"/>
      <c r="AS24" s="114" t="s">
        <v>7</v>
      </c>
      <c r="AT24" s="114" t="s">
        <v>7</v>
      </c>
      <c r="AU24" s="114" t="s">
        <v>7</v>
      </c>
      <c r="AV24" s="114" t="s">
        <v>7</v>
      </c>
      <c r="AW24" s="114" t="s">
        <v>7</v>
      </c>
      <c r="AX24" s="16"/>
      <c r="AY24" s="17"/>
      <c r="AZ24" s="114" t="s">
        <v>7</v>
      </c>
      <c r="BA24" s="114" t="s">
        <v>7</v>
      </c>
      <c r="BB24" s="114" t="s">
        <v>7</v>
      </c>
      <c r="BC24" s="114" t="s">
        <v>7</v>
      </c>
      <c r="BD24" s="101" t="s">
        <v>9</v>
      </c>
      <c r="BE24" s="16"/>
      <c r="BF24" s="17"/>
      <c r="BG24" s="101" t="s">
        <v>9</v>
      </c>
      <c r="BH24" s="114" t="s">
        <v>7</v>
      </c>
      <c r="BI24" s="114" t="s">
        <v>7</v>
      </c>
      <c r="BJ24" s="114" t="s">
        <v>7</v>
      </c>
      <c r="BK24" s="114" t="s">
        <v>7</v>
      </c>
      <c r="BL24" s="16"/>
      <c r="BM24" s="17"/>
      <c r="BN24" s="114" t="s">
        <v>7</v>
      </c>
      <c r="BO24" s="114" t="s">
        <v>7</v>
      </c>
      <c r="BP24" s="114" t="s">
        <v>7</v>
      </c>
      <c r="BQ24" s="114" t="s">
        <v>7</v>
      </c>
      <c r="BR24" s="114" t="s">
        <v>7</v>
      </c>
      <c r="BS24" s="16"/>
      <c r="BT24" s="17"/>
      <c r="BU24" s="143" t="s">
        <v>9</v>
      </c>
      <c r="BV24" s="114" t="s">
        <v>7</v>
      </c>
      <c r="BW24" s="114" t="s">
        <v>7</v>
      </c>
      <c r="BX24" s="114" t="s">
        <v>7</v>
      </c>
      <c r="BY24" s="114" t="s">
        <v>7</v>
      </c>
      <c r="BZ24" s="16"/>
      <c r="CA24" s="17"/>
      <c r="CB24" s="162">
        <v>3321</v>
      </c>
      <c r="CC24" s="162">
        <v>3321</v>
      </c>
      <c r="CD24" s="114" t="s">
        <v>7</v>
      </c>
      <c r="CE24" s="114" t="s">
        <v>7</v>
      </c>
      <c r="CF24" s="114" t="s">
        <v>7</v>
      </c>
      <c r="CG24" s="16"/>
      <c r="CH24" s="17"/>
      <c r="CI24" s="162">
        <v>3321</v>
      </c>
      <c r="CJ24" s="114" t="s">
        <v>7</v>
      </c>
      <c r="CK24" s="114" t="s">
        <v>7</v>
      </c>
      <c r="CL24" s="101" t="s">
        <v>9</v>
      </c>
      <c r="CM24" s="114" t="s">
        <v>7</v>
      </c>
      <c r="CN24" s="16"/>
      <c r="CO24" s="17"/>
      <c r="CP24" s="114" t="s">
        <v>7</v>
      </c>
      <c r="CQ24" s="114" t="s">
        <v>7</v>
      </c>
      <c r="CR24" s="114" t="s">
        <v>7</v>
      </c>
      <c r="CS24" s="114" t="s">
        <v>7</v>
      </c>
      <c r="CT24" s="114" t="s">
        <v>7</v>
      </c>
      <c r="CU24" s="16"/>
      <c r="CV24" s="17"/>
      <c r="CW24" s="114" t="s">
        <v>7</v>
      </c>
      <c r="CX24" s="114" t="s">
        <v>7</v>
      </c>
      <c r="CY24" s="114" t="s">
        <v>7</v>
      </c>
      <c r="CZ24" s="114" t="s">
        <v>7</v>
      </c>
      <c r="DA24" s="114" t="s">
        <v>7</v>
      </c>
      <c r="DB24" s="16"/>
      <c r="DC24" s="17"/>
      <c r="DD24" s="146">
        <v>3332</v>
      </c>
      <c r="DE24" s="146">
        <v>3332</v>
      </c>
      <c r="DF24" s="114" t="s">
        <v>7</v>
      </c>
      <c r="DG24" s="101" t="s">
        <v>9</v>
      </c>
      <c r="DH24" s="101" t="s">
        <v>9</v>
      </c>
      <c r="DI24" s="16"/>
      <c r="DJ24" s="17"/>
      <c r="DK24" s="101" t="s">
        <v>9</v>
      </c>
      <c r="DL24" s="101" t="s">
        <v>9</v>
      </c>
      <c r="DM24" s="101" t="s">
        <v>9</v>
      </c>
    </row>
    <row r="25" spans="1:117" x14ac:dyDescent="0.3">
      <c r="A25" s="32"/>
      <c r="B25" s="253"/>
      <c r="C25" s="100"/>
      <c r="D25" s="23"/>
      <c r="E25" s="23"/>
      <c r="F25" s="23"/>
      <c r="G25" s="16"/>
      <c r="H25" s="16"/>
      <c r="I25" s="17"/>
      <c r="J25" s="18"/>
      <c r="K25" s="16"/>
      <c r="L25" s="16"/>
      <c r="M25" s="16"/>
      <c r="N25" s="16"/>
      <c r="O25" s="16"/>
      <c r="P25" s="17"/>
      <c r="Q25" s="18"/>
      <c r="R25" s="16"/>
      <c r="S25" s="16"/>
      <c r="T25" s="16"/>
      <c r="U25" s="16"/>
      <c r="V25" s="16"/>
      <c r="W25" s="17"/>
      <c r="X25" s="18"/>
      <c r="Y25" s="16"/>
      <c r="Z25" s="16"/>
      <c r="AA25" s="16"/>
      <c r="AB25" s="16"/>
      <c r="AC25" s="16"/>
      <c r="AD25" s="17"/>
      <c r="AE25" s="18"/>
      <c r="AF25" s="16"/>
      <c r="AG25" s="16"/>
      <c r="AH25" s="16"/>
      <c r="AI25" s="16"/>
      <c r="AJ25" s="16"/>
      <c r="AK25" s="17"/>
      <c r="AL25" s="18"/>
      <c r="AM25" s="16"/>
      <c r="AN25" s="16"/>
      <c r="AO25" s="16"/>
      <c r="AP25" s="16"/>
      <c r="AQ25" s="16"/>
      <c r="AR25" s="17"/>
      <c r="AS25" s="18"/>
      <c r="AT25" s="16"/>
      <c r="AU25" s="16"/>
      <c r="AV25" s="16"/>
      <c r="AW25" s="16"/>
      <c r="AX25" s="16"/>
      <c r="AY25" s="17"/>
      <c r="AZ25" s="18"/>
      <c r="BA25" s="16"/>
      <c r="BB25" s="16"/>
      <c r="BC25" s="16"/>
      <c r="BD25" s="16"/>
      <c r="BE25" s="16"/>
      <c r="BF25" s="17"/>
      <c r="BG25" s="18"/>
      <c r="BH25" s="16"/>
      <c r="BI25" s="16"/>
      <c r="BJ25" s="16"/>
      <c r="BK25" s="16"/>
      <c r="BL25" s="16"/>
      <c r="BM25" s="17"/>
      <c r="BN25" s="18"/>
      <c r="BO25" s="16"/>
      <c r="BP25" s="16"/>
      <c r="BQ25" s="16"/>
      <c r="BR25" s="16"/>
      <c r="BS25" s="16"/>
      <c r="BT25" s="17"/>
      <c r="BU25" s="18"/>
      <c r="BV25" s="16"/>
      <c r="BW25" s="16"/>
      <c r="BX25" s="16"/>
      <c r="BY25" s="16"/>
      <c r="BZ25" s="16"/>
      <c r="CA25" s="17"/>
      <c r="CB25" s="18"/>
      <c r="CC25" s="16"/>
      <c r="CD25" s="16"/>
      <c r="CE25" s="16"/>
      <c r="CF25" s="16"/>
      <c r="CG25" s="16"/>
      <c r="CH25" s="17"/>
      <c r="CI25" s="18"/>
      <c r="CJ25" s="16"/>
      <c r="CK25" s="16"/>
      <c r="CL25" s="16"/>
      <c r="CM25" s="16"/>
      <c r="CN25" s="16"/>
      <c r="CO25" s="17"/>
      <c r="CP25" s="18"/>
      <c r="CQ25" s="16"/>
      <c r="CR25" s="16"/>
      <c r="CS25" s="16"/>
      <c r="CT25" s="16"/>
      <c r="CU25" s="16"/>
      <c r="CV25" s="17"/>
      <c r="CW25" s="18"/>
      <c r="CX25" s="16"/>
      <c r="CY25" s="16"/>
      <c r="CZ25" s="16"/>
      <c r="DA25" s="16"/>
      <c r="DB25" s="16"/>
      <c r="DC25" s="17"/>
      <c r="DD25" s="18"/>
      <c r="DE25" s="16"/>
      <c r="DF25" s="16"/>
      <c r="DG25" s="16"/>
      <c r="DH25" s="16"/>
      <c r="DI25" s="16"/>
      <c r="DJ25" s="17"/>
      <c r="DK25" s="18"/>
      <c r="DL25" s="16"/>
      <c r="DM25" s="16"/>
    </row>
    <row r="26" spans="1:117" x14ac:dyDescent="0.3">
      <c r="A26" s="32"/>
      <c r="B26" s="253"/>
      <c r="C26" s="18"/>
      <c r="D26" s="16"/>
      <c r="E26" s="16"/>
      <c r="F26" s="16"/>
      <c r="G26" s="16"/>
      <c r="H26" s="16"/>
      <c r="I26" s="17"/>
      <c r="J26" s="18"/>
      <c r="K26" s="16"/>
      <c r="L26" s="16"/>
      <c r="M26" s="16"/>
      <c r="N26" s="16"/>
      <c r="O26" s="16"/>
      <c r="P26" s="17"/>
      <c r="Q26" s="18"/>
      <c r="R26" s="16"/>
      <c r="S26" s="16"/>
      <c r="T26" s="16"/>
      <c r="U26" s="16"/>
      <c r="V26" s="16"/>
      <c r="W26" s="17"/>
      <c r="X26" s="18"/>
      <c r="Y26" s="16"/>
      <c r="Z26" s="16"/>
      <c r="AA26" s="16"/>
      <c r="AB26" s="16"/>
      <c r="AC26" s="16"/>
      <c r="AD26" s="17"/>
      <c r="AE26" s="18"/>
      <c r="AF26" s="16"/>
      <c r="AG26" s="16"/>
      <c r="AH26" s="16"/>
      <c r="AI26" s="16"/>
      <c r="AJ26" s="16"/>
      <c r="AK26" s="17"/>
      <c r="AL26" s="18"/>
      <c r="AM26" s="16"/>
      <c r="AN26" s="16"/>
      <c r="AO26" s="16"/>
      <c r="AP26" s="16"/>
      <c r="AQ26" s="16"/>
      <c r="AR26" s="17"/>
      <c r="AS26" s="18"/>
      <c r="AT26" s="16"/>
      <c r="AU26" s="16"/>
      <c r="AV26" s="16"/>
      <c r="AW26" s="16"/>
      <c r="AX26" s="16"/>
      <c r="AY26" s="17"/>
      <c r="AZ26" s="18"/>
      <c r="BA26" s="16"/>
      <c r="BB26" s="16"/>
      <c r="BC26" s="16"/>
      <c r="BD26" s="16"/>
      <c r="BE26" s="16"/>
      <c r="BF26" s="17"/>
      <c r="BG26" s="18"/>
      <c r="BH26" s="16"/>
      <c r="BI26" s="16"/>
      <c r="BJ26" s="16"/>
      <c r="BK26" s="16"/>
      <c r="BL26" s="16"/>
      <c r="BM26" s="17"/>
      <c r="BN26" s="18"/>
      <c r="BO26" s="16"/>
      <c r="BP26" s="16"/>
      <c r="BQ26" s="16"/>
      <c r="BR26" s="16"/>
      <c r="BS26" s="16"/>
      <c r="BT26" s="17"/>
      <c r="BU26" s="18"/>
      <c r="BV26" s="16"/>
      <c r="BW26" s="16"/>
      <c r="BX26" s="16"/>
      <c r="BY26" s="16"/>
      <c r="BZ26" s="16"/>
      <c r="CA26" s="17"/>
      <c r="CB26" s="18"/>
      <c r="CC26" s="16"/>
      <c r="CD26" s="16"/>
      <c r="CE26" s="16"/>
      <c r="CF26" s="16"/>
      <c r="CG26" s="16"/>
      <c r="CH26" s="17"/>
      <c r="CI26" s="18"/>
      <c r="CJ26" s="16"/>
      <c r="CK26" s="16"/>
      <c r="CL26" s="16"/>
      <c r="CM26" s="16"/>
      <c r="CN26" s="16"/>
      <c r="CO26" s="17"/>
      <c r="CP26" s="18"/>
      <c r="CQ26" s="16"/>
      <c r="CR26" s="16"/>
      <c r="CS26" s="16"/>
      <c r="CT26" s="16"/>
      <c r="CU26" s="16"/>
      <c r="CV26" s="17"/>
      <c r="CW26" s="18"/>
      <c r="CX26" s="16"/>
      <c r="CY26" s="16"/>
      <c r="CZ26" s="16"/>
      <c r="DA26" s="16"/>
      <c r="DB26" s="16"/>
      <c r="DC26" s="17"/>
      <c r="DD26" s="18"/>
      <c r="DE26" s="16"/>
      <c r="DF26" s="16"/>
      <c r="DG26" s="16"/>
      <c r="DH26" s="16"/>
      <c r="DI26" s="16"/>
      <c r="DJ26" s="17"/>
      <c r="DK26" s="18"/>
      <c r="DL26" s="16"/>
      <c r="DM26" s="16"/>
    </row>
    <row r="27" spans="1:117" x14ac:dyDescent="0.3">
      <c r="A27" s="32"/>
      <c r="B27" s="254"/>
      <c r="C27" s="21"/>
      <c r="D27" s="19"/>
      <c r="E27" s="19"/>
      <c r="F27" s="19"/>
      <c r="G27" s="19"/>
      <c r="H27" s="19"/>
      <c r="I27" s="20"/>
      <c r="J27" s="21"/>
      <c r="K27" s="19"/>
      <c r="L27" s="19"/>
      <c r="M27" s="19"/>
      <c r="N27" s="19"/>
      <c r="O27" s="19"/>
      <c r="P27" s="20"/>
      <c r="Q27" s="21"/>
      <c r="R27" s="19"/>
      <c r="S27" s="19"/>
      <c r="T27" s="19"/>
      <c r="U27" s="19"/>
      <c r="V27" s="19"/>
      <c r="W27" s="20"/>
      <c r="X27" s="21"/>
      <c r="Y27" s="19"/>
      <c r="Z27" s="19"/>
      <c r="AA27" s="19"/>
      <c r="AB27" s="19"/>
      <c r="AC27" s="19"/>
      <c r="AD27" s="20"/>
      <c r="AE27" s="21"/>
      <c r="AF27" s="19"/>
      <c r="AG27" s="19"/>
      <c r="AH27" s="19"/>
      <c r="AI27" s="19"/>
      <c r="AJ27" s="19"/>
      <c r="AK27" s="20"/>
      <c r="AL27" s="21"/>
      <c r="AM27" s="19"/>
      <c r="AN27" s="19"/>
      <c r="AO27" s="19"/>
      <c r="AP27" s="19"/>
      <c r="AQ27" s="19"/>
      <c r="AR27" s="20"/>
      <c r="AS27" s="21"/>
      <c r="AT27" s="19"/>
      <c r="AU27" s="19"/>
      <c r="AV27" s="19"/>
      <c r="AW27" s="19"/>
      <c r="AX27" s="19"/>
      <c r="AY27" s="20"/>
      <c r="AZ27" s="21"/>
      <c r="BA27" s="19"/>
      <c r="BB27" s="19"/>
      <c r="BC27" s="19"/>
      <c r="BD27" s="19"/>
      <c r="BE27" s="19"/>
      <c r="BF27" s="20"/>
      <c r="BG27" s="21"/>
      <c r="BH27" s="19"/>
      <c r="BI27" s="19"/>
      <c r="BJ27" s="19"/>
      <c r="BK27" s="19"/>
      <c r="BL27" s="19"/>
      <c r="BM27" s="20"/>
      <c r="BN27" s="21"/>
      <c r="BO27" s="19"/>
      <c r="BP27" s="19"/>
      <c r="BQ27" s="19"/>
      <c r="BR27" s="19"/>
      <c r="BS27" s="19"/>
      <c r="BT27" s="20"/>
      <c r="BU27" s="21"/>
      <c r="BV27" s="19"/>
      <c r="BW27" s="19"/>
      <c r="BX27" s="19"/>
      <c r="BY27" s="19"/>
      <c r="BZ27" s="19"/>
      <c r="CA27" s="20"/>
      <c r="CB27" s="21"/>
      <c r="CC27" s="19"/>
      <c r="CD27" s="19"/>
      <c r="CE27" s="19"/>
      <c r="CF27" s="19"/>
      <c r="CG27" s="19"/>
      <c r="CH27" s="20"/>
      <c r="CI27" s="21"/>
      <c r="CJ27" s="19"/>
      <c r="CK27" s="19"/>
      <c r="CL27" s="19"/>
      <c r="CM27" s="19"/>
      <c r="CN27" s="19"/>
      <c r="CO27" s="20"/>
      <c r="CP27" s="21"/>
      <c r="CQ27" s="19"/>
      <c r="CR27" s="19"/>
      <c r="CS27" s="19"/>
      <c r="CT27" s="19"/>
      <c r="CU27" s="19"/>
      <c r="CV27" s="20"/>
      <c r="CW27" s="21"/>
      <c r="CX27" s="19"/>
      <c r="CY27" s="19"/>
      <c r="CZ27" s="19"/>
      <c r="DA27" s="19"/>
      <c r="DB27" s="19"/>
      <c r="DC27" s="20"/>
      <c r="DD27" s="21"/>
      <c r="DE27" s="19"/>
      <c r="DF27" s="19"/>
      <c r="DG27" s="19"/>
      <c r="DH27" s="19"/>
      <c r="DI27" s="19"/>
      <c r="DJ27" s="20"/>
      <c r="DK27" s="21"/>
      <c r="DL27" s="19"/>
      <c r="DM27" s="19"/>
    </row>
    <row r="28" spans="1:117" x14ac:dyDescent="0.3">
      <c r="A28" s="32"/>
      <c r="B28" s="247" t="s">
        <v>13</v>
      </c>
      <c r="C28" s="107">
        <v>3336</v>
      </c>
      <c r="D28" s="107">
        <v>3336</v>
      </c>
      <c r="E28" s="107">
        <v>3336</v>
      </c>
      <c r="F28" s="111">
        <v>3346</v>
      </c>
      <c r="G28" s="103">
        <v>3328</v>
      </c>
      <c r="H28" s="13"/>
      <c r="I28" s="14"/>
      <c r="J28" s="107">
        <v>3336</v>
      </c>
      <c r="K28" s="101" t="s">
        <v>9</v>
      </c>
      <c r="L28" s="107">
        <v>3336</v>
      </c>
      <c r="M28" s="111">
        <v>3346</v>
      </c>
      <c r="N28" s="103">
        <v>3328</v>
      </c>
      <c r="O28" s="13"/>
      <c r="P28" s="14"/>
      <c r="Q28" s="101" t="s">
        <v>9</v>
      </c>
      <c r="R28" s="103">
        <v>3328</v>
      </c>
      <c r="S28" s="103">
        <v>3328</v>
      </c>
      <c r="T28" s="107">
        <v>3336</v>
      </c>
      <c r="U28" s="111">
        <v>3346</v>
      </c>
      <c r="V28" s="13"/>
      <c r="W28" s="14"/>
      <c r="X28" s="101" t="s">
        <v>9</v>
      </c>
      <c r="Y28" s="103">
        <v>3328</v>
      </c>
      <c r="Z28" s="103">
        <v>3328</v>
      </c>
      <c r="AA28" s="107">
        <v>3336</v>
      </c>
      <c r="AB28" s="114" t="s">
        <v>7</v>
      </c>
      <c r="AC28" s="13"/>
      <c r="AD28" s="14"/>
      <c r="AE28" s="101" t="s">
        <v>9</v>
      </c>
      <c r="AF28" s="107">
        <v>3336</v>
      </c>
      <c r="AG28" s="105">
        <v>3272</v>
      </c>
      <c r="AH28" s="137" t="s">
        <v>10</v>
      </c>
      <c r="AI28" s="137" t="s">
        <v>10</v>
      </c>
      <c r="AJ28" s="13"/>
      <c r="AK28" s="14"/>
      <c r="AL28" s="105">
        <v>3272</v>
      </c>
      <c r="AM28" s="103">
        <v>3328</v>
      </c>
      <c r="AN28" s="103">
        <v>3328</v>
      </c>
      <c r="AO28" s="104">
        <v>3346</v>
      </c>
      <c r="AP28" s="104">
        <v>3346</v>
      </c>
      <c r="AQ28" s="13"/>
      <c r="AR28" s="14"/>
      <c r="AS28" s="104">
        <v>3346</v>
      </c>
      <c r="AT28" s="104">
        <v>3346</v>
      </c>
      <c r="AU28" s="104">
        <v>3346</v>
      </c>
      <c r="AV28" s="113" t="s">
        <v>7</v>
      </c>
      <c r="AW28" s="113" t="s">
        <v>7</v>
      </c>
      <c r="AX28" s="13"/>
      <c r="AY28" s="14"/>
      <c r="AZ28" s="103">
        <v>3328</v>
      </c>
      <c r="BA28" s="114" t="s">
        <v>7</v>
      </c>
      <c r="BB28" s="114" t="s">
        <v>7</v>
      </c>
      <c r="BC28" s="113" t="s">
        <v>7</v>
      </c>
      <c r="BD28" s="113" t="s">
        <v>7</v>
      </c>
      <c r="BE28" s="13"/>
      <c r="BF28" s="14"/>
      <c r="BG28" s="104">
        <v>3346</v>
      </c>
      <c r="BH28" s="104">
        <v>3346</v>
      </c>
      <c r="BI28" s="114" t="s">
        <v>7</v>
      </c>
      <c r="BJ28" s="113" t="s">
        <v>7</v>
      </c>
      <c r="BK28" s="113" t="s">
        <v>7</v>
      </c>
      <c r="BL28" s="13"/>
      <c r="BM28" s="14"/>
      <c r="BN28" s="104">
        <v>3346</v>
      </c>
      <c r="BO28" s="104">
        <v>3346</v>
      </c>
      <c r="BP28" s="114" t="s">
        <v>7</v>
      </c>
      <c r="BQ28" s="114" t="s">
        <v>7</v>
      </c>
      <c r="BR28" s="101" t="s">
        <v>9</v>
      </c>
      <c r="BS28" s="13"/>
      <c r="BT28" s="14"/>
      <c r="BU28" s="101" t="s">
        <v>9</v>
      </c>
      <c r="BV28" s="147">
        <v>3328</v>
      </c>
      <c r="BW28" s="114" t="s">
        <v>7</v>
      </c>
      <c r="BX28" s="114" t="s">
        <v>7</v>
      </c>
      <c r="BY28" s="114" t="s">
        <v>7</v>
      </c>
      <c r="BZ28" s="13"/>
      <c r="CA28" s="14"/>
      <c r="CB28" s="104">
        <v>3346</v>
      </c>
      <c r="CC28" s="114" t="s">
        <v>7</v>
      </c>
      <c r="CD28" s="114" t="s">
        <v>7</v>
      </c>
      <c r="CE28" s="114" t="s">
        <v>7</v>
      </c>
      <c r="CF28" s="114" t="s">
        <v>7</v>
      </c>
      <c r="CG28" s="13"/>
      <c r="CH28" s="14"/>
      <c r="CI28" s="147">
        <v>3328</v>
      </c>
      <c r="CJ28" s="114" t="s">
        <v>7</v>
      </c>
      <c r="CK28" s="114" t="s">
        <v>7</v>
      </c>
      <c r="CL28" s="114" t="s">
        <v>7</v>
      </c>
      <c r="CM28" s="114" t="s">
        <v>7</v>
      </c>
      <c r="CN28" s="13"/>
      <c r="CO28" s="14"/>
      <c r="CP28" s="104">
        <v>3346</v>
      </c>
      <c r="CQ28" s="114" t="s">
        <v>7</v>
      </c>
      <c r="CR28" s="114" t="s">
        <v>7</v>
      </c>
      <c r="CS28" s="114" t="s">
        <v>7</v>
      </c>
      <c r="CT28" s="101" t="s">
        <v>9</v>
      </c>
      <c r="CU28" s="13"/>
      <c r="CV28" s="14"/>
      <c r="CW28" s="108">
        <v>3336</v>
      </c>
      <c r="CX28" s="114" t="s">
        <v>7</v>
      </c>
      <c r="CY28" s="114" t="s">
        <v>7</v>
      </c>
      <c r="CZ28" s="114" t="s">
        <v>7</v>
      </c>
      <c r="DA28" s="114" t="s">
        <v>7</v>
      </c>
      <c r="DB28" s="13"/>
      <c r="DC28" s="14"/>
      <c r="DD28" s="104">
        <v>3346</v>
      </c>
      <c r="DE28" s="114" t="s">
        <v>7</v>
      </c>
      <c r="DF28" s="114" t="s">
        <v>7</v>
      </c>
      <c r="DG28" s="101" t="s">
        <v>9</v>
      </c>
      <c r="DH28" s="114" t="s">
        <v>7</v>
      </c>
      <c r="DI28" s="13"/>
      <c r="DJ28" s="14"/>
      <c r="DK28" s="114" t="s">
        <v>7</v>
      </c>
      <c r="DL28" s="114" t="s">
        <v>7</v>
      </c>
      <c r="DM28" s="114" t="s">
        <v>7</v>
      </c>
    </row>
    <row r="29" spans="1:117" x14ac:dyDescent="0.3">
      <c r="A29" s="32"/>
      <c r="B29" s="248"/>
      <c r="C29" s="108">
        <v>3336</v>
      </c>
      <c r="D29" s="108">
        <v>3336</v>
      </c>
      <c r="E29" s="108">
        <v>3336</v>
      </c>
      <c r="F29" s="111">
        <v>3346</v>
      </c>
      <c r="G29" s="103">
        <v>3328</v>
      </c>
      <c r="H29" s="16"/>
      <c r="I29" s="17"/>
      <c r="J29" s="108">
        <v>3336</v>
      </c>
      <c r="K29" s="101" t="s">
        <v>9</v>
      </c>
      <c r="L29" s="108">
        <v>3336</v>
      </c>
      <c r="M29" s="111">
        <v>3346</v>
      </c>
      <c r="N29" s="103">
        <v>3328</v>
      </c>
      <c r="O29" s="16"/>
      <c r="P29" s="17"/>
      <c r="Q29" s="101" t="s">
        <v>9</v>
      </c>
      <c r="R29" s="103">
        <v>3328</v>
      </c>
      <c r="S29" s="103">
        <v>3328</v>
      </c>
      <c r="T29" s="108">
        <v>3336</v>
      </c>
      <c r="U29" s="111">
        <v>3346</v>
      </c>
      <c r="V29" s="16"/>
      <c r="W29" s="17"/>
      <c r="X29" s="101" t="s">
        <v>9</v>
      </c>
      <c r="Y29" s="103">
        <v>3328</v>
      </c>
      <c r="Z29" s="103">
        <v>3328</v>
      </c>
      <c r="AA29" s="108">
        <v>3336</v>
      </c>
      <c r="AB29" s="114" t="s">
        <v>7</v>
      </c>
      <c r="AC29" s="16"/>
      <c r="AD29" s="17"/>
      <c r="AE29" s="101" t="s">
        <v>9</v>
      </c>
      <c r="AF29" s="108">
        <v>3336</v>
      </c>
      <c r="AG29" s="137" t="s">
        <v>10</v>
      </c>
      <c r="AH29" s="137" t="s">
        <v>10</v>
      </c>
      <c r="AI29" s="137" t="s">
        <v>10</v>
      </c>
      <c r="AJ29" s="16"/>
      <c r="AK29" s="17"/>
      <c r="AL29" s="105">
        <v>3272</v>
      </c>
      <c r="AM29" s="103">
        <v>3328</v>
      </c>
      <c r="AN29" s="103">
        <v>3328</v>
      </c>
      <c r="AO29" s="104">
        <v>3346</v>
      </c>
      <c r="AP29" s="104">
        <v>3346</v>
      </c>
      <c r="AQ29" s="16"/>
      <c r="AR29" s="17"/>
      <c r="AS29" s="104">
        <v>3346</v>
      </c>
      <c r="AT29" s="104">
        <v>3346</v>
      </c>
      <c r="AU29" s="104">
        <v>3346</v>
      </c>
      <c r="AV29" s="114" t="s">
        <v>7</v>
      </c>
      <c r="AW29" s="114" t="s">
        <v>7</v>
      </c>
      <c r="AX29" s="16"/>
      <c r="AY29" s="17"/>
      <c r="AZ29" s="108">
        <v>3336</v>
      </c>
      <c r="BA29" s="114" t="s">
        <v>7</v>
      </c>
      <c r="BB29" s="114" t="s">
        <v>7</v>
      </c>
      <c r="BC29" s="114" t="s">
        <v>7</v>
      </c>
      <c r="BD29" s="114" t="s">
        <v>7</v>
      </c>
      <c r="BE29" s="16"/>
      <c r="BF29" s="17"/>
      <c r="BG29" s="104">
        <v>3346</v>
      </c>
      <c r="BH29" s="147">
        <v>3328</v>
      </c>
      <c r="BI29" s="114" t="s">
        <v>7</v>
      </c>
      <c r="BJ29" s="114" t="s">
        <v>7</v>
      </c>
      <c r="BK29" s="114" t="s">
        <v>7</v>
      </c>
      <c r="BL29" s="16"/>
      <c r="BM29" s="17"/>
      <c r="BN29" s="104">
        <v>3346</v>
      </c>
      <c r="BO29" s="104">
        <v>3346</v>
      </c>
      <c r="BP29" s="114" t="s">
        <v>7</v>
      </c>
      <c r="BQ29" s="114" t="s">
        <v>7</v>
      </c>
      <c r="BR29" s="101" t="s">
        <v>9</v>
      </c>
      <c r="BS29" s="16"/>
      <c r="BT29" s="17"/>
      <c r="BU29" s="101" t="s">
        <v>9</v>
      </c>
      <c r="BV29" s="108">
        <v>3336</v>
      </c>
      <c r="BW29" s="114" t="s">
        <v>7</v>
      </c>
      <c r="BX29" s="114" t="s">
        <v>7</v>
      </c>
      <c r="BY29" s="114" t="s">
        <v>7</v>
      </c>
      <c r="BZ29" s="16"/>
      <c r="CA29" s="17"/>
      <c r="CB29" s="104">
        <v>3346</v>
      </c>
      <c r="CC29" s="114" t="s">
        <v>7</v>
      </c>
      <c r="CD29" s="114" t="s">
        <v>7</v>
      </c>
      <c r="CE29" s="114" t="s">
        <v>7</v>
      </c>
      <c r="CF29" s="114" t="s">
        <v>7</v>
      </c>
      <c r="CG29" s="16"/>
      <c r="CH29" s="17"/>
      <c r="CI29" s="108">
        <v>3336</v>
      </c>
      <c r="CJ29" s="114" t="s">
        <v>7</v>
      </c>
      <c r="CK29" s="114" t="s">
        <v>7</v>
      </c>
      <c r="CL29" s="114" t="s">
        <v>7</v>
      </c>
      <c r="CM29" s="114" t="s">
        <v>7</v>
      </c>
      <c r="CN29" s="16"/>
      <c r="CO29" s="17"/>
      <c r="CP29" s="104">
        <v>3346</v>
      </c>
      <c r="CQ29" s="114" t="s">
        <v>7</v>
      </c>
      <c r="CR29" s="114" t="s">
        <v>7</v>
      </c>
      <c r="CS29" s="114" t="s">
        <v>7</v>
      </c>
      <c r="CT29" s="101" t="s">
        <v>9</v>
      </c>
      <c r="CU29" s="16"/>
      <c r="CV29" s="17"/>
      <c r="CW29" s="145">
        <v>3335</v>
      </c>
      <c r="CX29" s="114" t="s">
        <v>7</v>
      </c>
      <c r="CY29" s="114" t="s">
        <v>7</v>
      </c>
      <c r="CZ29" s="114" t="s">
        <v>7</v>
      </c>
      <c r="DA29" s="114" t="s">
        <v>7</v>
      </c>
      <c r="DB29" s="16"/>
      <c r="DC29" s="17"/>
      <c r="DD29" s="104">
        <v>3346</v>
      </c>
      <c r="DE29" s="114" t="s">
        <v>7</v>
      </c>
      <c r="DF29" s="114" t="s">
        <v>7</v>
      </c>
      <c r="DG29" s="101" t="s">
        <v>9</v>
      </c>
      <c r="DH29" s="114" t="s">
        <v>7</v>
      </c>
      <c r="DI29" s="16"/>
      <c r="DJ29" s="17"/>
      <c r="DK29" s="114" t="s">
        <v>7</v>
      </c>
      <c r="DL29" s="114" t="s">
        <v>7</v>
      </c>
      <c r="DM29" s="114" t="s">
        <v>7</v>
      </c>
    </row>
    <row r="30" spans="1:117" x14ac:dyDescent="0.3">
      <c r="A30" s="32"/>
      <c r="B30" s="248"/>
      <c r="C30" s="108">
        <v>3336</v>
      </c>
      <c r="D30" s="108">
        <v>3336</v>
      </c>
      <c r="E30" s="111">
        <v>3346</v>
      </c>
      <c r="F30" s="111">
        <v>3346</v>
      </c>
      <c r="G30" s="103">
        <v>3328</v>
      </c>
      <c r="H30" s="16"/>
      <c r="I30" s="17"/>
      <c r="J30" s="108">
        <v>3336</v>
      </c>
      <c r="K30" s="101" t="s">
        <v>9</v>
      </c>
      <c r="L30" s="108">
        <v>3336</v>
      </c>
      <c r="M30" s="111">
        <v>3346</v>
      </c>
      <c r="N30" s="103">
        <v>3328</v>
      </c>
      <c r="O30" s="16"/>
      <c r="P30" s="17"/>
      <c r="Q30" s="101" t="s">
        <v>9</v>
      </c>
      <c r="R30" s="103">
        <v>3328</v>
      </c>
      <c r="S30" s="103">
        <v>3328</v>
      </c>
      <c r="T30" s="108">
        <v>3336</v>
      </c>
      <c r="U30" s="114" t="s">
        <v>7</v>
      </c>
      <c r="V30" s="16"/>
      <c r="W30" s="17"/>
      <c r="X30" s="101" t="s">
        <v>9</v>
      </c>
      <c r="Y30" s="103">
        <v>3328</v>
      </c>
      <c r="Z30" s="103">
        <v>3328</v>
      </c>
      <c r="AA30" s="108">
        <v>3336</v>
      </c>
      <c r="AB30" s="114" t="s">
        <v>7</v>
      </c>
      <c r="AC30" s="16"/>
      <c r="AD30" s="17"/>
      <c r="AE30" s="101" t="s">
        <v>9</v>
      </c>
      <c r="AF30" s="108">
        <v>3336</v>
      </c>
      <c r="AG30" s="137" t="s">
        <v>10</v>
      </c>
      <c r="AH30" s="137" t="s">
        <v>10</v>
      </c>
      <c r="AI30" s="137" t="s">
        <v>10</v>
      </c>
      <c r="AJ30" s="16"/>
      <c r="AK30" s="17"/>
      <c r="AL30" s="105">
        <v>3272</v>
      </c>
      <c r="AM30" s="103">
        <v>3328</v>
      </c>
      <c r="AN30" s="108">
        <v>3336</v>
      </c>
      <c r="AO30" s="104">
        <v>3346</v>
      </c>
      <c r="AP30" s="104">
        <v>3346</v>
      </c>
      <c r="AQ30" s="16"/>
      <c r="AR30" s="17"/>
      <c r="AS30" s="104">
        <v>3346</v>
      </c>
      <c r="AT30" s="104">
        <v>3346</v>
      </c>
      <c r="AU30" s="103">
        <v>3328</v>
      </c>
      <c r="AV30" s="114" t="s">
        <v>7</v>
      </c>
      <c r="AW30" s="114" t="s">
        <v>7</v>
      </c>
      <c r="AX30" s="16"/>
      <c r="AY30" s="17"/>
      <c r="AZ30" s="114" t="s">
        <v>7</v>
      </c>
      <c r="BA30" s="114" t="s">
        <v>7</v>
      </c>
      <c r="BB30" s="114" t="s">
        <v>7</v>
      </c>
      <c r="BC30" s="114" t="s">
        <v>7</v>
      </c>
      <c r="BD30" s="114" t="s">
        <v>7</v>
      </c>
      <c r="BE30" s="16"/>
      <c r="BF30" s="17"/>
      <c r="BG30" s="104">
        <v>3346</v>
      </c>
      <c r="BH30" s="114" t="s">
        <v>7</v>
      </c>
      <c r="BI30" s="114" t="s">
        <v>7</v>
      </c>
      <c r="BJ30" s="114" t="s">
        <v>7</v>
      </c>
      <c r="BK30" s="114" t="s">
        <v>7</v>
      </c>
      <c r="BL30" s="16"/>
      <c r="BM30" s="17"/>
      <c r="BN30" s="104">
        <v>3346</v>
      </c>
      <c r="BO30" s="104">
        <v>3346</v>
      </c>
      <c r="BP30" s="114" t="s">
        <v>7</v>
      </c>
      <c r="BQ30" s="114" t="s">
        <v>7</v>
      </c>
      <c r="BR30" s="101" t="s">
        <v>9</v>
      </c>
      <c r="BS30" s="16"/>
      <c r="BT30" s="17"/>
      <c r="BU30" s="101" t="s">
        <v>9</v>
      </c>
      <c r="BV30" s="104">
        <v>3346</v>
      </c>
      <c r="BW30" s="114" t="s">
        <v>7</v>
      </c>
      <c r="BX30" s="114" t="s">
        <v>7</v>
      </c>
      <c r="BY30" s="114" t="s">
        <v>7</v>
      </c>
      <c r="BZ30" s="16"/>
      <c r="CA30" s="17"/>
      <c r="CB30" s="147">
        <v>3328</v>
      </c>
      <c r="CC30" s="114" t="s">
        <v>7</v>
      </c>
      <c r="CD30" s="114" t="s">
        <v>7</v>
      </c>
      <c r="CE30" s="114" t="s">
        <v>7</v>
      </c>
      <c r="CF30" s="114" t="s">
        <v>7</v>
      </c>
      <c r="CG30" s="16"/>
      <c r="CH30" s="17"/>
      <c r="CI30" s="108">
        <v>3336</v>
      </c>
      <c r="CJ30" s="114" t="s">
        <v>7</v>
      </c>
      <c r="CK30" s="114" t="s">
        <v>7</v>
      </c>
      <c r="CL30" s="114" t="s">
        <v>7</v>
      </c>
      <c r="CM30" s="114" t="s">
        <v>7</v>
      </c>
      <c r="CN30" s="16"/>
      <c r="CO30" s="17"/>
      <c r="CP30" s="104">
        <v>3346</v>
      </c>
      <c r="CQ30" s="114" t="s">
        <v>7</v>
      </c>
      <c r="CR30" s="114" t="s">
        <v>7</v>
      </c>
      <c r="CS30" s="114" t="s">
        <v>7</v>
      </c>
      <c r="CT30" s="101" t="s">
        <v>9</v>
      </c>
      <c r="CU30" s="16"/>
      <c r="CV30" s="17"/>
      <c r="CW30" s="104">
        <v>3346</v>
      </c>
      <c r="CX30" s="114" t="s">
        <v>7</v>
      </c>
      <c r="CY30" s="114" t="s">
        <v>7</v>
      </c>
      <c r="CZ30" s="114" t="s">
        <v>7</v>
      </c>
      <c r="DA30" s="114" t="s">
        <v>7</v>
      </c>
      <c r="DB30" s="16"/>
      <c r="DC30" s="17"/>
      <c r="DD30" s="114" t="s">
        <v>7</v>
      </c>
      <c r="DE30" s="114" t="s">
        <v>7</v>
      </c>
      <c r="DF30" s="114" t="s">
        <v>7</v>
      </c>
      <c r="DG30" s="101" t="s">
        <v>9</v>
      </c>
      <c r="DH30" s="114" t="s">
        <v>7</v>
      </c>
      <c r="DI30" s="16"/>
      <c r="DJ30" s="17"/>
      <c r="DK30" s="114" t="s">
        <v>7</v>
      </c>
      <c r="DL30" s="114" t="s">
        <v>7</v>
      </c>
      <c r="DM30" s="114" t="s">
        <v>7</v>
      </c>
    </row>
    <row r="31" spans="1:117" x14ac:dyDescent="0.3">
      <c r="A31" s="32"/>
      <c r="B31" s="248"/>
      <c r="C31" s="107">
        <v>3336</v>
      </c>
      <c r="D31" s="107">
        <v>3336</v>
      </c>
      <c r="E31" s="111">
        <v>3346</v>
      </c>
      <c r="F31" s="111">
        <v>3346</v>
      </c>
      <c r="G31" s="103">
        <v>3328</v>
      </c>
      <c r="H31" s="16"/>
      <c r="I31" s="17"/>
      <c r="J31" s="107">
        <v>3336</v>
      </c>
      <c r="K31" s="101" t="s">
        <v>9</v>
      </c>
      <c r="L31" s="107">
        <v>3336</v>
      </c>
      <c r="M31" s="111">
        <v>3346</v>
      </c>
      <c r="N31" s="103">
        <v>3328</v>
      </c>
      <c r="O31" s="16"/>
      <c r="P31" s="17"/>
      <c r="Q31" s="101" t="s">
        <v>9</v>
      </c>
      <c r="R31" s="103">
        <v>3328</v>
      </c>
      <c r="S31" s="103">
        <v>3328</v>
      </c>
      <c r="T31" s="107">
        <v>3336</v>
      </c>
      <c r="U31" s="114" t="s">
        <v>7</v>
      </c>
      <c r="V31" s="16"/>
      <c r="W31" s="17"/>
      <c r="X31" s="101" t="s">
        <v>9</v>
      </c>
      <c r="Y31" s="103">
        <v>3328</v>
      </c>
      <c r="Z31" s="103">
        <v>3328</v>
      </c>
      <c r="AA31" s="114" t="s">
        <v>7</v>
      </c>
      <c r="AB31" s="114" t="s">
        <v>7</v>
      </c>
      <c r="AC31" s="16"/>
      <c r="AD31" s="17"/>
      <c r="AE31" s="101" t="s">
        <v>9</v>
      </c>
      <c r="AF31" s="108">
        <v>3336</v>
      </c>
      <c r="AG31" s="137" t="s">
        <v>10</v>
      </c>
      <c r="AH31" s="137" t="s">
        <v>10</v>
      </c>
      <c r="AI31" s="137" t="s">
        <v>10</v>
      </c>
      <c r="AJ31" s="16"/>
      <c r="AK31" s="17"/>
      <c r="AL31" s="105">
        <v>3272</v>
      </c>
      <c r="AM31" s="103">
        <v>3328</v>
      </c>
      <c r="AN31" s="108">
        <v>3336</v>
      </c>
      <c r="AO31" s="104">
        <v>3346</v>
      </c>
      <c r="AP31" s="104">
        <v>3346</v>
      </c>
      <c r="AQ31" s="16"/>
      <c r="AR31" s="17"/>
      <c r="AS31" s="104">
        <v>3346</v>
      </c>
      <c r="AT31" s="104">
        <v>3346</v>
      </c>
      <c r="AU31" s="108">
        <v>3336</v>
      </c>
      <c r="AV31" s="114" t="s">
        <v>7</v>
      </c>
      <c r="AW31" s="114" t="s">
        <v>7</v>
      </c>
      <c r="AX31" s="16"/>
      <c r="AY31" s="17"/>
      <c r="AZ31" s="114" t="s">
        <v>7</v>
      </c>
      <c r="BA31" s="114" t="s">
        <v>7</v>
      </c>
      <c r="BB31" s="114" t="s">
        <v>7</v>
      </c>
      <c r="BC31" s="114" t="s">
        <v>7</v>
      </c>
      <c r="BD31" s="114" t="s">
        <v>7</v>
      </c>
      <c r="BE31" s="16"/>
      <c r="BF31" s="17"/>
      <c r="BG31" s="104">
        <v>3346</v>
      </c>
      <c r="BH31" s="114" t="s">
        <v>7</v>
      </c>
      <c r="BI31" s="114" t="s">
        <v>7</v>
      </c>
      <c r="BJ31" s="114" t="s">
        <v>7</v>
      </c>
      <c r="BK31" s="114" t="s">
        <v>7</v>
      </c>
      <c r="BL31" s="16"/>
      <c r="BM31" s="17"/>
      <c r="BN31" s="104">
        <v>3346</v>
      </c>
      <c r="BO31" s="104">
        <v>3346</v>
      </c>
      <c r="BP31" s="114" t="s">
        <v>7</v>
      </c>
      <c r="BQ31" s="114" t="s">
        <v>7</v>
      </c>
      <c r="BR31" s="101" t="s">
        <v>9</v>
      </c>
      <c r="BS31" s="16"/>
      <c r="BT31" s="17"/>
      <c r="BU31" s="101" t="s">
        <v>9</v>
      </c>
      <c r="BV31" s="104">
        <v>3346</v>
      </c>
      <c r="BW31" s="114" t="s">
        <v>7</v>
      </c>
      <c r="BX31" s="114" t="s">
        <v>7</v>
      </c>
      <c r="BY31" s="114" t="s">
        <v>7</v>
      </c>
      <c r="BZ31" s="16"/>
      <c r="CA31" s="17"/>
      <c r="CB31" s="114" t="s">
        <v>7</v>
      </c>
      <c r="CC31" s="114" t="s">
        <v>7</v>
      </c>
      <c r="CD31" s="114" t="s">
        <v>7</v>
      </c>
      <c r="CE31" s="114" t="s">
        <v>7</v>
      </c>
      <c r="CF31" s="114" t="s">
        <v>7</v>
      </c>
      <c r="CG31" s="16"/>
      <c r="CH31" s="17"/>
      <c r="CI31" s="108">
        <v>3336</v>
      </c>
      <c r="CJ31" s="114" t="s">
        <v>7</v>
      </c>
      <c r="CK31" s="114" t="s">
        <v>7</v>
      </c>
      <c r="CL31" s="114" t="s">
        <v>7</v>
      </c>
      <c r="CM31" s="114" t="s">
        <v>7</v>
      </c>
      <c r="CN31" s="16"/>
      <c r="CO31" s="17"/>
      <c r="CP31" s="104">
        <v>3346</v>
      </c>
      <c r="CQ31" s="114" t="s">
        <v>7</v>
      </c>
      <c r="CR31" s="114" t="s">
        <v>7</v>
      </c>
      <c r="CS31" s="114" t="s">
        <v>7</v>
      </c>
      <c r="CT31" s="101" t="s">
        <v>9</v>
      </c>
      <c r="CU31" s="16"/>
      <c r="CV31" s="17"/>
      <c r="CW31" s="104">
        <v>3346</v>
      </c>
      <c r="CX31" s="114" t="s">
        <v>7</v>
      </c>
      <c r="CY31" s="114" t="s">
        <v>7</v>
      </c>
      <c r="CZ31" s="114" t="s">
        <v>7</v>
      </c>
      <c r="DA31" s="114" t="s">
        <v>7</v>
      </c>
      <c r="DB31" s="16"/>
      <c r="DC31" s="17"/>
      <c r="DD31" s="114" t="s">
        <v>7</v>
      </c>
      <c r="DE31" s="114" t="s">
        <v>7</v>
      </c>
      <c r="DF31" s="114" t="s">
        <v>7</v>
      </c>
      <c r="DG31" s="101" t="s">
        <v>9</v>
      </c>
      <c r="DH31" s="114" t="s">
        <v>7</v>
      </c>
      <c r="DI31" s="16"/>
      <c r="DJ31" s="17"/>
      <c r="DK31" s="114" t="s">
        <v>7</v>
      </c>
      <c r="DL31" s="114" t="s">
        <v>7</v>
      </c>
      <c r="DM31" s="114" t="s">
        <v>7</v>
      </c>
    </row>
    <row r="32" spans="1:117" x14ac:dyDescent="0.3">
      <c r="A32" s="32"/>
      <c r="B32" s="248"/>
      <c r="C32" s="108">
        <v>3336</v>
      </c>
      <c r="D32" s="108">
        <v>3336</v>
      </c>
      <c r="E32" s="111">
        <v>3346</v>
      </c>
      <c r="F32" s="111">
        <v>3346</v>
      </c>
      <c r="G32" s="103">
        <v>3328</v>
      </c>
      <c r="H32" s="16"/>
      <c r="I32" s="17"/>
      <c r="J32" s="108">
        <v>3336</v>
      </c>
      <c r="K32" s="101" t="s">
        <v>9</v>
      </c>
      <c r="L32" s="108">
        <v>3336</v>
      </c>
      <c r="M32" s="111">
        <v>3346</v>
      </c>
      <c r="N32" s="103">
        <v>3328</v>
      </c>
      <c r="O32" s="16"/>
      <c r="P32" s="17"/>
      <c r="Q32" s="101" t="s">
        <v>9</v>
      </c>
      <c r="R32" s="103">
        <v>3328</v>
      </c>
      <c r="S32" s="103">
        <v>3328</v>
      </c>
      <c r="T32" s="108">
        <v>3336</v>
      </c>
      <c r="U32" s="114" t="s">
        <v>7</v>
      </c>
      <c r="V32" s="16"/>
      <c r="W32" s="17"/>
      <c r="X32" s="101" t="s">
        <v>9</v>
      </c>
      <c r="Y32" s="103">
        <v>3328</v>
      </c>
      <c r="Z32" s="103">
        <v>3328</v>
      </c>
      <c r="AA32" s="114" t="s">
        <v>7</v>
      </c>
      <c r="AB32" s="114" t="s">
        <v>7</v>
      </c>
      <c r="AC32" s="16"/>
      <c r="AD32" s="17"/>
      <c r="AE32" s="101" t="s">
        <v>9</v>
      </c>
      <c r="AF32" s="103">
        <v>3328</v>
      </c>
      <c r="AG32" s="137" t="s">
        <v>10</v>
      </c>
      <c r="AH32" s="137" t="s">
        <v>10</v>
      </c>
      <c r="AI32" s="137" t="s">
        <v>10</v>
      </c>
      <c r="AJ32" s="16"/>
      <c r="AK32" s="17"/>
      <c r="AL32" s="105">
        <v>3272</v>
      </c>
      <c r="AM32" s="103">
        <v>3328</v>
      </c>
      <c r="AN32" s="108">
        <v>3336</v>
      </c>
      <c r="AO32" s="104">
        <v>3346</v>
      </c>
      <c r="AP32" s="104">
        <v>3346</v>
      </c>
      <c r="AQ32" s="16"/>
      <c r="AR32" s="17"/>
      <c r="AS32" s="104">
        <v>3346</v>
      </c>
      <c r="AT32" s="104">
        <v>3346</v>
      </c>
      <c r="AU32" s="108">
        <v>3336</v>
      </c>
      <c r="AV32" s="114" t="s">
        <v>7</v>
      </c>
      <c r="AW32" s="114" t="s">
        <v>7</v>
      </c>
      <c r="AX32" s="16"/>
      <c r="AY32" s="17"/>
      <c r="AZ32" s="114" t="s">
        <v>7</v>
      </c>
      <c r="BA32" s="114" t="s">
        <v>7</v>
      </c>
      <c r="BB32" s="114" t="s">
        <v>7</v>
      </c>
      <c r="BC32" s="114" t="s">
        <v>7</v>
      </c>
      <c r="BD32" s="114" t="s">
        <v>7</v>
      </c>
      <c r="BE32" s="16"/>
      <c r="BF32" s="17"/>
      <c r="BG32" s="104">
        <v>3346</v>
      </c>
      <c r="BH32" s="114" t="s">
        <v>7</v>
      </c>
      <c r="BI32" s="114" t="s">
        <v>7</v>
      </c>
      <c r="BJ32" s="114" t="s">
        <v>7</v>
      </c>
      <c r="BK32" s="114" t="s">
        <v>7</v>
      </c>
      <c r="BL32" s="16"/>
      <c r="BM32" s="17"/>
      <c r="BN32" s="104">
        <v>3346</v>
      </c>
      <c r="BO32" s="147">
        <v>3328</v>
      </c>
      <c r="BP32" s="114" t="s">
        <v>7</v>
      </c>
      <c r="BQ32" s="114" t="s">
        <v>7</v>
      </c>
      <c r="BR32" s="101" t="s">
        <v>9</v>
      </c>
      <c r="BS32" s="16"/>
      <c r="BT32" s="17"/>
      <c r="BU32" s="101" t="s">
        <v>9</v>
      </c>
      <c r="BV32" s="104">
        <v>3346</v>
      </c>
      <c r="BW32" s="114" t="s">
        <v>7</v>
      </c>
      <c r="BX32" s="114" t="s">
        <v>7</v>
      </c>
      <c r="BY32" s="114" t="s">
        <v>7</v>
      </c>
      <c r="BZ32" s="16"/>
      <c r="CA32" s="17"/>
      <c r="CB32" s="114" t="s">
        <v>7</v>
      </c>
      <c r="CC32" s="114" t="s">
        <v>7</v>
      </c>
      <c r="CD32" s="114" t="s">
        <v>7</v>
      </c>
      <c r="CE32" s="114" t="s">
        <v>7</v>
      </c>
      <c r="CF32" s="114" t="s">
        <v>7</v>
      </c>
      <c r="CG32" s="16"/>
      <c r="CH32" s="17"/>
      <c r="CI32" s="108">
        <v>3336</v>
      </c>
      <c r="CJ32" s="114" t="s">
        <v>7</v>
      </c>
      <c r="CK32" s="114" t="s">
        <v>7</v>
      </c>
      <c r="CL32" s="101" t="s">
        <v>9</v>
      </c>
      <c r="CM32" s="114" t="s">
        <v>7</v>
      </c>
      <c r="CN32" s="16"/>
      <c r="CO32" s="17"/>
      <c r="CP32" s="114" t="s">
        <v>7</v>
      </c>
      <c r="CQ32" s="114" t="s">
        <v>7</v>
      </c>
      <c r="CR32" s="114" t="s">
        <v>7</v>
      </c>
      <c r="CS32" s="114" t="s">
        <v>7</v>
      </c>
      <c r="CT32" s="101" t="s">
        <v>9</v>
      </c>
      <c r="CU32" s="16"/>
      <c r="CV32" s="17"/>
      <c r="CW32" s="114" t="s">
        <v>7</v>
      </c>
      <c r="CX32" s="114" t="s">
        <v>7</v>
      </c>
      <c r="CY32" s="114" t="s">
        <v>7</v>
      </c>
      <c r="CZ32" s="114" t="s">
        <v>7</v>
      </c>
      <c r="DA32" s="114" t="s">
        <v>7</v>
      </c>
      <c r="DB32" s="16"/>
      <c r="DC32" s="17"/>
      <c r="DD32" s="114" t="s">
        <v>7</v>
      </c>
      <c r="DE32" s="114" t="s">
        <v>7</v>
      </c>
      <c r="DF32" s="114" t="s">
        <v>7</v>
      </c>
      <c r="DG32" s="101" t="s">
        <v>9</v>
      </c>
      <c r="DH32" s="114" t="s">
        <v>7</v>
      </c>
      <c r="DI32" s="16"/>
      <c r="DJ32" s="17"/>
      <c r="DK32" s="114" t="s">
        <v>7</v>
      </c>
      <c r="DL32" s="114" t="s">
        <v>7</v>
      </c>
      <c r="DM32" s="114" t="s">
        <v>7</v>
      </c>
    </row>
    <row r="33" spans="1:117" x14ac:dyDescent="0.3">
      <c r="A33" s="33"/>
      <c r="B33" s="248"/>
      <c r="C33" s="108">
        <v>3336</v>
      </c>
      <c r="D33" s="108">
        <v>3336</v>
      </c>
      <c r="E33" s="111">
        <v>3346</v>
      </c>
      <c r="F33" s="111">
        <v>3346</v>
      </c>
      <c r="G33" s="103">
        <v>3328</v>
      </c>
      <c r="H33" s="16"/>
      <c r="I33" s="17"/>
      <c r="J33" s="108">
        <v>3336</v>
      </c>
      <c r="K33" s="101" t="s">
        <v>9</v>
      </c>
      <c r="L33" s="108">
        <v>3336</v>
      </c>
      <c r="M33" s="114" t="s">
        <v>7</v>
      </c>
      <c r="N33" s="103">
        <v>3328</v>
      </c>
      <c r="O33" s="16"/>
      <c r="P33" s="17"/>
      <c r="Q33" s="101" t="s">
        <v>9</v>
      </c>
      <c r="R33" s="103">
        <v>3328</v>
      </c>
      <c r="S33" s="103">
        <v>3328</v>
      </c>
      <c r="T33" s="108">
        <v>3336</v>
      </c>
      <c r="U33" s="114" t="s">
        <v>7</v>
      </c>
      <c r="V33" s="16"/>
      <c r="W33" s="17"/>
      <c r="X33" s="101" t="s">
        <v>9</v>
      </c>
      <c r="Y33" s="103">
        <v>3328</v>
      </c>
      <c r="Z33" s="103">
        <v>3328</v>
      </c>
      <c r="AA33" s="114" t="s">
        <v>7</v>
      </c>
      <c r="AB33" s="114" t="s">
        <v>7</v>
      </c>
      <c r="AC33" s="16"/>
      <c r="AD33" s="17"/>
      <c r="AE33" s="101" t="s">
        <v>9</v>
      </c>
      <c r="AF33" s="103">
        <v>3328</v>
      </c>
      <c r="AG33" s="137" t="s">
        <v>10</v>
      </c>
      <c r="AH33" s="137" t="s">
        <v>10</v>
      </c>
      <c r="AI33" s="137" t="s">
        <v>10</v>
      </c>
      <c r="AJ33" s="16"/>
      <c r="AK33" s="17"/>
      <c r="AL33" s="105">
        <v>3272</v>
      </c>
      <c r="AM33" s="103">
        <v>3328</v>
      </c>
      <c r="AN33" s="104">
        <v>3346</v>
      </c>
      <c r="AO33" s="104">
        <v>3346</v>
      </c>
      <c r="AP33" s="104">
        <v>3346</v>
      </c>
      <c r="AQ33" s="16"/>
      <c r="AR33" s="17"/>
      <c r="AS33" s="104">
        <v>3346</v>
      </c>
      <c r="AT33" s="104">
        <v>3346</v>
      </c>
      <c r="AU33" s="108">
        <v>3336</v>
      </c>
      <c r="AV33" s="114" t="s">
        <v>7</v>
      </c>
      <c r="AW33" s="114" t="s">
        <v>7</v>
      </c>
      <c r="AX33" s="16"/>
      <c r="AY33" s="17"/>
      <c r="AZ33" s="114" t="s">
        <v>7</v>
      </c>
      <c r="BA33" s="114" t="s">
        <v>7</v>
      </c>
      <c r="BB33" s="114" t="s">
        <v>7</v>
      </c>
      <c r="BC33" s="114" t="s">
        <v>7</v>
      </c>
      <c r="BD33" s="114" t="s">
        <v>7</v>
      </c>
      <c r="BE33" s="16"/>
      <c r="BF33" s="17"/>
      <c r="BG33" s="104">
        <v>3346</v>
      </c>
      <c r="BH33" s="114" t="s">
        <v>7</v>
      </c>
      <c r="BI33" s="114" t="s">
        <v>7</v>
      </c>
      <c r="BJ33" s="114" t="s">
        <v>7</v>
      </c>
      <c r="BK33" s="114" t="s">
        <v>7</v>
      </c>
      <c r="BL33" s="16"/>
      <c r="BM33" s="17"/>
      <c r="BN33" s="104">
        <v>3346</v>
      </c>
      <c r="BO33" s="114" t="s">
        <v>7</v>
      </c>
      <c r="BP33" s="114" t="s">
        <v>7</v>
      </c>
      <c r="BQ33" s="114" t="s">
        <v>7</v>
      </c>
      <c r="BR33" s="101" t="s">
        <v>9</v>
      </c>
      <c r="BS33" s="16"/>
      <c r="BT33" s="17"/>
      <c r="BU33" s="101" t="s">
        <v>9</v>
      </c>
      <c r="BV33" s="104">
        <v>3346</v>
      </c>
      <c r="BW33" s="114" t="s">
        <v>7</v>
      </c>
      <c r="BX33" s="114" t="s">
        <v>7</v>
      </c>
      <c r="BY33" s="114" t="s">
        <v>7</v>
      </c>
      <c r="BZ33" s="16"/>
      <c r="CA33" s="17"/>
      <c r="CB33" s="114" t="s">
        <v>7</v>
      </c>
      <c r="CC33" s="114" t="s">
        <v>7</v>
      </c>
      <c r="CD33" s="114" t="s">
        <v>7</v>
      </c>
      <c r="CE33" s="114" t="s">
        <v>7</v>
      </c>
      <c r="CF33" s="114" t="s">
        <v>7</v>
      </c>
      <c r="CG33" s="16"/>
      <c r="CH33" s="17"/>
      <c r="CI33" s="108">
        <v>3336</v>
      </c>
      <c r="CJ33" s="114" t="s">
        <v>7</v>
      </c>
      <c r="CK33" s="114" t="s">
        <v>7</v>
      </c>
      <c r="CL33" s="101" t="s">
        <v>9</v>
      </c>
      <c r="CM33" s="114" t="s">
        <v>7</v>
      </c>
      <c r="CN33" s="16"/>
      <c r="CO33" s="17"/>
      <c r="CP33" s="114" t="s">
        <v>7</v>
      </c>
      <c r="CQ33" s="114" t="s">
        <v>7</v>
      </c>
      <c r="CR33" s="114" t="s">
        <v>7</v>
      </c>
      <c r="CS33" s="114" t="s">
        <v>7</v>
      </c>
      <c r="CT33" s="101" t="s">
        <v>9</v>
      </c>
      <c r="CU33" s="16"/>
      <c r="CV33" s="17"/>
      <c r="CW33" s="114" t="s">
        <v>7</v>
      </c>
      <c r="CX33" s="114" t="s">
        <v>7</v>
      </c>
      <c r="CY33" s="114" t="s">
        <v>7</v>
      </c>
      <c r="CZ33" s="114" t="s">
        <v>7</v>
      </c>
      <c r="DA33" s="114" t="s">
        <v>7</v>
      </c>
      <c r="DB33" s="16"/>
      <c r="DC33" s="17"/>
      <c r="DD33" s="114" t="s">
        <v>7</v>
      </c>
      <c r="DE33" s="114" t="s">
        <v>7</v>
      </c>
      <c r="DF33" s="114" t="s">
        <v>7</v>
      </c>
      <c r="DG33" s="101" t="s">
        <v>9</v>
      </c>
      <c r="DH33" s="114" t="s">
        <v>7</v>
      </c>
      <c r="DI33" s="16"/>
      <c r="DJ33" s="17"/>
      <c r="DK33" s="114" t="s">
        <v>7</v>
      </c>
      <c r="DL33" s="114" t="s">
        <v>7</v>
      </c>
      <c r="DM33" s="114" t="s">
        <v>7</v>
      </c>
    </row>
    <row r="34" spans="1:117" x14ac:dyDescent="0.3">
      <c r="A34" s="34"/>
      <c r="B34" s="248"/>
      <c r="C34" s="107">
        <v>3336</v>
      </c>
      <c r="D34" s="107">
        <v>3336</v>
      </c>
      <c r="E34" s="111">
        <v>3346</v>
      </c>
      <c r="F34" s="111">
        <v>3346</v>
      </c>
      <c r="G34" s="103">
        <v>3328</v>
      </c>
      <c r="H34" s="16"/>
      <c r="I34" s="17"/>
      <c r="J34" s="107">
        <v>3336</v>
      </c>
      <c r="K34" s="101" t="s">
        <v>9</v>
      </c>
      <c r="L34" s="107">
        <v>3336</v>
      </c>
      <c r="M34" s="114" t="s">
        <v>7</v>
      </c>
      <c r="N34" s="103">
        <v>3328</v>
      </c>
      <c r="O34" s="16"/>
      <c r="P34" s="17"/>
      <c r="Q34" s="101" t="s">
        <v>9</v>
      </c>
      <c r="R34" s="103">
        <v>3328</v>
      </c>
      <c r="S34" s="103">
        <v>3328</v>
      </c>
      <c r="T34" s="107">
        <v>3336</v>
      </c>
      <c r="U34" s="114" t="s">
        <v>7</v>
      </c>
      <c r="V34" s="16"/>
      <c r="W34" s="17"/>
      <c r="X34" s="101" t="s">
        <v>9</v>
      </c>
      <c r="Y34" s="103">
        <v>3328</v>
      </c>
      <c r="Z34" s="103">
        <v>3328</v>
      </c>
      <c r="AA34" s="114" t="s">
        <v>7</v>
      </c>
      <c r="AB34" s="114" t="s">
        <v>7</v>
      </c>
      <c r="AC34" s="16"/>
      <c r="AD34" s="17"/>
      <c r="AE34" s="101" t="s">
        <v>9</v>
      </c>
      <c r="AF34" s="103">
        <v>3328</v>
      </c>
      <c r="AG34" s="137" t="s">
        <v>10</v>
      </c>
      <c r="AH34" s="137" t="s">
        <v>10</v>
      </c>
      <c r="AI34" s="137" t="s">
        <v>10</v>
      </c>
      <c r="AJ34" s="16"/>
      <c r="AK34" s="17"/>
      <c r="AL34" s="105">
        <v>3272</v>
      </c>
      <c r="AM34" s="103">
        <v>3328</v>
      </c>
      <c r="AN34" s="104">
        <v>3346</v>
      </c>
      <c r="AO34" s="104">
        <v>3346</v>
      </c>
      <c r="AP34" s="104">
        <v>3346</v>
      </c>
      <c r="AQ34" s="16"/>
      <c r="AR34" s="17"/>
      <c r="AS34" s="104">
        <v>3346</v>
      </c>
      <c r="AT34" s="104">
        <v>3346</v>
      </c>
      <c r="AU34" s="114" t="s">
        <v>7</v>
      </c>
      <c r="AV34" s="114" t="s">
        <v>7</v>
      </c>
      <c r="AW34" s="114" t="s">
        <v>7</v>
      </c>
      <c r="AX34" s="16"/>
      <c r="AY34" s="17"/>
      <c r="AZ34" s="114" t="s">
        <v>7</v>
      </c>
      <c r="BA34" s="114" t="s">
        <v>7</v>
      </c>
      <c r="BB34" s="114" t="s">
        <v>7</v>
      </c>
      <c r="BC34" s="114" t="s">
        <v>7</v>
      </c>
      <c r="BD34" s="114" t="s">
        <v>7</v>
      </c>
      <c r="BE34" s="16"/>
      <c r="BF34" s="17"/>
      <c r="BG34" s="104">
        <v>3346</v>
      </c>
      <c r="BH34" s="114" t="s">
        <v>7</v>
      </c>
      <c r="BI34" s="114" t="s">
        <v>7</v>
      </c>
      <c r="BJ34" s="114" t="s">
        <v>7</v>
      </c>
      <c r="BK34" s="114" t="s">
        <v>7</v>
      </c>
      <c r="BL34" s="16"/>
      <c r="BM34" s="17"/>
      <c r="BN34" s="104">
        <v>3346</v>
      </c>
      <c r="BO34" s="114" t="s">
        <v>7</v>
      </c>
      <c r="BP34" s="114" t="s">
        <v>7</v>
      </c>
      <c r="BQ34" s="114" t="s">
        <v>7</v>
      </c>
      <c r="BR34" s="101" t="s">
        <v>9</v>
      </c>
      <c r="BS34" s="16"/>
      <c r="BT34" s="17"/>
      <c r="BU34" s="101" t="s">
        <v>9</v>
      </c>
      <c r="BV34" s="114" t="s">
        <v>7</v>
      </c>
      <c r="BW34" s="114" t="s">
        <v>7</v>
      </c>
      <c r="BX34" s="114" t="s">
        <v>7</v>
      </c>
      <c r="BY34" s="114" t="s">
        <v>7</v>
      </c>
      <c r="BZ34" s="16"/>
      <c r="CA34" s="17"/>
      <c r="CB34" s="114" t="s">
        <v>7</v>
      </c>
      <c r="CC34" s="114" t="s">
        <v>7</v>
      </c>
      <c r="CD34" s="114" t="s">
        <v>7</v>
      </c>
      <c r="CE34" s="114" t="s">
        <v>7</v>
      </c>
      <c r="CF34" s="114" t="s">
        <v>7</v>
      </c>
      <c r="CG34" s="16"/>
      <c r="CH34" s="17"/>
      <c r="CI34" s="108">
        <v>3336</v>
      </c>
      <c r="CJ34" s="114" t="s">
        <v>7</v>
      </c>
      <c r="CK34" s="114" t="s">
        <v>7</v>
      </c>
      <c r="CL34" s="101" t="s">
        <v>9</v>
      </c>
      <c r="CM34" s="114" t="s">
        <v>7</v>
      </c>
      <c r="CN34" s="16"/>
      <c r="CO34" s="17"/>
      <c r="CP34" s="114" t="s">
        <v>7</v>
      </c>
      <c r="CQ34" s="114" t="s">
        <v>7</v>
      </c>
      <c r="CR34" s="114" t="s">
        <v>7</v>
      </c>
      <c r="CS34" s="114" t="s">
        <v>7</v>
      </c>
      <c r="CT34" s="101" t="s">
        <v>9</v>
      </c>
      <c r="CU34" s="16"/>
      <c r="CV34" s="17"/>
      <c r="CW34" s="114" t="s">
        <v>7</v>
      </c>
      <c r="CX34" s="114" t="s">
        <v>7</v>
      </c>
      <c r="CY34" s="114" t="s">
        <v>7</v>
      </c>
      <c r="CZ34" s="114" t="s">
        <v>7</v>
      </c>
      <c r="DA34" s="114" t="s">
        <v>7</v>
      </c>
      <c r="DB34" s="16"/>
      <c r="DC34" s="17"/>
      <c r="DD34" s="114" t="s">
        <v>7</v>
      </c>
      <c r="DE34" s="114" t="s">
        <v>7</v>
      </c>
      <c r="DF34" s="114" t="s">
        <v>7</v>
      </c>
      <c r="DG34" s="101" t="s">
        <v>9</v>
      </c>
      <c r="DH34" s="114" t="s">
        <v>7</v>
      </c>
      <c r="DI34" s="16"/>
      <c r="DJ34" s="17"/>
      <c r="DK34" s="114" t="s">
        <v>7</v>
      </c>
      <c r="DL34" s="114" t="s">
        <v>7</v>
      </c>
      <c r="DM34" s="114" t="s">
        <v>7</v>
      </c>
    </row>
    <row r="35" spans="1:117" x14ac:dyDescent="0.3">
      <c r="A35" s="34"/>
      <c r="B35" s="248"/>
      <c r="C35" s="108">
        <v>3336</v>
      </c>
      <c r="D35" s="108">
        <v>3336</v>
      </c>
      <c r="E35" s="111">
        <v>3346</v>
      </c>
      <c r="F35" s="111">
        <v>3346</v>
      </c>
      <c r="G35" s="103">
        <v>3328</v>
      </c>
      <c r="H35" s="16"/>
      <c r="I35" s="17"/>
      <c r="J35" s="108">
        <v>3336</v>
      </c>
      <c r="K35" s="101" t="s">
        <v>9</v>
      </c>
      <c r="L35" s="108">
        <v>3336</v>
      </c>
      <c r="M35" s="114" t="s">
        <v>7</v>
      </c>
      <c r="N35" s="103">
        <v>3328</v>
      </c>
      <c r="O35" s="16"/>
      <c r="P35" s="17"/>
      <c r="Q35" s="101" t="s">
        <v>9</v>
      </c>
      <c r="R35" s="103">
        <v>3328</v>
      </c>
      <c r="S35" s="103">
        <v>3328</v>
      </c>
      <c r="T35" s="108">
        <v>3336</v>
      </c>
      <c r="U35" s="114" t="s">
        <v>7</v>
      </c>
      <c r="V35" s="16"/>
      <c r="W35" s="17"/>
      <c r="X35" s="101" t="s">
        <v>9</v>
      </c>
      <c r="Y35" s="103">
        <v>3328</v>
      </c>
      <c r="Z35" s="103">
        <v>3328</v>
      </c>
      <c r="AA35" s="114" t="s">
        <v>7</v>
      </c>
      <c r="AB35" s="114" t="s">
        <v>7</v>
      </c>
      <c r="AC35" s="16"/>
      <c r="AD35" s="17"/>
      <c r="AE35" s="101" t="s">
        <v>9</v>
      </c>
      <c r="AF35" s="103">
        <v>3328</v>
      </c>
      <c r="AG35" s="137" t="s">
        <v>10</v>
      </c>
      <c r="AH35" s="137" t="s">
        <v>10</v>
      </c>
      <c r="AI35" s="137" t="s">
        <v>10</v>
      </c>
      <c r="AJ35" s="16"/>
      <c r="AK35" s="17"/>
      <c r="AL35" s="105">
        <v>3272</v>
      </c>
      <c r="AM35" s="103">
        <v>3328</v>
      </c>
      <c r="AN35" s="104">
        <v>3346</v>
      </c>
      <c r="AO35" s="104">
        <v>3346</v>
      </c>
      <c r="AP35" s="139" t="s">
        <v>7</v>
      </c>
      <c r="AQ35" s="16"/>
      <c r="AR35" s="17"/>
      <c r="AS35" s="104">
        <v>3346</v>
      </c>
      <c r="AT35" s="104">
        <v>3346</v>
      </c>
      <c r="AU35" s="114" t="s">
        <v>7</v>
      </c>
      <c r="AV35" s="114" t="s">
        <v>7</v>
      </c>
      <c r="AW35" s="114" t="s">
        <v>7</v>
      </c>
      <c r="AX35" s="16"/>
      <c r="AY35" s="17"/>
      <c r="AZ35" s="114" t="s">
        <v>7</v>
      </c>
      <c r="BA35" s="114" t="s">
        <v>7</v>
      </c>
      <c r="BB35" s="114" t="s">
        <v>7</v>
      </c>
      <c r="BC35" s="114" t="s">
        <v>7</v>
      </c>
      <c r="BD35" s="114" t="s">
        <v>7</v>
      </c>
      <c r="BE35" s="16"/>
      <c r="BF35" s="17"/>
      <c r="BG35" s="104">
        <v>3346</v>
      </c>
      <c r="BH35" s="114" t="s">
        <v>7</v>
      </c>
      <c r="BI35" s="114" t="s">
        <v>7</v>
      </c>
      <c r="BJ35" s="114" t="s">
        <v>7</v>
      </c>
      <c r="BK35" s="114" t="s">
        <v>7</v>
      </c>
      <c r="BL35" s="16"/>
      <c r="BM35" s="17"/>
      <c r="BN35" s="104">
        <v>3346</v>
      </c>
      <c r="BO35" s="114" t="s">
        <v>7</v>
      </c>
      <c r="BP35" s="114" t="s">
        <v>7</v>
      </c>
      <c r="BQ35" s="114" t="s">
        <v>7</v>
      </c>
      <c r="BR35" s="101" t="s">
        <v>9</v>
      </c>
      <c r="BS35" s="16"/>
      <c r="BT35" s="17"/>
      <c r="BU35" s="101" t="s">
        <v>9</v>
      </c>
      <c r="BV35" s="114" t="s">
        <v>7</v>
      </c>
      <c r="BW35" s="114" t="s">
        <v>7</v>
      </c>
      <c r="BX35" s="114" t="s">
        <v>7</v>
      </c>
      <c r="BY35" s="114" t="s">
        <v>7</v>
      </c>
      <c r="BZ35" s="16"/>
      <c r="CA35" s="17"/>
      <c r="CB35" s="114" t="s">
        <v>7</v>
      </c>
      <c r="CC35" s="114" t="s">
        <v>7</v>
      </c>
      <c r="CD35" s="114" t="s">
        <v>7</v>
      </c>
      <c r="CE35" s="114" t="s">
        <v>7</v>
      </c>
      <c r="CF35" s="114" t="s">
        <v>7</v>
      </c>
      <c r="CG35" s="16"/>
      <c r="CH35" s="17"/>
      <c r="CI35" s="114" t="s">
        <v>7</v>
      </c>
      <c r="CJ35" s="114" t="s">
        <v>7</v>
      </c>
      <c r="CK35" s="114" t="s">
        <v>7</v>
      </c>
      <c r="CL35" s="101" t="s">
        <v>9</v>
      </c>
      <c r="CM35" s="114" t="s">
        <v>7</v>
      </c>
      <c r="CN35" s="16"/>
      <c r="CO35" s="17"/>
      <c r="CP35" s="114" t="s">
        <v>7</v>
      </c>
      <c r="CQ35" s="114" t="s">
        <v>7</v>
      </c>
      <c r="CR35" s="114" t="s">
        <v>7</v>
      </c>
      <c r="CS35" s="114" t="s">
        <v>7</v>
      </c>
      <c r="CT35" s="101" t="s">
        <v>9</v>
      </c>
      <c r="CU35" s="16"/>
      <c r="CV35" s="17"/>
      <c r="CW35" s="114" t="s">
        <v>7</v>
      </c>
      <c r="CX35" s="114" t="s">
        <v>7</v>
      </c>
      <c r="CY35" s="114" t="s">
        <v>7</v>
      </c>
      <c r="CZ35" s="114" t="s">
        <v>7</v>
      </c>
      <c r="DA35" s="114" t="s">
        <v>7</v>
      </c>
      <c r="DB35" s="16"/>
      <c r="DC35" s="17"/>
      <c r="DD35" s="114" t="s">
        <v>7</v>
      </c>
      <c r="DE35" s="114" t="s">
        <v>7</v>
      </c>
      <c r="DF35" s="114" t="s">
        <v>7</v>
      </c>
      <c r="DG35" s="101" t="s">
        <v>9</v>
      </c>
      <c r="DH35" s="114" t="s">
        <v>7</v>
      </c>
      <c r="DI35" s="16"/>
      <c r="DJ35" s="17"/>
      <c r="DK35" s="114" t="s">
        <v>7</v>
      </c>
      <c r="DL35" s="114" t="s">
        <v>7</v>
      </c>
      <c r="DM35" s="114" t="s">
        <v>7</v>
      </c>
    </row>
    <row r="36" spans="1:117" x14ac:dyDescent="0.3">
      <c r="A36" s="34"/>
      <c r="B36" s="248"/>
      <c r="C36" s="108">
        <v>3336</v>
      </c>
      <c r="D36" s="108">
        <v>3336</v>
      </c>
      <c r="E36" s="112">
        <v>3272</v>
      </c>
      <c r="F36" s="111">
        <v>3346</v>
      </c>
      <c r="G36" s="103">
        <v>3328</v>
      </c>
      <c r="H36" s="16"/>
      <c r="I36" s="17"/>
      <c r="J36" s="108">
        <v>3336</v>
      </c>
      <c r="K36" s="101" t="s">
        <v>9</v>
      </c>
      <c r="L36" s="108">
        <v>3336</v>
      </c>
      <c r="M36" s="112">
        <v>3272</v>
      </c>
      <c r="N36" s="103">
        <v>3328</v>
      </c>
      <c r="O36" s="16"/>
      <c r="P36" s="17"/>
      <c r="Q36" s="101" t="s">
        <v>9</v>
      </c>
      <c r="R36" s="103">
        <v>3328</v>
      </c>
      <c r="S36" s="103">
        <v>3328</v>
      </c>
      <c r="T36" s="108">
        <v>3336</v>
      </c>
      <c r="U36" s="114" t="s">
        <v>7</v>
      </c>
      <c r="V36" s="16"/>
      <c r="W36" s="17"/>
      <c r="X36" s="101" t="s">
        <v>9</v>
      </c>
      <c r="Y36" s="103">
        <v>3328</v>
      </c>
      <c r="Z36" s="103">
        <v>3328</v>
      </c>
      <c r="AA36" s="114" t="s">
        <v>7</v>
      </c>
      <c r="AB36" s="114" t="s">
        <v>7</v>
      </c>
      <c r="AC36" s="16"/>
      <c r="AD36" s="17"/>
      <c r="AE36" s="101" t="s">
        <v>9</v>
      </c>
      <c r="AF36" s="103">
        <v>3328</v>
      </c>
      <c r="AG36" s="137" t="s">
        <v>10</v>
      </c>
      <c r="AH36" s="137" t="s">
        <v>10</v>
      </c>
      <c r="AI36" s="137" t="s">
        <v>10</v>
      </c>
      <c r="AJ36" s="16"/>
      <c r="AK36" s="17"/>
      <c r="AL36" s="105">
        <v>3272</v>
      </c>
      <c r="AM36" s="103">
        <v>3328</v>
      </c>
      <c r="AN36" s="104">
        <v>3346</v>
      </c>
      <c r="AO36" s="104">
        <v>3346</v>
      </c>
      <c r="AP36" s="139" t="s">
        <v>7</v>
      </c>
      <c r="AQ36" s="16"/>
      <c r="AR36" s="17"/>
      <c r="AS36" s="104">
        <v>3346</v>
      </c>
      <c r="AT36" s="104">
        <v>3346</v>
      </c>
      <c r="AU36" s="114" t="s">
        <v>7</v>
      </c>
      <c r="AV36" s="114" t="s">
        <v>7</v>
      </c>
      <c r="AW36" s="114" t="s">
        <v>7</v>
      </c>
      <c r="AX36" s="16"/>
      <c r="AY36" s="17"/>
      <c r="AZ36" s="114" t="s">
        <v>7</v>
      </c>
      <c r="BA36" s="114" t="s">
        <v>7</v>
      </c>
      <c r="BB36" s="114" t="s">
        <v>7</v>
      </c>
      <c r="BC36" s="114" t="s">
        <v>7</v>
      </c>
      <c r="BD36" s="114" t="s">
        <v>7</v>
      </c>
      <c r="BE36" s="16"/>
      <c r="BF36" s="17"/>
      <c r="BG36" s="104">
        <v>3346</v>
      </c>
      <c r="BH36" s="114" t="s">
        <v>7</v>
      </c>
      <c r="BI36" s="114" t="s">
        <v>7</v>
      </c>
      <c r="BJ36" s="114" t="s">
        <v>7</v>
      </c>
      <c r="BK36" s="114" t="s">
        <v>7</v>
      </c>
      <c r="BL36" s="16"/>
      <c r="BM36" s="17"/>
      <c r="BN36" s="104">
        <v>3346</v>
      </c>
      <c r="BO36" s="114" t="s">
        <v>7</v>
      </c>
      <c r="BP36" s="114" t="s">
        <v>7</v>
      </c>
      <c r="BQ36" s="114" t="s">
        <v>7</v>
      </c>
      <c r="BR36" s="101" t="s">
        <v>9</v>
      </c>
      <c r="BS36" s="16"/>
      <c r="BT36" s="17"/>
      <c r="BU36" s="101" t="s">
        <v>9</v>
      </c>
      <c r="BV36" s="114" t="s">
        <v>7</v>
      </c>
      <c r="BW36" s="114" t="s">
        <v>7</v>
      </c>
      <c r="BX36" s="114" t="s">
        <v>7</v>
      </c>
      <c r="BY36" s="114" t="s">
        <v>7</v>
      </c>
      <c r="BZ36" s="16"/>
      <c r="CA36" s="17"/>
      <c r="CB36" s="114" t="s">
        <v>7</v>
      </c>
      <c r="CC36" s="114" t="s">
        <v>7</v>
      </c>
      <c r="CD36" s="114" t="s">
        <v>7</v>
      </c>
      <c r="CE36" s="114" t="s">
        <v>7</v>
      </c>
      <c r="CF36" s="114" t="s">
        <v>7</v>
      </c>
      <c r="CG36" s="16"/>
      <c r="CH36" s="17"/>
      <c r="CI36" s="114" t="s">
        <v>7</v>
      </c>
      <c r="CJ36" s="114" t="s">
        <v>7</v>
      </c>
      <c r="CK36" s="114" t="s">
        <v>7</v>
      </c>
      <c r="CL36" s="101" t="s">
        <v>9</v>
      </c>
      <c r="CM36" s="114" t="s">
        <v>7</v>
      </c>
      <c r="CN36" s="16"/>
      <c r="CO36" s="17"/>
      <c r="CP36" s="114" t="s">
        <v>7</v>
      </c>
      <c r="CQ36" s="114" t="s">
        <v>7</v>
      </c>
      <c r="CR36" s="114" t="s">
        <v>7</v>
      </c>
      <c r="CS36" s="114" t="s">
        <v>7</v>
      </c>
      <c r="CT36" s="101" t="s">
        <v>9</v>
      </c>
      <c r="CU36" s="16"/>
      <c r="CV36" s="17"/>
      <c r="CW36" s="114" t="s">
        <v>7</v>
      </c>
      <c r="CX36" s="114" t="s">
        <v>7</v>
      </c>
      <c r="CY36" s="114" t="s">
        <v>7</v>
      </c>
      <c r="CZ36" s="114" t="s">
        <v>7</v>
      </c>
      <c r="DA36" s="114" t="s">
        <v>7</v>
      </c>
      <c r="DB36" s="16"/>
      <c r="DC36" s="17"/>
      <c r="DD36" s="114" t="s">
        <v>7</v>
      </c>
      <c r="DE36" s="114" t="s">
        <v>7</v>
      </c>
      <c r="DF36" s="114" t="s">
        <v>7</v>
      </c>
      <c r="DG36" s="101" t="s">
        <v>9</v>
      </c>
      <c r="DH36" s="114" t="s">
        <v>7</v>
      </c>
      <c r="DI36" s="16"/>
      <c r="DJ36" s="17"/>
      <c r="DK36" s="114" t="s">
        <v>7</v>
      </c>
      <c r="DL36" s="114" t="s">
        <v>7</v>
      </c>
      <c r="DM36" s="114" t="s">
        <v>7</v>
      </c>
    </row>
    <row r="37" spans="1:117" x14ac:dyDescent="0.3">
      <c r="A37" s="34"/>
      <c r="B37" s="248"/>
      <c r="C37" s="18"/>
      <c r="D37" s="16"/>
      <c r="E37" s="16"/>
      <c r="F37" s="16"/>
      <c r="G37" s="16"/>
      <c r="H37" s="16"/>
      <c r="I37" s="17"/>
      <c r="J37" s="18"/>
      <c r="K37" s="16"/>
      <c r="L37" s="16"/>
      <c r="M37" s="16"/>
      <c r="N37" s="16"/>
      <c r="O37" s="16"/>
      <c r="P37" s="17"/>
      <c r="Q37" s="18"/>
      <c r="R37" s="16"/>
      <c r="S37" s="16"/>
      <c r="T37" s="16"/>
      <c r="U37" s="16"/>
      <c r="V37" s="16"/>
      <c r="W37" s="17"/>
      <c r="X37" s="18"/>
      <c r="Y37" s="16"/>
      <c r="Z37" s="16"/>
      <c r="AA37" s="16"/>
      <c r="AB37" s="16"/>
      <c r="AC37" s="16"/>
      <c r="AD37" s="17"/>
      <c r="AE37" s="18"/>
      <c r="AF37" s="16"/>
      <c r="AG37" s="16"/>
      <c r="AH37" s="16"/>
      <c r="AI37" s="16"/>
      <c r="AJ37" s="16"/>
      <c r="AK37" s="17"/>
      <c r="AL37" s="18"/>
      <c r="AM37" s="16"/>
      <c r="AN37" s="16"/>
      <c r="AO37" s="16"/>
      <c r="AP37" s="16"/>
      <c r="AQ37" s="16"/>
      <c r="AR37" s="17"/>
      <c r="AS37" s="18"/>
      <c r="AT37" s="16"/>
      <c r="AU37" s="16"/>
      <c r="AV37" s="16"/>
      <c r="AW37" s="16"/>
      <c r="AX37" s="16"/>
      <c r="AY37" s="17"/>
      <c r="AZ37" s="18"/>
      <c r="BA37" s="16"/>
      <c r="BB37" s="16"/>
      <c r="BC37" s="16"/>
      <c r="BD37" s="16"/>
      <c r="BE37" s="16"/>
      <c r="BF37" s="17"/>
      <c r="BG37" s="18"/>
      <c r="BH37" s="16"/>
      <c r="BI37" s="16"/>
      <c r="BJ37" s="16"/>
      <c r="BK37" s="16"/>
      <c r="BL37" s="16"/>
      <c r="BM37" s="17"/>
      <c r="BN37" s="18"/>
      <c r="BO37" s="16"/>
      <c r="BP37" s="16"/>
      <c r="BQ37" s="16"/>
      <c r="BR37" s="16"/>
      <c r="BS37" s="16"/>
      <c r="BT37" s="17"/>
      <c r="BU37" s="18"/>
      <c r="BV37" s="16"/>
      <c r="BW37" s="16"/>
      <c r="BX37" s="16"/>
      <c r="BY37" s="16"/>
      <c r="BZ37" s="16"/>
      <c r="CA37" s="17"/>
      <c r="CB37" s="18"/>
      <c r="CC37" s="16"/>
      <c r="CD37" s="16"/>
      <c r="CE37" s="16"/>
      <c r="CF37" s="16"/>
      <c r="CG37" s="16"/>
      <c r="CH37" s="17"/>
      <c r="CI37" s="18"/>
      <c r="CJ37" s="16"/>
      <c r="CK37" s="16"/>
      <c r="CL37" s="16"/>
      <c r="CM37" s="16"/>
      <c r="CN37" s="16"/>
      <c r="CO37" s="17"/>
      <c r="CP37" s="18"/>
      <c r="CQ37" s="16"/>
      <c r="CR37" s="16"/>
      <c r="CS37" s="16"/>
      <c r="CT37" s="16"/>
      <c r="CU37" s="16"/>
      <c r="CV37" s="17"/>
      <c r="CW37" s="18"/>
      <c r="CX37" s="16"/>
      <c r="CY37" s="16"/>
      <c r="CZ37" s="16"/>
      <c r="DA37" s="16"/>
      <c r="DB37" s="16"/>
      <c r="DC37" s="17"/>
      <c r="DD37" s="18"/>
      <c r="DE37" s="16"/>
      <c r="DF37" s="16"/>
      <c r="DG37" s="16"/>
      <c r="DH37" s="16"/>
      <c r="DI37" s="16"/>
      <c r="DJ37" s="17"/>
      <c r="DK37" s="18"/>
      <c r="DL37" s="16"/>
      <c r="DM37" s="16"/>
    </row>
    <row r="38" spans="1:117" x14ac:dyDescent="0.3">
      <c r="A38" s="34"/>
      <c r="B38" s="248"/>
      <c r="C38" s="18"/>
      <c r="D38" s="16"/>
      <c r="E38" s="16"/>
      <c r="F38" s="16"/>
      <c r="G38" s="16"/>
      <c r="H38" s="16"/>
      <c r="I38" s="17"/>
      <c r="J38" s="18"/>
      <c r="K38" s="16"/>
      <c r="L38" s="16"/>
      <c r="M38" s="16"/>
      <c r="N38" s="16"/>
      <c r="O38" s="16"/>
      <c r="P38" s="17"/>
      <c r="Q38" s="18"/>
      <c r="R38" s="16"/>
      <c r="S38" s="16"/>
      <c r="T38" s="16"/>
      <c r="U38" s="16"/>
      <c r="V38" s="16"/>
      <c r="W38" s="17"/>
      <c r="X38" s="18"/>
      <c r="Y38" s="16"/>
      <c r="Z38" s="16"/>
      <c r="AA38" s="16"/>
      <c r="AB38" s="16"/>
      <c r="AC38" s="16"/>
      <c r="AD38" s="17"/>
      <c r="AE38" s="18"/>
      <c r="AF38" s="16"/>
      <c r="AG38" s="16"/>
      <c r="AH38" s="16"/>
      <c r="AI38" s="16"/>
      <c r="AJ38" s="16"/>
      <c r="AK38" s="17"/>
      <c r="AL38" s="18"/>
      <c r="AM38" s="16"/>
      <c r="AN38" s="16"/>
      <c r="AO38" s="16"/>
      <c r="AP38" s="16"/>
      <c r="AQ38" s="16"/>
      <c r="AR38" s="17"/>
      <c r="AS38" s="18"/>
      <c r="AT38" s="16"/>
      <c r="AU38" s="16"/>
      <c r="AV38" s="16"/>
      <c r="AW38" s="16"/>
      <c r="AX38" s="16"/>
      <c r="AY38" s="17"/>
      <c r="AZ38" s="18"/>
      <c r="BA38" s="16"/>
      <c r="BB38" s="16"/>
      <c r="BC38" s="16"/>
      <c r="BD38" s="16"/>
      <c r="BE38" s="16"/>
      <c r="BF38" s="17"/>
      <c r="BG38" s="18"/>
      <c r="BH38" s="16"/>
      <c r="BI38" s="16"/>
      <c r="BJ38" s="16"/>
      <c r="BK38" s="16"/>
      <c r="BL38" s="16"/>
      <c r="BM38" s="17"/>
      <c r="BN38" s="18"/>
      <c r="BO38" s="16"/>
      <c r="BP38" s="16"/>
      <c r="BQ38" s="16"/>
      <c r="BR38" s="16"/>
      <c r="BS38" s="16"/>
      <c r="BT38" s="17"/>
      <c r="BU38" s="18"/>
      <c r="BV38" s="16"/>
      <c r="BW38" s="16"/>
      <c r="BX38" s="16"/>
      <c r="BY38" s="16"/>
      <c r="BZ38" s="16"/>
      <c r="CA38" s="17"/>
      <c r="CB38" s="18"/>
      <c r="CC38" s="16"/>
      <c r="CD38" s="16"/>
      <c r="CE38" s="16"/>
      <c r="CF38" s="16"/>
      <c r="CG38" s="16"/>
      <c r="CH38" s="17"/>
      <c r="CI38" s="18"/>
      <c r="CJ38" s="16"/>
      <c r="CK38" s="16"/>
      <c r="CL38" s="16"/>
      <c r="CM38" s="16"/>
      <c r="CN38" s="16"/>
      <c r="CO38" s="17"/>
      <c r="CP38" s="18"/>
      <c r="CQ38" s="16"/>
      <c r="CR38" s="16"/>
      <c r="CS38" s="16"/>
      <c r="CT38" s="16"/>
      <c r="CU38" s="16"/>
      <c r="CV38" s="17"/>
      <c r="CW38" s="18"/>
      <c r="CX38" s="16"/>
      <c r="CY38" s="16"/>
      <c r="CZ38" s="16"/>
      <c r="DA38" s="16"/>
      <c r="DB38" s="16"/>
      <c r="DC38" s="17"/>
      <c r="DD38" s="18"/>
      <c r="DE38" s="16"/>
      <c r="DF38" s="16"/>
      <c r="DG38" s="16"/>
      <c r="DH38" s="16"/>
      <c r="DI38" s="16"/>
      <c r="DJ38" s="17"/>
      <c r="DK38" s="18"/>
      <c r="DL38" s="16"/>
      <c r="DM38" s="16"/>
    </row>
    <row r="39" spans="1:117" ht="15" thickBot="1" x14ac:dyDescent="0.35">
      <c r="A39" s="35"/>
      <c r="B39" s="249"/>
      <c r="C39" s="21"/>
      <c r="D39" s="19"/>
      <c r="E39" s="19"/>
      <c r="F39" s="19"/>
      <c r="G39" s="19"/>
      <c r="H39" s="19"/>
      <c r="I39" s="20"/>
      <c r="J39" s="21"/>
      <c r="K39" s="19"/>
      <c r="L39" s="19"/>
      <c r="M39" s="19"/>
      <c r="N39" s="19"/>
      <c r="O39" s="19"/>
      <c r="P39" s="20"/>
      <c r="Q39" s="21"/>
      <c r="R39" s="19"/>
      <c r="S39" s="19"/>
      <c r="T39" s="19"/>
      <c r="U39" s="19"/>
      <c r="V39" s="19"/>
      <c r="W39" s="20"/>
      <c r="X39" s="21"/>
      <c r="Y39" s="19"/>
      <c r="Z39" s="19"/>
      <c r="AA39" s="19"/>
      <c r="AB39" s="19"/>
      <c r="AC39" s="19"/>
      <c r="AD39" s="20"/>
      <c r="AE39" s="21"/>
      <c r="AF39" s="19"/>
      <c r="AG39" s="19"/>
      <c r="AH39" s="19"/>
      <c r="AI39" s="19"/>
      <c r="AJ39" s="19"/>
      <c r="AK39" s="20"/>
      <c r="AL39" s="21"/>
      <c r="AM39" s="19"/>
      <c r="AN39" s="19"/>
      <c r="AO39" s="19"/>
      <c r="AP39" s="19"/>
      <c r="AQ39" s="19"/>
      <c r="AR39" s="20"/>
      <c r="AS39" s="21"/>
      <c r="AT39" s="19"/>
      <c r="AU39" s="19"/>
      <c r="AV39" s="19"/>
      <c r="AW39" s="19"/>
      <c r="AX39" s="19"/>
      <c r="AY39" s="20"/>
      <c r="AZ39" s="21"/>
      <c r="BA39" s="19"/>
      <c r="BB39" s="19"/>
      <c r="BC39" s="19"/>
      <c r="BD39" s="19"/>
      <c r="BE39" s="19"/>
      <c r="BF39" s="20"/>
      <c r="BG39" s="21"/>
      <c r="BH39" s="19"/>
      <c r="BI39" s="19"/>
      <c r="BJ39" s="19"/>
      <c r="BK39" s="19"/>
      <c r="BL39" s="19"/>
      <c r="BM39" s="20"/>
      <c r="BN39" s="21"/>
      <c r="BO39" s="19"/>
      <c r="BP39" s="19"/>
      <c r="BQ39" s="19"/>
      <c r="BR39" s="19"/>
      <c r="BS39" s="19"/>
      <c r="BT39" s="20"/>
      <c r="BU39" s="21"/>
      <c r="BV39" s="19"/>
      <c r="BW39" s="19"/>
      <c r="BX39" s="19"/>
      <c r="BY39" s="19"/>
      <c r="BZ39" s="19"/>
      <c r="CA39" s="20"/>
      <c r="CB39" s="21"/>
      <c r="CC39" s="19"/>
      <c r="CD39" s="19"/>
      <c r="CE39" s="19"/>
      <c r="CF39" s="19"/>
      <c r="CG39" s="19"/>
      <c r="CH39" s="20"/>
      <c r="CI39" s="21"/>
      <c r="CJ39" s="19"/>
      <c r="CK39" s="19"/>
      <c r="CL39" s="19"/>
      <c r="CM39" s="19"/>
      <c r="CN39" s="19"/>
      <c r="CO39" s="20"/>
      <c r="CP39" s="21"/>
      <c r="CQ39" s="19"/>
      <c r="CR39" s="19"/>
      <c r="CS39" s="19"/>
      <c r="CT39" s="19"/>
      <c r="CU39" s="19"/>
      <c r="CV39" s="20"/>
      <c r="CW39" s="21"/>
      <c r="CX39" s="19"/>
      <c r="CY39" s="19"/>
      <c r="CZ39" s="19"/>
      <c r="DA39" s="19"/>
      <c r="DB39" s="19"/>
      <c r="DC39" s="20"/>
      <c r="DD39" s="21"/>
      <c r="DE39" s="19"/>
      <c r="DF39" s="19"/>
      <c r="DG39" s="19"/>
      <c r="DH39" s="19"/>
      <c r="DI39" s="19"/>
      <c r="DJ39" s="20"/>
      <c r="DK39" s="21"/>
      <c r="DL39" s="19"/>
      <c r="DM39" s="19"/>
    </row>
    <row r="40" spans="1:117" ht="15" hidden="1" thickBot="1" x14ac:dyDescent="0.35">
      <c r="A40" s="36"/>
      <c r="B40" s="255" t="s">
        <v>14</v>
      </c>
      <c r="C40" s="22"/>
      <c r="D40" s="22"/>
      <c r="E40" s="12"/>
      <c r="F40" s="22"/>
      <c r="G40" s="22"/>
      <c r="H40" s="13"/>
      <c r="I40" s="14"/>
      <c r="J40" s="22"/>
      <c r="K40" s="22"/>
      <c r="L40" s="12"/>
      <c r="M40" s="22"/>
      <c r="N40" s="22"/>
      <c r="O40" s="13"/>
      <c r="P40" s="14"/>
      <c r="Q40" s="22"/>
      <c r="R40" s="22"/>
      <c r="S40" s="12"/>
      <c r="T40" s="22"/>
      <c r="U40" s="22"/>
      <c r="V40" s="13"/>
      <c r="W40" s="14"/>
      <c r="X40" s="22"/>
      <c r="Y40" s="22"/>
      <c r="Z40" s="12"/>
      <c r="AA40" s="22"/>
      <c r="AB40" s="22"/>
      <c r="AC40" s="13"/>
      <c r="AD40" s="14"/>
      <c r="AE40" s="22"/>
      <c r="AF40" s="22"/>
      <c r="AG40" s="12"/>
      <c r="AH40" s="22"/>
      <c r="AI40" s="22"/>
      <c r="AJ40" s="13"/>
      <c r="AK40" s="14"/>
      <c r="AL40" s="22"/>
      <c r="AM40" s="22"/>
      <c r="AN40" s="12"/>
      <c r="AO40" s="22"/>
      <c r="AP40" s="22"/>
      <c r="AQ40" s="13"/>
      <c r="AR40" s="14"/>
      <c r="AS40" s="22"/>
      <c r="AT40" s="22"/>
      <c r="AU40" s="12"/>
      <c r="AV40" s="22"/>
      <c r="AW40" s="22"/>
      <c r="AX40" s="13"/>
      <c r="AY40" s="14"/>
      <c r="AZ40" s="22"/>
      <c r="BA40" s="22"/>
      <c r="BB40" s="12"/>
      <c r="BC40" s="22"/>
      <c r="BD40" s="22"/>
      <c r="BE40" s="13"/>
      <c r="BF40" s="14"/>
      <c r="BG40" s="22"/>
      <c r="BH40" s="22"/>
      <c r="BI40" s="12"/>
      <c r="BJ40" s="22"/>
      <c r="BK40" s="22"/>
      <c r="BL40" s="13"/>
      <c r="BM40" s="14"/>
      <c r="BN40" s="22"/>
      <c r="BO40" s="22"/>
      <c r="BP40" s="12"/>
      <c r="BQ40" s="22"/>
      <c r="BR40" s="22"/>
      <c r="BS40" s="13"/>
      <c r="BT40" s="14"/>
      <c r="BU40" s="22"/>
      <c r="BV40" s="22"/>
      <c r="BW40" s="12"/>
      <c r="BX40" s="22"/>
      <c r="BY40" s="22"/>
      <c r="BZ40" s="13"/>
      <c r="CA40" s="14"/>
      <c r="CB40" s="22"/>
      <c r="CC40" s="22"/>
      <c r="CD40" s="12"/>
      <c r="CE40" s="22"/>
      <c r="CF40" s="22"/>
      <c r="CG40" s="13"/>
      <c r="CH40" s="14"/>
      <c r="CI40" s="22"/>
      <c r="CJ40" s="22"/>
      <c r="CK40" s="12"/>
      <c r="CL40" s="22"/>
      <c r="CM40" s="22"/>
      <c r="CN40" s="13"/>
      <c r="CO40" s="14"/>
      <c r="CP40" s="22"/>
      <c r="CQ40" s="22"/>
      <c r="CR40" s="12"/>
      <c r="CS40" s="22"/>
      <c r="CT40" s="22"/>
      <c r="CU40" s="13"/>
      <c r="CV40" s="14"/>
      <c r="CW40" s="22"/>
      <c r="CX40" s="22"/>
      <c r="CY40" s="12"/>
      <c r="CZ40" s="22"/>
      <c r="DA40" s="22"/>
      <c r="DB40" s="13"/>
      <c r="DC40" s="14"/>
      <c r="DD40" s="22"/>
      <c r="DE40" s="22"/>
      <c r="DF40" s="12"/>
      <c r="DG40" s="22"/>
      <c r="DH40" s="22"/>
      <c r="DI40" s="13"/>
      <c r="DJ40" s="14"/>
      <c r="DK40" s="22"/>
      <c r="DL40" s="22"/>
      <c r="DM40" s="12"/>
    </row>
    <row r="41" spans="1:117" ht="15" hidden="1" thickBot="1" x14ac:dyDescent="0.35">
      <c r="A41" s="37"/>
      <c r="B41" s="248"/>
      <c r="C41" s="22"/>
      <c r="D41" s="22"/>
      <c r="E41" s="15"/>
      <c r="F41" s="22"/>
      <c r="G41" s="22"/>
      <c r="H41" s="16"/>
      <c r="I41" s="17"/>
      <c r="J41" s="22"/>
      <c r="K41" s="22"/>
      <c r="L41" s="15"/>
      <c r="M41" s="22"/>
      <c r="N41" s="22"/>
      <c r="O41" s="16"/>
      <c r="P41" s="17"/>
      <c r="Q41" s="22"/>
      <c r="R41" s="22"/>
      <c r="S41" s="15"/>
      <c r="T41" s="22"/>
      <c r="U41" s="22"/>
      <c r="V41" s="16"/>
      <c r="W41" s="17"/>
      <c r="X41" s="22"/>
      <c r="Y41" s="22"/>
      <c r="Z41" s="15"/>
      <c r="AA41" s="22"/>
      <c r="AB41" s="22"/>
      <c r="AC41" s="16"/>
      <c r="AD41" s="17"/>
      <c r="AE41" s="22"/>
      <c r="AF41" s="22"/>
      <c r="AG41" s="15"/>
      <c r="AH41" s="22"/>
      <c r="AI41" s="22"/>
      <c r="AJ41" s="16"/>
      <c r="AK41" s="17"/>
      <c r="AL41" s="22"/>
      <c r="AM41" s="22"/>
      <c r="AN41" s="15"/>
      <c r="AO41" s="22"/>
      <c r="AP41" s="22"/>
      <c r="AQ41" s="16"/>
      <c r="AR41" s="17"/>
      <c r="AS41" s="22"/>
      <c r="AT41" s="22"/>
      <c r="AU41" s="15"/>
      <c r="AV41" s="22"/>
      <c r="AW41" s="22"/>
      <c r="AX41" s="16"/>
      <c r="AY41" s="17"/>
      <c r="AZ41" s="22"/>
      <c r="BA41" s="22"/>
      <c r="BB41" s="15"/>
      <c r="BC41" s="22"/>
      <c r="BD41" s="22"/>
      <c r="BE41" s="16"/>
      <c r="BF41" s="17"/>
      <c r="BG41" s="22"/>
      <c r="BH41" s="22"/>
      <c r="BI41" s="15"/>
      <c r="BJ41" s="22"/>
      <c r="BK41" s="22"/>
      <c r="BL41" s="16"/>
      <c r="BM41" s="17"/>
      <c r="BN41" s="22"/>
      <c r="BO41" s="22"/>
      <c r="BP41" s="15"/>
      <c r="BQ41" s="22"/>
      <c r="BR41" s="22"/>
      <c r="BS41" s="16"/>
      <c r="BT41" s="17"/>
      <c r="BU41" s="22"/>
      <c r="BV41" s="22"/>
      <c r="BW41" s="15"/>
      <c r="BX41" s="22"/>
      <c r="BY41" s="22"/>
      <c r="BZ41" s="16"/>
      <c r="CA41" s="17"/>
      <c r="CB41" s="22"/>
      <c r="CC41" s="22"/>
      <c r="CD41" s="15"/>
      <c r="CE41" s="22"/>
      <c r="CF41" s="22"/>
      <c r="CG41" s="16"/>
      <c r="CH41" s="17"/>
      <c r="CI41" s="22"/>
      <c r="CJ41" s="22"/>
      <c r="CK41" s="15"/>
      <c r="CL41" s="22"/>
      <c r="CM41" s="22"/>
      <c r="CN41" s="16"/>
      <c r="CO41" s="17"/>
      <c r="CP41" s="22"/>
      <c r="CQ41" s="22"/>
      <c r="CR41" s="15"/>
      <c r="CS41" s="22"/>
      <c r="CT41" s="22"/>
      <c r="CU41" s="16"/>
      <c r="CV41" s="17"/>
      <c r="CW41" s="22"/>
      <c r="CX41" s="22"/>
      <c r="CY41" s="15"/>
      <c r="CZ41" s="22"/>
      <c r="DA41" s="22"/>
      <c r="DB41" s="16"/>
      <c r="DC41" s="17"/>
      <c r="DD41" s="22"/>
      <c r="DE41" s="22"/>
      <c r="DF41" s="15"/>
      <c r="DG41" s="22"/>
      <c r="DH41" s="22"/>
      <c r="DI41" s="16"/>
      <c r="DJ41" s="17"/>
      <c r="DK41" s="22"/>
      <c r="DL41" s="22"/>
      <c r="DM41" s="15"/>
    </row>
    <row r="42" spans="1:117" ht="15" hidden="1" thickBot="1" x14ac:dyDescent="0.35">
      <c r="A42" s="34"/>
      <c r="B42" s="248"/>
      <c r="C42" s="22"/>
      <c r="D42" s="22"/>
      <c r="E42" s="15"/>
      <c r="F42" s="22"/>
      <c r="G42" s="22"/>
      <c r="H42" s="16"/>
      <c r="I42" s="17"/>
      <c r="J42" s="22"/>
      <c r="K42" s="22"/>
      <c r="L42" s="15"/>
      <c r="M42" s="22"/>
      <c r="N42" s="22"/>
      <c r="O42" s="16"/>
      <c r="P42" s="17"/>
      <c r="Q42" s="22"/>
      <c r="R42" s="22"/>
      <c r="S42" s="15"/>
      <c r="T42" s="22"/>
      <c r="U42" s="22"/>
      <c r="V42" s="16"/>
      <c r="W42" s="17"/>
      <c r="X42" s="22"/>
      <c r="Y42" s="22"/>
      <c r="Z42" s="15"/>
      <c r="AA42" s="22"/>
      <c r="AB42" s="22"/>
      <c r="AC42" s="16"/>
      <c r="AD42" s="17"/>
      <c r="AE42" s="22"/>
      <c r="AF42" s="22"/>
      <c r="AG42" s="15"/>
      <c r="AH42" s="22"/>
      <c r="AI42" s="22"/>
      <c r="AJ42" s="16"/>
      <c r="AK42" s="17"/>
      <c r="AL42" s="22"/>
      <c r="AM42" s="22"/>
      <c r="AN42" s="15"/>
      <c r="AO42" s="22"/>
      <c r="AP42" s="22"/>
      <c r="AQ42" s="16"/>
      <c r="AR42" s="17"/>
      <c r="AS42" s="22"/>
      <c r="AT42" s="22"/>
      <c r="AU42" s="15"/>
      <c r="AV42" s="22"/>
      <c r="AW42" s="22"/>
      <c r="AX42" s="16"/>
      <c r="AY42" s="17"/>
      <c r="AZ42" s="22"/>
      <c r="BA42" s="22"/>
      <c r="BB42" s="15"/>
      <c r="BC42" s="22"/>
      <c r="BD42" s="22"/>
      <c r="BE42" s="16"/>
      <c r="BF42" s="17"/>
      <c r="BG42" s="22"/>
      <c r="BH42" s="22"/>
      <c r="BI42" s="15"/>
      <c r="BJ42" s="22"/>
      <c r="BK42" s="22"/>
      <c r="BL42" s="16"/>
      <c r="BM42" s="17"/>
      <c r="BN42" s="22"/>
      <c r="BO42" s="22"/>
      <c r="BP42" s="15"/>
      <c r="BQ42" s="22"/>
      <c r="BR42" s="22"/>
      <c r="BS42" s="16"/>
      <c r="BT42" s="17"/>
      <c r="BU42" s="22"/>
      <c r="BV42" s="22"/>
      <c r="BW42" s="15"/>
      <c r="BX42" s="22"/>
      <c r="BY42" s="22"/>
      <c r="BZ42" s="16"/>
      <c r="CA42" s="17"/>
      <c r="CB42" s="22"/>
      <c r="CC42" s="22"/>
      <c r="CD42" s="15"/>
      <c r="CE42" s="22"/>
      <c r="CF42" s="22"/>
      <c r="CG42" s="16"/>
      <c r="CH42" s="17"/>
      <c r="CI42" s="22"/>
      <c r="CJ42" s="22"/>
      <c r="CK42" s="15"/>
      <c r="CL42" s="22"/>
      <c r="CM42" s="22"/>
      <c r="CN42" s="16"/>
      <c r="CO42" s="17"/>
      <c r="CP42" s="22"/>
      <c r="CQ42" s="22"/>
      <c r="CR42" s="15"/>
      <c r="CS42" s="22"/>
      <c r="CT42" s="22"/>
      <c r="CU42" s="16"/>
      <c r="CV42" s="17"/>
      <c r="CW42" s="22"/>
      <c r="CX42" s="22"/>
      <c r="CY42" s="15"/>
      <c r="CZ42" s="22"/>
      <c r="DA42" s="22"/>
      <c r="DB42" s="16"/>
      <c r="DC42" s="17"/>
      <c r="DD42" s="22"/>
      <c r="DE42" s="22"/>
      <c r="DF42" s="15"/>
      <c r="DG42" s="22"/>
      <c r="DH42" s="22"/>
      <c r="DI42" s="16"/>
      <c r="DJ42" s="17"/>
      <c r="DK42" s="22"/>
      <c r="DL42" s="22"/>
      <c r="DM42" s="15"/>
    </row>
    <row r="43" spans="1:117" ht="15" hidden="1" thickBot="1" x14ac:dyDescent="0.35">
      <c r="A43" s="38"/>
      <c r="B43" s="251"/>
      <c r="C43" s="22"/>
      <c r="D43" s="22"/>
      <c r="E43" s="15"/>
      <c r="F43" s="22"/>
      <c r="G43" s="22"/>
      <c r="H43" s="16"/>
      <c r="I43" s="17"/>
      <c r="J43" s="22"/>
      <c r="K43" s="22"/>
      <c r="L43" s="15"/>
      <c r="M43" s="22"/>
      <c r="N43" s="22"/>
      <c r="O43" s="16"/>
      <c r="P43" s="17"/>
      <c r="Q43" s="22"/>
      <c r="R43" s="22"/>
      <c r="S43" s="15"/>
      <c r="T43" s="22"/>
      <c r="U43" s="22"/>
      <c r="V43" s="16"/>
      <c r="W43" s="17"/>
      <c r="X43" s="22"/>
      <c r="Y43" s="22"/>
      <c r="Z43" s="15"/>
      <c r="AA43" s="22"/>
      <c r="AB43" s="22"/>
      <c r="AC43" s="16"/>
      <c r="AD43" s="17"/>
      <c r="AE43" s="22"/>
      <c r="AF43" s="22"/>
      <c r="AG43" s="15"/>
      <c r="AH43" s="22"/>
      <c r="AI43" s="22"/>
      <c r="AJ43" s="16"/>
      <c r="AK43" s="17"/>
      <c r="AL43" s="22"/>
      <c r="AM43" s="22"/>
      <c r="AN43" s="15"/>
      <c r="AO43" s="22"/>
      <c r="AP43" s="22"/>
      <c r="AQ43" s="16"/>
      <c r="AR43" s="17"/>
      <c r="AS43" s="22"/>
      <c r="AT43" s="22"/>
      <c r="AU43" s="15"/>
      <c r="AV43" s="22"/>
      <c r="AW43" s="22"/>
      <c r="AX43" s="16"/>
      <c r="AY43" s="17"/>
      <c r="AZ43" s="22"/>
      <c r="BA43" s="22"/>
      <c r="BB43" s="15"/>
      <c r="BC43" s="22"/>
      <c r="BD43" s="22"/>
      <c r="BE43" s="16"/>
      <c r="BF43" s="17"/>
      <c r="BG43" s="22"/>
      <c r="BH43" s="22"/>
      <c r="BI43" s="15"/>
      <c r="BJ43" s="22"/>
      <c r="BK43" s="22"/>
      <c r="BL43" s="16"/>
      <c r="BM43" s="17"/>
      <c r="BN43" s="22"/>
      <c r="BO43" s="22"/>
      <c r="BP43" s="15"/>
      <c r="BQ43" s="22"/>
      <c r="BR43" s="22"/>
      <c r="BS43" s="16"/>
      <c r="BT43" s="17"/>
      <c r="BU43" s="22"/>
      <c r="BV43" s="22"/>
      <c r="BW43" s="15"/>
      <c r="BX43" s="22"/>
      <c r="BY43" s="22"/>
      <c r="BZ43" s="16"/>
      <c r="CA43" s="17"/>
      <c r="CB43" s="22"/>
      <c r="CC43" s="22"/>
      <c r="CD43" s="15"/>
      <c r="CE43" s="22"/>
      <c r="CF43" s="22"/>
      <c r="CG43" s="16"/>
      <c r="CH43" s="17"/>
      <c r="CI43" s="22"/>
      <c r="CJ43" s="22"/>
      <c r="CK43" s="15"/>
      <c r="CL43" s="22"/>
      <c r="CM43" s="22"/>
      <c r="CN43" s="16"/>
      <c r="CO43" s="17"/>
      <c r="CP43" s="22"/>
      <c r="CQ43" s="22"/>
      <c r="CR43" s="15"/>
      <c r="CS43" s="22"/>
      <c r="CT43" s="22"/>
      <c r="CU43" s="16"/>
      <c r="CV43" s="17"/>
      <c r="CW43" s="22"/>
      <c r="CX43" s="22"/>
      <c r="CY43" s="15"/>
      <c r="CZ43" s="22"/>
      <c r="DA43" s="22"/>
      <c r="DB43" s="16"/>
      <c r="DC43" s="17"/>
      <c r="DD43" s="22"/>
      <c r="DE43" s="22"/>
      <c r="DF43" s="15"/>
      <c r="DG43" s="22"/>
      <c r="DH43" s="22"/>
      <c r="DI43" s="16"/>
      <c r="DJ43" s="17"/>
      <c r="DK43" s="22"/>
      <c r="DL43" s="22"/>
      <c r="DM43" s="15"/>
    </row>
    <row r="44" spans="1:117" ht="15" hidden="1" thickBot="1" x14ac:dyDescent="0.35">
      <c r="A44" s="38"/>
      <c r="B44" s="251"/>
      <c r="C44" s="22"/>
      <c r="D44" s="22"/>
      <c r="E44" s="15"/>
      <c r="F44" s="22"/>
      <c r="G44" s="22"/>
      <c r="H44" s="16"/>
      <c r="I44" s="17"/>
      <c r="J44" s="22"/>
      <c r="K44" s="22"/>
      <c r="L44" s="15"/>
      <c r="M44" s="22"/>
      <c r="N44" s="22"/>
      <c r="O44" s="16"/>
      <c r="P44" s="17"/>
      <c r="Q44" s="22"/>
      <c r="R44" s="22"/>
      <c r="S44" s="15"/>
      <c r="T44" s="22"/>
      <c r="U44" s="22"/>
      <c r="V44" s="16"/>
      <c r="W44" s="17"/>
      <c r="X44" s="22"/>
      <c r="Y44" s="22"/>
      <c r="Z44" s="15"/>
      <c r="AA44" s="22"/>
      <c r="AB44" s="22"/>
      <c r="AC44" s="16"/>
      <c r="AD44" s="17"/>
      <c r="AE44" s="22"/>
      <c r="AF44" s="22"/>
      <c r="AG44" s="15"/>
      <c r="AH44" s="22"/>
      <c r="AI44" s="22"/>
      <c r="AJ44" s="16"/>
      <c r="AK44" s="17"/>
      <c r="AL44" s="22"/>
      <c r="AM44" s="22"/>
      <c r="AN44" s="15"/>
      <c r="AO44" s="22"/>
      <c r="AP44" s="22"/>
      <c r="AQ44" s="16"/>
      <c r="AR44" s="17"/>
      <c r="AS44" s="22"/>
      <c r="AT44" s="22"/>
      <c r="AU44" s="15"/>
      <c r="AV44" s="22"/>
      <c r="AW44" s="22"/>
      <c r="AX44" s="16"/>
      <c r="AY44" s="17"/>
      <c r="AZ44" s="22"/>
      <c r="BA44" s="22"/>
      <c r="BB44" s="15"/>
      <c r="BC44" s="22"/>
      <c r="BD44" s="22"/>
      <c r="BE44" s="16"/>
      <c r="BF44" s="17"/>
      <c r="BG44" s="22"/>
      <c r="BH44" s="22"/>
      <c r="BI44" s="15"/>
      <c r="BJ44" s="22"/>
      <c r="BK44" s="22"/>
      <c r="BL44" s="16"/>
      <c r="BM44" s="17"/>
      <c r="BN44" s="22"/>
      <c r="BO44" s="22"/>
      <c r="BP44" s="15"/>
      <c r="BQ44" s="22"/>
      <c r="BR44" s="22"/>
      <c r="BS44" s="16"/>
      <c r="BT44" s="17"/>
      <c r="BU44" s="22"/>
      <c r="BV44" s="22"/>
      <c r="BW44" s="15"/>
      <c r="BX44" s="22"/>
      <c r="BY44" s="22"/>
      <c r="BZ44" s="16"/>
      <c r="CA44" s="17"/>
      <c r="CB44" s="22"/>
      <c r="CC44" s="22"/>
      <c r="CD44" s="15"/>
      <c r="CE44" s="22"/>
      <c r="CF44" s="22"/>
      <c r="CG44" s="16"/>
      <c r="CH44" s="17"/>
      <c r="CI44" s="22"/>
      <c r="CJ44" s="22"/>
      <c r="CK44" s="15"/>
      <c r="CL44" s="22"/>
      <c r="CM44" s="22"/>
      <c r="CN44" s="16"/>
      <c r="CO44" s="17"/>
      <c r="CP44" s="22"/>
      <c r="CQ44" s="22"/>
      <c r="CR44" s="15"/>
      <c r="CS44" s="22"/>
      <c r="CT44" s="22"/>
      <c r="CU44" s="16"/>
      <c r="CV44" s="17"/>
      <c r="CW44" s="22"/>
      <c r="CX44" s="22"/>
      <c r="CY44" s="15"/>
      <c r="CZ44" s="22"/>
      <c r="DA44" s="22"/>
      <c r="DB44" s="16"/>
      <c r="DC44" s="17"/>
      <c r="DD44" s="22"/>
      <c r="DE44" s="22"/>
      <c r="DF44" s="15"/>
      <c r="DG44" s="22"/>
      <c r="DH44" s="22"/>
      <c r="DI44" s="16"/>
      <c r="DJ44" s="17"/>
      <c r="DK44" s="22"/>
      <c r="DL44" s="22"/>
      <c r="DM44" s="15"/>
    </row>
    <row r="45" spans="1:117" ht="15" hidden="1" thickBot="1" x14ac:dyDescent="0.35">
      <c r="A45" s="38"/>
      <c r="B45" s="251"/>
      <c r="C45" s="22"/>
      <c r="D45" s="22"/>
      <c r="E45" s="15"/>
      <c r="F45" s="22"/>
      <c r="G45" s="22"/>
      <c r="H45" s="16"/>
      <c r="I45" s="17"/>
      <c r="J45" s="22"/>
      <c r="K45" s="22"/>
      <c r="L45" s="15"/>
      <c r="M45" s="22"/>
      <c r="N45" s="22"/>
      <c r="O45" s="16"/>
      <c r="P45" s="17"/>
      <c r="Q45" s="22"/>
      <c r="R45" s="22"/>
      <c r="S45" s="15"/>
      <c r="T45" s="22"/>
      <c r="U45" s="22"/>
      <c r="V45" s="16"/>
      <c r="W45" s="17"/>
      <c r="X45" s="22"/>
      <c r="Y45" s="22"/>
      <c r="Z45" s="15"/>
      <c r="AA45" s="22"/>
      <c r="AB45" s="22"/>
      <c r="AC45" s="16"/>
      <c r="AD45" s="17"/>
      <c r="AE45" s="22"/>
      <c r="AF45" s="22"/>
      <c r="AG45" s="15"/>
      <c r="AH45" s="22"/>
      <c r="AI45" s="22"/>
      <c r="AJ45" s="16"/>
      <c r="AK45" s="17"/>
      <c r="AL45" s="22"/>
      <c r="AM45" s="22"/>
      <c r="AN45" s="15"/>
      <c r="AO45" s="22"/>
      <c r="AP45" s="22"/>
      <c r="AQ45" s="16"/>
      <c r="AR45" s="17"/>
      <c r="AS45" s="22"/>
      <c r="AT45" s="22"/>
      <c r="AU45" s="15"/>
      <c r="AV45" s="22"/>
      <c r="AW45" s="22"/>
      <c r="AX45" s="16"/>
      <c r="AY45" s="17"/>
      <c r="AZ45" s="22"/>
      <c r="BA45" s="22"/>
      <c r="BB45" s="15"/>
      <c r="BC45" s="22"/>
      <c r="BD45" s="22"/>
      <c r="BE45" s="16"/>
      <c r="BF45" s="17"/>
      <c r="BG45" s="22"/>
      <c r="BH45" s="22"/>
      <c r="BI45" s="15"/>
      <c r="BJ45" s="22"/>
      <c r="BK45" s="22"/>
      <c r="BL45" s="16"/>
      <c r="BM45" s="17"/>
      <c r="BN45" s="22"/>
      <c r="BO45" s="22"/>
      <c r="BP45" s="15"/>
      <c r="BQ45" s="22"/>
      <c r="BR45" s="22"/>
      <c r="BS45" s="16"/>
      <c r="BT45" s="17"/>
      <c r="BU45" s="22"/>
      <c r="BV45" s="22"/>
      <c r="BW45" s="15"/>
      <c r="BX45" s="22"/>
      <c r="BY45" s="22"/>
      <c r="BZ45" s="16"/>
      <c r="CA45" s="17"/>
      <c r="CB45" s="22"/>
      <c r="CC45" s="22"/>
      <c r="CD45" s="15"/>
      <c r="CE45" s="22"/>
      <c r="CF45" s="22"/>
      <c r="CG45" s="16"/>
      <c r="CH45" s="17"/>
      <c r="CI45" s="22"/>
      <c r="CJ45" s="22"/>
      <c r="CK45" s="15"/>
      <c r="CL45" s="22"/>
      <c r="CM45" s="22"/>
      <c r="CN45" s="16"/>
      <c r="CO45" s="17"/>
      <c r="CP45" s="22"/>
      <c r="CQ45" s="22"/>
      <c r="CR45" s="15"/>
      <c r="CS45" s="22"/>
      <c r="CT45" s="22"/>
      <c r="CU45" s="16"/>
      <c r="CV45" s="17"/>
      <c r="CW45" s="22"/>
      <c r="CX45" s="22"/>
      <c r="CY45" s="15"/>
      <c r="CZ45" s="22"/>
      <c r="DA45" s="22"/>
      <c r="DB45" s="16"/>
      <c r="DC45" s="17"/>
      <c r="DD45" s="22"/>
      <c r="DE45" s="22"/>
      <c r="DF45" s="15"/>
      <c r="DG45" s="22"/>
      <c r="DH45" s="22"/>
      <c r="DI45" s="16"/>
      <c r="DJ45" s="17"/>
      <c r="DK45" s="22"/>
      <c r="DL45" s="22"/>
      <c r="DM45" s="15"/>
    </row>
    <row r="46" spans="1:117" ht="15" hidden="1" thickBot="1" x14ac:dyDescent="0.35">
      <c r="A46" s="38"/>
      <c r="B46" s="251"/>
      <c r="C46" s="22"/>
      <c r="D46" s="22"/>
      <c r="E46" s="15"/>
      <c r="F46" s="22"/>
      <c r="G46" s="22"/>
      <c r="H46" s="16"/>
      <c r="I46" s="17"/>
      <c r="J46" s="22"/>
      <c r="K46" s="22"/>
      <c r="L46" s="15"/>
      <c r="M46" s="22"/>
      <c r="N46" s="22"/>
      <c r="O46" s="16"/>
      <c r="P46" s="17"/>
      <c r="Q46" s="22"/>
      <c r="R46" s="22"/>
      <c r="S46" s="15"/>
      <c r="T46" s="22"/>
      <c r="U46" s="22"/>
      <c r="V46" s="16"/>
      <c r="W46" s="17"/>
      <c r="X46" s="22"/>
      <c r="Y46" s="22"/>
      <c r="Z46" s="15"/>
      <c r="AA46" s="22"/>
      <c r="AB46" s="22"/>
      <c r="AC46" s="16"/>
      <c r="AD46" s="17"/>
      <c r="AE46" s="22"/>
      <c r="AF46" s="22"/>
      <c r="AG46" s="15"/>
      <c r="AH46" s="22"/>
      <c r="AI46" s="22"/>
      <c r="AJ46" s="16"/>
      <c r="AK46" s="17"/>
      <c r="AL46" s="22"/>
      <c r="AM46" s="22"/>
      <c r="AN46" s="15"/>
      <c r="AO46" s="22"/>
      <c r="AP46" s="22"/>
      <c r="AQ46" s="16"/>
      <c r="AR46" s="17"/>
      <c r="AS46" s="22"/>
      <c r="AT46" s="22"/>
      <c r="AU46" s="15"/>
      <c r="AV46" s="22"/>
      <c r="AW46" s="22"/>
      <c r="AX46" s="16"/>
      <c r="AY46" s="17"/>
      <c r="AZ46" s="22"/>
      <c r="BA46" s="22"/>
      <c r="BB46" s="15"/>
      <c r="BC46" s="22"/>
      <c r="BD46" s="22"/>
      <c r="BE46" s="16"/>
      <c r="BF46" s="17"/>
      <c r="BG46" s="22"/>
      <c r="BH46" s="22"/>
      <c r="BI46" s="15"/>
      <c r="BJ46" s="22"/>
      <c r="BK46" s="22"/>
      <c r="BL46" s="16"/>
      <c r="BM46" s="17"/>
      <c r="BN46" s="22"/>
      <c r="BO46" s="22"/>
      <c r="BP46" s="15"/>
      <c r="BQ46" s="22"/>
      <c r="BR46" s="22"/>
      <c r="BS46" s="16"/>
      <c r="BT46" s="17"/>
      <c r="BU46" s="22"/>
      <c r="BV46" s="22"/>
      <c r="BW46" s="15"/>
      <c r="BX46" s="22"/>
      <c r="BY46" s="22"/>
      <c r="BZ46" s="16"/>
      <c r="CA46" s="17"/>
      <c r="CB46" s="22"/>
      <c r="CC46" s="22"/>
      <c r="CD46" s="15"/>
      <c r="CE46" s="22"/>
      <c r="CF46" s="22"/>
      <c r="CG46" s="16"/>
      <c r="CH46" s="17"/>
      <c r="CI46" s="22"/>
      <c r="CJ46" s="22"/>
      <c r="CK46" s="15"/>
      <c r="CL46" s="22"/>
      <c r="CM46" s="22"/>
      <c r="CN46" s="16"/>
      <c r="CO46" s="17"/>
      <c r="CP46" s="22"/>
      <c r="CQ46" s="22"/>
      <c r="CR46" s="15"/>
      <c r="CS46" s="22"/>
      <c r="CT46" s="22"/>
      <c r="CU46" s="16"/>
      <c r="CV46" s="17"/>
      <c r="CW46" s="22"/>
      <c r="CX46" s="22"/>
      <c r="CY46" s="15"/>
      <c r="CZ46" s="22"/>
      <c r="DA46" s="22"/>
      <c r="DB46" s="16"/>
      <c r="DC46" s="17"/>
      <c r="DD46" s="22"/>
      <c r="DE46" s="22"/>
      <c r="DF46" s="15"/>
      <c r="DG46" s="22"/>
      <c r="DH46" s="22"/>
      <c r="DI46" s="16"/>
      <c r="DJ46" s="17"/>
      <c r="DK46" s="22"/>
      <c r="DL46" s="22"/>
      <c r="DM46" s="15"/>
    </row>
    <row r="47" spans="1:117" ht="15" hidden="1" thickBot="1" x14ac:dyDescent="0.35">
      <c r="A47" s="38"/>
      <c r="B47" s="251"/>
      <c r="C47" s="22"/>
      <c r="D47" s="22"/>
      <c r="E47" s="15"/>
      <c r="F47" s="22"/>
      <c r="G47" s="22"/>
      <c r="H47" s="16"/>
      <c r="I47" s="17"/>
      <c r="J47" s="22"/>
      <c r="K47" s="22"/>
      <c r="L47" s="15"/>
      <c r="M47" s="22"/>
      <c r="N47" s="22"/>
      <c r="O47" s="16"/>
      <c r="P47" s="17"/>
      <c r="Q47" s="22"/>
      <c r="R47" s="22"/>
      <c r="S47" s="15"/>
      <c r="T47" s="22"/>
      <c r="U47" s="22"/>
      <c r="V47" s="16"/>
      <c r="W47" s="17"/>
      <c r="X47" s="22"/>
      <c r="Y47" s="22"/>
      <c r="Z47" s="15"/>
      <c r="AA47" s="22"/>
      <c r="AB47" s="22"/>
      <c r="AC47" s="16"/>
      <c r="AD47" s="17"/>
      <c r="AE47" s="22"/>
      <c r="AF47" s="22"/>
      <c r="AG47" s="15"/>
      <c r="AH47" s="22"/>
      <c r="AI47" s="22"/>
      <c r="AJ47" s="16"/>
      <c r="AK47" s="17"/>
      <c r="AL47" s="22"/>
      <c r="AM47" s="22"/>
      <c r="AN47" s="15"/>
      <c r="AO47" s="22"/>
      <c r="AP47" s="22"/>
      <c r="AQ47" s="16"/>
      <c r="AR47" s="17"/>
      <c r="AS47" s="22"/>
      <c r="AT47" s="22"/>
      <c r="AU47" s="15"/>
      <c r="AV47" s="22"/>
      <c r="AW47" s="22"/>
      <c r="AX47" s="16"/>
      <c r="AY47" s="17"/>
      <c r="AZ47" s="22"/>
      <c r="BA47" s="22"/>
      <c r="BB47" s="15"/>
      <c r="BC47" s="22"/>
      <c r="BD47" s="22"/>
      <c r="BE47" s="16"/>
      <c r="BF47" s="17"/>
      <c r="BG47" s="22"/>
      <c r="BH47" s="22"/>
      <c r="BI47" s="15"/>
      <c r="BJ47" s="22"/>
      <c r="BK47" s="22"/>
      <c r="BL47" s="16"/>
      <c r="BM47" s="17"/>
      <c r="BN47" s="22"/>
      <c r="BO47" s="22"/>
      <c r="BP47" s="15"/>
      <c r="BQ47" s="22"/>
      <c r="BR47" s="22"/>
      <c r="BS47" s="16"/>
      <c r="BT47" s="17"/>
      <c r="BU47" s="22"/>
      <c r="BV47" s="22"/>
      <c r="BW47" s="15"/>
      <c r="BX47" s="22"/>
      <c r="BY47" s="22"/>
      <c r="BZ47" s="16"/>
      <c r="CA47" s="17"/>
      <c r="CB47" s="22"/>
      <c r="CC47" s="22"/>
      <c r="CD47" s="15"/>
      <c r="CE47" s="22"/>
      <c r="CF47" s="22"/>
      <c r="CG47" s="16"/>
      <c r="CH47" s="17"/>
      <c r="CI47" s="22"/>
      <c r="CJ47" s="22"/>
      <c r="CK47" s="15"/>
      <c r="CL47" s="22"/>
      <c r="CM47" s="22"/>
      <c r="CN47" s="16"/>
      <c r="CO47" s="17"/>
      <c r="CP47" s="22"/>
      <c r="CQ47" s="22"/>
      <c r="CR47" s="15"/>
      <c r="CS47" s="22"/>
      <c r="CT47" s="22"/>
      <c r="CU47" s="16"/>
      <c r="CV47" s="17"/>
      <c r="CW47" s="22"/>
      <c r="CX47" s="22"/>
      <c r="CY47" s="15"/>
      <c r="CZ47" s="22"/>
      <c r="DA47" s="22"/>
      <c r="DB47" s="16"/>
      <c r="DC47" s="17"/>
      <c r="DD47" s="22"/>
      <c r="DE47" s="22"/>
      <c r="DF47" s="15"/>
      <c r="DG47" s="22"/>
      <c r="DH47" s="22"/>
      <c r="DI47" s="16"/>
      <c r="DJ47" s="17"/>
      <c r="DK47" s="22"/>
      <c r="DL47" s="22"/>
      <c r="DM47" s="15"/>
    </row>
    <row r="48" spans="1:117" ht="15" hidden="1" thickBot="1" x14ac:dyDescent="0.35">
      <c r="A48" s="38"/>
      <c r="B48" s="251"/>
      <c r="C48" s="22"/>
      <c r="D48" s="22"/>
      <c r="E48" s="15"/>
      <c r="F48" s="22"/>
      <c r="G48" s="22"/>
      <c r="H48" s="16"/>
      <c r="I48" s="17"/>
      <c r="J48" s="22"/>
      <c r="K48" s="22"/>
      <c r="L48" s="15"/>
      <c r="M48" s="22"/>
      <c r="N48" s="22"/>
      <c r="O48" s="16"/>
      <c r="P48" s="17"/>
      <c r="Q48" s="22"/>
      <c r="R48" s="22"/>
      <c r="S48" s="15"/>
      <c r="T48" s="22"/>
      <c r="U48" s="22"/>
      <c r="V48" s="16"/>
      <c r="W48" s="17"/>
      <c r="X48" s="22"/>
      <c r="Y48" s="22"/>
      <c r="Z48" s="15"/>
      <c r="AA48" s="22"/>
      <c r="AB48" s="22"/>
      <c r="AC48" s="16"/>
      <c r="AD48" s="17"/>
      <c r="AE48" s="22"/>
      <c r="AF48" s="22"/>
      <c r="AG48" s="15"/>
      <c r="AH48" s="22"/>
      <c r="AI48" s="22"/>
      <c r="AJ48" s="16"/>
      <c r="AK48" s="17"/>
      <c r="AL48" s="22"/>
      <c r="AM48" s="22"/>
      <c r="AN48" s="15"/>
      <c r="AO48" s="22"/>
      <c r="AP48" s="22"/>
      <c r="AQ48" s="16"/>
      <c r="AR48" s="17"/>
      <c r="AS48" s="22"/>
      <c r="AT48" s="22"/>
      <c r="AU48" s="15"/>
      <c r="AV48" s="22"/>
      <c r="AW48" s="22"/>
      <c r="AX48" s="16"/>
      <c r="AY48" s="17"/>
      <c r="AZ48" s="22"/>
      <c r="BA48" s="22"/>
      <c r="BB48" s="15"/>
      <c r="BC48" s="22"/>
      <c r="BD48" s="22"/>
      <c r="BE48" s="16"/>
      <c r="BF48" s="17"/>
      <c r="BG48" s="22"/>
      <c r="BH48" s="22"/>
      <c r="BI48" s="15"/>
      <c r="BJ48" s="22"/>
      <c r="BK48" s="22"/>
      <c r="BL48" s="16"/>
      <c r="BM48" s="17"/>
      <c r="BN48" s="22"/>
      <c r="BO48" s="22"/>
      <c r="BP48" s="15"/>
      <c r="BQ48" s="22"/>
      <c r="BR48" s="22"/>
      <c r="BS48" s="16"/>
      <c r="BT48" s="17"/>
      <c r="BU48" s="22"/>
      <c r="BV48" s="22"/>
      <c r="BW48" s="15"/>
      <c r="BX48" s="22"/>
      <c r="BY48" s="22"/>
      <c r="BZ48" s="16"/>
      <c r="CA48" s="17"/>
      <c r="CB48" s="22"/>
      <c r="CC48" s="22"/>
      <c r="CD48" s="15"/>
      <c r="CE48" s="22"/>
      <c r="CF48" s="22"/>
      <c r="CG48" s="16"/>
      <c r="CH48" s="17"/>
      <c r="CI48" s="22"/>
      <c r="CJ48" s="22"/>
      <c r="CK48" s="15"/>
      <c r="CL48" s="22"/>
      <c r="CM48" s="22"/>
      <c r="CN48" s="16"/>
      <c r="CO48" s="17"/>
      <c r="CP48" s="22"/>
      <c r="CQ48" s="22"/>
      <c r="CR48" s="15"/>
      <c r="CS48" s="22"/>
      <c r="CT48" s="22"/>
      <c r="CU48" s="16"/>
      <c r="CV48" s="17"/>
      <c r="CW48" s="22"/>
      <c r="CX48" s="22"/>
      <c r="CY48" s="15"/>
      <c r="CZ48" s="22"/>
      <c r="DA48" s="22"/>
      <c r="DB48" s="16"/>
      <c r="DC48" s="17"/>
      <c r="DD48" s="22"/>
      <c r="DE48" s="22"/>
      <c r="DF48" s="15"/>
      <c r="DG48" s="22"/>
      <c r="DH48" s="22"/>
      <c r="DI48" s="16"/>
      <c r="DJ48" s="17"/>
      <c r="DK48" s="22"/>
      <c r="DL48" s="22"/>
      <c r="DM48" s="15"/>
    </row>
    <row r="49" spans="1:117" ht="15" hidden="1" thickBot="1" x14ac:dyDescent="0.35">
      <c r="A49" s="31"/>
      <c r="B49" s="251"/>
      <c r="C49" s="18"/>
      <c r="D49" s="16"/>
      <c r="E49" s="16"/>
      <c r="F49" s="16"/>
      <c r="G49" s="16"/>
      <c r="H49" s="16"/>
      <c r="I49" s="17"/>
      <c r="J49" s="18"/>
      <c r="K49" s="16"/>
      <c r="L49" s="16"/>
      <c r="M49" s="16"/>
      <c r="N49" s="16"/>
      <c r="O49" s="16"/>
      <c r="P49" s="17"/>
      <c r="Q49" s="18"/>
      <c r="R49" s="16"/>
      <c r="S49" s="16"/>
      <c r="T49" s="16"/>
      <c r="U49" s="16"/>
      <c r="V49" s="16"/>
      <c r="W49" s="17"/>
      <c r="X49" s="18"/>
      <c r="Y49" s="16"/>
      <c r="Z49" s="16"/>
      <c r="AA49" s="16"/>
      <c r="AB49" s="16"/>
      <c r="AC49" s="16"/>
      <c r="AD49" s="17"/>
      <c r="AE49" s="18"/>
      <c r="AF49" s="16"/>
      <c r="AG49" s="16"/>
      <c r="AH49" s="16"/>
      <c r="AI49" s="16"/>
      <c r="AJ49" s="16"/>
      <c r="AK49" s="17"/>
      <c r="AL49" s="18"/>
      <c r="AM49" s="16"/>
      <c r="AN49" s="16"/>
      <c r="AO49" s="16"/>
      <c r="AP49" s="16"/>
      <c r="AQ49" s="16"/>
      <c r="AR49" s="17"/>
      <c r="AS49" s="18"/>
      <c r="AT49" s="16"/>
      <c r="AU49" s="16"/>
      <c r="AV49" s="16"/>
      <c r="AW49" s="16"/>
      <c r="AX49" s="16"/>
      <c r="AY49" s="17"/>
      <c r="AZ49" s="18"/>
      <c r="BA49" s="16"/>
      <c r="BB49" s="16"/>
      <c r="BC49" s="16"/>
      <c r="BD49" s="16"/>
      <c r="BE49" s="16"/>
      <c r="BF49" s="17"/>
      <c r="BG49" s="18"/>
      <c r="BH49" s="16"/>
      <c r="BI49" s="16"/>
      <c r="BJ49" s="16"/>
      <c r="BK49" s="16"/>
      <c r="BL49" s="16"/>
      <c r="BM49" s="17"/>
      <c r="BN49" s="18"/>
      <c r="BO49" s="16"/>
      <c r="BP49" s="16"/>
      <c r="BQ49" s="16"/>
      <c r="BR49" s="16"/>
      <c r="BS49" s="16"/>
      <c r="BT49" s="17"/>
      <c r="BU49" s="18"/>
      <c r="BV49" s="16"/>
      <c r="BW49" s="16"/>
      <c r="BX49" s="16"/>
      <c r="BY49" s="16"/>
      <c r="BZ49" s="16"/>
      <c r="CA49" s="17"/>
      <c r="CB49" s="18"/>
      <c r="CC49" s="16"/>
      <c r="CD49" s="16"/>
      <c r="CE49" s="16"/>
      <c r="CF49" s="16"/>
      <c r="CG49" s="16"/>
      <c r="CH49" s="17"/>
      <c r="CI49" s="18"/>
      <c r="CJ49" s="16"/>
      <c r="CK49" s="16"/>
      <c r="CL49" s="16"/>
      <c r="CM49" s="16"/>
      <c r="CN49" s="16"/>
      <c r="CO49" s="17"/>
      <c r="CP49" s="18"/>
      <c r="CQ49" s="16"/>
      <c r="CR49" s="16"/>
      <c r="CS49" s="16"/>
      <c r="CT49" s="16"/>
      <c r="CU49" s="16"/>
      <c r="CV49" s="17"/>
      <c r="CW49" s="18"/>
      <c r="CX49" s="16"/>
      <c r="CY49" s="16"/>
      <c r="CZ49" s="16"/>
      <c r="DA49" s="16"/>
      <c r="DB49" s="16"/>
      <c r="DC49" s="17"/>
      <c r="DD49" s="18"/>
      <c r="DE49" s="16"/>
      <c r="DF49" s="16"/>
      <c r="DG49" s="16"/>
      <c r="DH49" s="16"/>
      <c r="DI49" s="16"/>
      <c r="DJ49" s="17"/>
      <c r="DK49" s="18"/>
      <c r="DL49" s="16"/>
      <c r="DM49" s="16"/>
    </row>
    <row r="50" spans="1:117" ht="15" hidden="1" thickBot="1" x14ac:dyDescent="0.35">
      <c r="A50" s="31"/>
      <c r="B50" s="251"/>
      <c r="C50" s="18"/>
      <c r="D50" s="16"/>
      <c r="E50" s="16"/>
      <c r="F50" s="16"/>
      <c r="G50" s="16"/>
      <c r="H50" s="16"/>
      <c r="I50" s="17"/>
      <c r="J50" s="18"/>
      <c r="K50" s="16"/>
      <c r="L50" s="16"/>
      <c r="M50" s="16"/>
      <c r="N50" s="16"/>
      <c r="O50" s="16"/>
      <c r="P50" s="17"/>
      <c r="Q50" s="18"/>
      <c r="R50" s="16"/>
      <c r="S50" s="16"/>
      <c r="T50" s="16"/>
      <c r="U50" s="16"/>
      <c r="V50" s="16"/>
      <c r="W50" s="17"/>
      <c r="X50" s="18"/>
      <c r="Y50" s="16"/>
      <c r="Z50" s="16"/>
      <c r="AA50" s="16"/>
      <c r="AB50" s="16"/>
      <c r="AC50" s="16"/>
      <c r="AD50" s="17"/>
      <c r="AE50" s="18"/>
      <c r="AF50" s="16"/>
      <c r="AG50" s="16"/>
      <c r="AH50" s="16"/>
      <c r="AI50" s="16"/>
      <c r="AJ50" s="16"/>
      <c r="AK50" s="17"/>
      <c r="AL50" s="18"/>
      <c r="AM50" s="16"/>
      <c r="AN50" s="16"/>
      <c r="AO50" s="16"/>
      <c r="AP50" s="16"/>
      <c r="AQ50" s="16"/>
      <c r="AR50" s="17"/>
      <c r="AS50" s="18"/>
      <c r="AT50" s="16"/>
      <c r="AU50" s="16"/>
      <c r="AV50" s="16"/>
      <c r="AW50" s="16"/>
      <c r="AX50" s="16"/>
      <c r="AY50" s="17"/>
      <c r="AZ50" s="18"/>
      <c r="BA50" s="16"/>
      <c r="BB50" s="16"/>
      <c r="BC50" s="16"/>
      <c r="BD50" s="16"/>
      <c r="BE50" s="16"/>
      <c r="BF50" s="17"/>
      <c r="BG50" s="18"/>
      <c r="BH50" s="16"/>
      <c r="BI50" s="16"/>
      <c r="BJ50" s="16"/>
      <c r="BK50" s="16"/>
      <c r="BL50" s="16"/>
      <c r="BM50" s="17"/>
      <c r="BN50" s="18"/>
      <c r="BO50" s="16"/>
      <c r="BP50" s="16"/>
      <c r="BQ50" s="16"/>
      <c r="BR50" s="16"/>
      <c r="BS50" s="16"/>
      <c r="BT50" s="17"/>
      <c r="BU50" s="18"/>
      <c r="BV50" s="16"/>
      <c r="BW50" s="16"/>
      <c r="BX50" s="16"/>
      <c r="BY50" s="16"/>
      <c r="BZ50" s="16"/>
      <c r="CA50" s="17"/>
      <c r="CB50" s="18"/>
      <c r="CC50" s="16"/>
      <c r="CD50" s="16"/>
      <c r="CE50" s="16"/>
      <c r="CF50" s="16"/>
      <c r="CG50" s="16"/>
      <c r="CH50" s="17"/>
      <c r="CI50" s="18"/>
      <c r="CJ50" s="16"/>
      <c r="CK50" s="16"/>
      <c r="CL50" s="16"/>
      <c r="CM50" s="16"/>
      <c r="CN50" s="16"/>
      <c r="CO50" s="17"/>
      <c r="CP50" s="18"/>
      <c r="CQ50" s="16"/>
      <c r="CR50" s="16"/>
      <c r="CS50" s="16"/>
      <c r="CT50" s="16"/>
      <c r="CU50" s="16"/>
      <c r="CV50" s="17"/>
      <c r="CW50" s="18"/>
      <c r="CX50" s="16"/>
      <c r="CY50" s="16"/>
      <c r="CZ50" s="16"/>
      <c r="DA50" s="16"/>
      <c r="DB50" s="16"/>
      <c r="DC50" s="17"/>
      <c r="DD50" s="18"/>
      <c r="DE50" s="16"/>
      <c r="DF50" s="16"/>
      <c r="DG50" s="16"/>
      <c r="DH50" s="16"/>
      <c r="DI50" s="16"/>
      <c r="DJ50" s="17"/>
      <c r="DK50" s="18"/>
      <c r="DL50" s="16"/>
      <c r="DM50" s="16"/>
    </row>
    <row r="51" spans="1:117" ht="15" hidden="1" thickBot="1" x14ac:dyDescent="0.35">
      <c r="A51" s="31"/>
      <c r="B51" s="256"/>
      <c r="C51" s="21"/>
      <c r="D51" s="19"/>
      <c r="E51" s="19"/>
      <c r="F51" s="19"/>
      <c r="G51" s="19"/>
      <c r="H51" s="19"/>
      <c r="I51" s="20"/>
      <c r="J51" s="21"/>
      <c r="K51" s="19"/>
      <c r="L51" s="19"/>
      <c r="M51" s="19"/>
      <c r="N51" s="19"/>
      <c r="O51" s="19"/>
      <c r="P51" s="20"/>
      <c r="Q51" s="21"/>
      <c r="R51" s="19"/>
      <c r="S51" s="19"/>
      <c r="T51" s="19"/>
      <c r="U51" s="19"/>
      <c r="V51" s="19"/>
      <c r="W51" s="20"/>
      <c r="X51" s="21"/>
      <c r="Y51" s="19"/>
      <c r="Z51" s="19"/>
      <c r="AA51" s="19"/>
      <c r="AB51" s="19"/>
      <c r="AC51" s="19"/>
      <c r="AD51" s="20"/>
      <c r="AE51" s="21"/>
      <c r="AF51" s="19"/>
      <c r="AG51" s="19"/>
      <c r="AH51" s="19"/>
      <c r="AI51" s="19"/>
      <c r="AJ51" s="19"/>
      <c r="AK51" s="20"/>
      <c r="AL51" s="21"/>
      <c r="AM51" s="19"/>
      <c r="AN51" s="19"/>
      <c r="AO51" s="19"/>
      <c r="AP51" s="19"/>
      <c r="AQ51" s="19"/>
      <c r="AR51" s="20"/>
      <c r="AS51" s="21"/>
      <c r="AT51" s="19"/>
      <c r="AU51" s="19"/>
      <c r="AV51" s="19"/>
      <c r="AW51" s="19"/>
      <c r="AX51" s="19"/>
      <c r="AY51" s="20"/>
      <c r="AZ51" s="21"/>
      <c r="BA51" s="19"/>
      <c r="BB51" s="19"/>
      <c r="BC51" s="19"/>
      <c r="BD51" s="19"/>
      <c r="BE51" s="19"/>
      <c r="BF51" s="20"/>
      <c r="BG51" s="21"/>
      <c r="BH51" s="19"/>
      <c r="BI51" s="19"/>
      <c r="BJ51" s="19"/>
      <c r="BK51" s="19"/>
      <c r="BL51" s="19"/>
      <c r="BM51" s="20"/>
      <c r="BN51" s="21"/>
      <c r="BO51" s="19"/>
      <c r="BP51" s="19"/>
      <c r="BQ51" s="19"/>
      <c r="BR51" s="19"/>
      <c r="BS51" s="19"/>
      <c r="BT51" s="20"/>
      <c r="BU51" s="21"/>
      <c r="BV51" s="19"/>
      <c r="BW51" s="19"/>
      <c r="BX51" s="19"/>
      <c r="BY51" s="19"/>
      <c r="BZ51" s="19"/>
      <c r="CA51" s="20"/>
      <c r="CB51" s="21"/>
      <c r="CC51" s="19"/>
      <c r="CD51" s="19"/>
      <c r="CE51" s="19"/>
      <c r="CF51" s="19"/>
      <c r="CG51" s="19"/>
      <c r="CH51" s="20"/>
      <c r="CI51" s="21"/>
      <c r="CJ51" s="19"/>
      <c r="CK51" s="19"/>
      <c r="CL51" s="19"/>
      <c r="CM51" s="19"/>
      <c r="CN51" s="19"/>
      <c r="CO51" s="20"/>
      <c r="CP51" s="21"/>
      <c r="CQ51" s="19"/>
      <c r="CR51" s="19"/>
      <c r="CS51" s="19"/>
      <c r="CT51" s="19"/>
      <c r="CU51" s="19"/>
      <c r="CV51" s="20"/>
      <c r="CW51" s="21"/>
      <c r="CX51" s="19"/>
      <c r="CY51" s="19"/>
      <c r="CZ51" s="19"/>
      <c r="DA51" s="19"/>
      <c r="DB51" s="19"/>
      <c r="DC51" s="20"/>
      <c r="DD51" s="21"/>
      <c r="DE51" s="19"/>
      <c r="DF51" s="19"/>
      <c r="DG51" s="19"/>
      <c r="DH51" s="19"/>
      <c r="DI51" s="19"/>
      <c r="DJ51" s="20"/>
      <c r="DK51" s="21"/>
      <c r="DL51" s="19"/>
      <c r="DM51" s="19"/>
    </row>
    <row r="52" spans="1:117" ht="15" customHeight="1" thickBot="1" x14ac:dyDescent="0.35">
      <c r="A52" s="31"/>
      <c r="B52" s="247" t="s">
        <v>15</v>
      </c>
      <c r="C52" s="113" t="s">
        <v>7</v>
      </c>
      <c r="D52" s="10">
        <v>3340</v>
      </c>
      <c r="E52" s="10">
        <v>3340</v>
      </c>
      <c r="F52" s="103">
        <v>3328</v>
      </c>
      <c r="G52" s="103">
        <v>3328</v>
      </c>
      <c r="H52" s="13"/>
      <c r="I52" s="14"/>
      <c r="J52" s="124" t="s">
        <v>16</v>
      </c>
      <c r="K52" s="101" t="s">
        <v>9</v>
      </c>
      <c r="L52" s="103">
        <v>3328</v>
      </c>
      <c r="M52" s="113" t="s">
        <v>7</v>
      </c>
      <c r="N52" s="113" t="s">
        <v>7</v>
      </c>
      <c r="O52" s="13"/>
      <c r="P52" s="14"/>
      <c r="Q52" s="126" t="s">
        <v>11</v>
      </c>
      <c r="R52" s="128">
        <v>3340</v>
      </c>
      <c r="S52" s="113" t="s">
        <v>7</v>
      </c>
      <c r="T52" s="101" t="s">
        <v>9</v>
      </c>
      <c r="U52" s="101" t="s">
        <v>9</v>
      </c>
      <c r="V52" s="13"/>
      <c r="W52" s="14"/>
      <c r="X52" s="101" t="s">
        <v>9</v>
      </c>
      <c r="Y52" s="101" t="s">
        <v>9</v>
      </c>
      <c r="Z52" s="103">
        <v>3328</v>
      </c>
      <c r="AA52" s="126" t="s">
        <v>11</v>
      </c>
      <c r="AB52" s="136">
        <v>3340</v>
      </c>
      <c r="AC52" s="13"/>
      <c r="AD52" s="14"/>
      <c r="AE52" s="126" t="s">
        <v>11</v>
      </c>
      <c r="AF52" s="126" t="s">
        <v>11</v>
      </c>
      <c r="AG52" s="126" t="s">
        <v>11</v>
      </c>
      <c r="AH52" s="114" t="s">
        <v>7</v>
      </c>
      <c r="AI52" s="126" t="s">
        <v>11</v>
      </c>
      <c r="AJ52" s="13"/>
      <c r="AK52" s="14"/>
      <c r="AL52" s="126" t="s">
        <v>11</v>
      </c>
      <c r="AM52" s="126" t="s">
        <v>11</v>
      </c>
      <c r="AN52" s="126" t="s">
        <v>11</v>
      </c>
      <c r="AO52" s="155">
        <v>3341</v>
      </c>
      <c r="AP52" s="126" t="s">
        <v>11</v>
      </c>
      <c r="AQ52" s="13"/>
      <c r="AR52" s="14"/>
      <c r="AS52" s="126" t="s">
        <v>11</v>
      </c>
      <c r="AT52" s="126" t="s">
        <v>11</v>
      </c>
      <c r="AU52" s="126" t="s">
        <v>11</v>
      </c>
      <c r="AV52" s="154">
        <v>3331</v>
      </c>
      <c r="AW52" s="136">
        <v>3340</v>
      </c>
      <c r="AX52" s="13"/>
      <c r="AY52" s="14"/>
      <c r="AZ52" s="126" t="s">
        <v>11</v>
      </c>
      <c r="BA52" s="126" t="s">
        <v>11</v>
      </c>
      <c r="BB52" s="126" t="s">
        <v>11</v>
      </c>
      <c r="BC52" s="114" t="s">
        <v>7</v>
      </c>
      <c r="BD52" s="114" t="s">
        <v>7</v>
      </c>
      <c r="BE52" s="13"/>
      <c r="BF52" s="14"/>
      <c r="BG52" s="126" t="s">
        <v>11</v>
      </c>
      <c r="BH52" s="126" t="s">
        <v>11</v>
      </c>
      <c r="BI52" s="126" t="s">
        <v>11</v>
      </c>
      <c r="BJ52" s="114" t="s">
        <v>7</v>
      </c>
      <c r="BK52" s="114" t="s">
        <v>7</v>
      </c>
      <c r="BL52" s="13"/>
      <c r="BM52" s="14"/>
      <c r="BN52" s="126" t="s">
        <v>11</v>
      </c>
      <c r="BO52" s="126" t="s">
        <v>11</v>
      </c>
      <c r="BP52" s="126" t="s">
        <v>11</v>
      </c>
      <c r="BQ52" s="114" t="s">
        <v>7</v>
      </c>
      <c r="BR52" s="114" t="s">
        <v>7</v>
      </c>
      <c r="BS52" s="13"/>
      <c r="BT52" s="14"/>
      <c r="BU52" s="143" t="s">
        <v>9</v>
      </c>
      <c r="BV52" s="126" t="s">
        <v>11</v>
      </c>
      <c r="BW52" s="126" t="s">
        <v>11</v>
      </c>
      <c r="BX52" s="114" t="s">
        <v>7</v>
      </c>
      <c r="BY52" s="114" t="s">
        <v>7</v>
      </c>
      <c r="BZ52" s="13"/>
      <c r="CA52" s="14"/>
      <c r="CB52" s="126" t="s">
        <v>11</v>
      </c>
      <c r="CC52" s="126" t="s">
        <v>11</v>
      </c>
      <c r="CD52" s="126" t="s">
        <v>11</v>
      </c>
      <c r="CE52" s="114" t="s">
        <v>7</v>
      </c>
      <c r="CF52" s="114" t="s">
        <v>7</v>
      </c>
      <c r="CG52" s="13"/>
      <c r="CH52" s="14"/>
      <c r="CI52" s="126" t="s">
        <v>11</v>
      </c>
      <c r="CJ52" s="126" t="s">
        <v>11</v>
      </c>
      <c r="CK52" s="126" t="s">
        <v>11</v>
      </c>
      <c r="CL52" s="114" t="s">
        <v>7</v>
      </c>
      <c r="CM52" s="147">
        <v>3328</v>
      </c>
      <c r="CN52" s="13"/>
      <c r="CO52" s="14"/>
      <c r="CP52" s="126" t="s">
        <v>11</v>
      </c>
      <c r="CQ52" s="126" t="s">
        <v>11</v>
      </c>
      <c r="CR52" s="126" t="s">
        <v>11</v>
      </c>
      <c r="CS52" s="114" t="s">
        <v>7</v>
      </c>
      <c r="CT52" s="114" t="s">
        <v>7</v>
      </c>
      <c r="CU52" s="13"/>
      <c r="CV52" s="14"/>
      <c r="CW52" s="126" t="s">
        <v>11</v>
      </c>
      <c r="CX52" s="126" t="s">
        <v>11</v>
      </c>
      <c r="CY52" s="126" t="s">
        <v>11</v>
      </c>
      <c r="CZ52" s="114" t="s">
        <v>7</v>
      </c>
      <c r="DA52" s="147">
        <v>3328</v>
      </c>
      <c r="DB52" s="13"/>
      <c r="DC52" s="14"/>
      <c r="DD52" s="101" t="s">
        <v>9</v>
      </c>
      <c r="DE52" s="101" t="s">
        <v>9</v>
      </c>
      <c r="DF52" s="101" t="s">
        <v>9</v>
      </c>
      <c r="DG52" s="101" t="s">
        <v>9</v>
      </c>
      <c r="DH52" s="101" t="s">
        <v>9</v>
      </c>
      <c r="DI52" s="13"/>
      <c r="DJ52" s="14"/>
      <c r="DK52" s="101" t="s">
        <v>9</v>
      </c>
      <c r="DL52" s="101" t="s">
        <v>9</v>
      </c>
      <c r="DM52" s="101" t="s">
        <v>9</v>
      </c>
    </row>
    <row r="53" spans="1:117" ht="15" thickBot="1" x14ac:dyDescent="0.35">
      <c r="A53" s="31"/>
      <c r="B53" s="248"/>
      <c r="C53" s="114" t="s">
        <v>7</v>
      </c>
      <c r="D53" s="10">
        <v>3340</v>
      </c>
      <c r="E53" s="10">
        <v>3340</v>
      </c>
      <c r="F53" s="103">
        <v>3328</v>
      </c>
      <c r="G53" s="103">
        <v>3328</v>
      </c>
      <c r="H53" s="16"/>
      <c r="I53" s="17"/>
      <c r="J53" s="114" t="s">
        <v>7</v>
      </c>
      <c r="K53" s="101" t="s">
        <v>9</v>
      </c>
      <c r="L53" s="103">
        <v>3328</v>
      </c>
      <c r="M53" s="114" t="s">
        <v>7</v>
      </c>
      <c r="N53" s="114" t="s">
        <v>7</v>
      </c>
      <c r="O53" s="16"/>
      <c r="P53" s="17"/>
      <c r="Q53" s="127" t="s">
        <v>11</v>
      </c>
      <c r="R53" s="114" t="s">
        <v>7</v>
      </c>
      <c r="S53" s="114" t="s">
        <v>7</v>
      </c>
      <c r="T53" s="101" t="s">
        <v>9</v>
      </c>
      <c r="U53" s="101" t="s">
        <v>9</v>
      </c>
      <c r="V53" s="16"/>
      <c r="W53" s="17"/>
      <c r="X53" s="101" t="s">
        <v>9</v>
      </c>
      <c r="Y53" s="101" t="s">
        <v>9</v>
      </c>
      <c r="Z53" s="103">
        <v>3328</v>
      </c>
      <c r="AA53" s="127" t="s">
        <v>11</v>
      </c>
      <c r="AB53" s="136">
        <v>3340</v>
      </c>
      <c r="AC53" s="16"/>
      <c r="AD53" s="17"/>
      <c r="AE53" s="127" t="s">
        <v>11</v>
      </c>
      <c r="AF53" s="138">
        <v>3331</v>
      </c>
      <c r="AG53" s="127" t="s">
        <v>11</v>
      </c>
      <c r="AH53" s="114" t="s">
        <v>7</v>
      </c>
      <c r="AI53" s="127" t="s">
        <v>11</v>
      </c>
      <c r="AJ53" s="16"/>
      <c r="AK53" s="17"/>
      <c r="AL53" s="127" t="s">
        <v>11</v>
      </c>
      <c r="AM53" s="114" t="s">
        <v>7</v>
      </c>
      <c r="AN53" s="127" t="s">
        <v>11</v>
      </c>
      <c r="AO53" s="155">
        <v>3341</v>
      </c>
      <c r="AP53" s="127" t="s">
        <v>11</v>
      </c>
      <c r="AQ53" s="16"/>
      <c r="AR53" s="17"/>
      <c r="AS53" s="127" t="s">
        <v>11</v>
      </c>
      <c r="AT53" s="103">
        <v>3328</v>
      </c>
      <c r="AU53" s="127" t="s">
        <v>11</v>
      </c>
      <c r="AV53" s="154">
        <v>3331</v>
      </c>
      <c r="AW53" s="136">
        <v>3340</v>
      </c>
      <c r="AX53" s="16"/>
      <c r="AY53" s="17"/>
      <c r="AZ53" s="127" t="s">
        <v>11</v>
      </c>
      <c r="BA53" s="114" t="s">
        <v>7</v>
      </c>
      <c r="BB53" s="127" t="s">
        <v>11</v>
      </c>
      <c r="BC53" s="114" t="s">
        <v>7</v>
      </c>
      <c r="BD53" s="114" t="s">
        <v>7</v>
      </c>
      <c r="BE53" s="16"/>
      <c r="BF53" s="17"/>
      <c r="BG53" s="127" t="s">
        <v>11</v>
      </c>
      <c r="BH53" s="114" t="s">
        <v>7</v>
      </c>
      <c r="BI53" s="127" t="s">
        <v>11</v>
      </c>
      <c r="BJ53" s="114" t="s">
        <v>7</v>
      </c>
      <c r="BK53" s="114" t="s">
        <v>7</v>
      </c>
      <c r="BL53" s="16"/>
      <c r="BM53" s="17"/>
      <c r="BN53" s="127" t="s">
        <v>11</v>
      </c>
      <c r="BO53" s="114" t="s">
        <v>7</v>
      </c>
      <c r="BP53" s="127" t="s">
        <v>11</v>
      </c>
      <c r="BQ53" s="114" t="s">
        <v>7</v>
      </c>
      <c r="BR53" s="114" t="s">
        <v>7</v>
      </c>
      <c r="BS53" s="16"/>
      <c r="BT53" s="17"/>
      <c r="BU53" s="143" t="s">
        <v>9</v>
      </c>
      <c r="BV53" s="114" t="s">
        <v>7</v>
      </c>
      <c r="BW53" s="127" t="s">
        <v>11</v>
      </c>
      <c r="BX53" s="114" t="s">
        <v>7</v>
      </c>
      <c r="BY53" s="114" t="s">
        <v>7</v>
      </c>
      <c r="BZ53" s="16"/>
      <c r="CA53" s="17"/>
      <c r="CB53" s="127" t="s">
        <v>11</v>
      </c>
      <c r="CC53" s="114" t="s">
        <v>7</v>
      </c>
      <c r="CD53" s="127" t="s">
        <v>11</v>
      </c>
      <c r="CE53" s="114" t="s">
        <v>7</v>
      </c>
      <c r="CF53" s="114" t="s">
        <v>7</v>
      </c>
      <c r="CG53" s="16"/>
      <c r="CH53" s="17"/>
      <c r="CI53" s="127" t="s">
        <v>11</v>
      </c>
      <c r="CJ53" s="114" t="s">
        <v>7</v>
      </c>
      <c r="CK53" s="127" t="s">
        <v>11</v>
      </c>
      <c r="CL53" s="114" t="s">
        <v>7</v>
      </c>
      <c r="CM53" s="114" t="s">
        <v>7</v>
      </c>
      <c r="CN53" s="16"/>
      <c r="CO53" s="17"/>
      <c r="CP53" s="127" t="s">
        <v>11</v>
      </c>
      <c r="CQ53" s="114" t="s">
        <v>7</v>
      </c>
      <c r="CR53" s="127" t="s">
        <v>11</v>
      </c>
      <c r="CS53" s="114" t="s">
        <v>7</v>
      </c>
      <c r="CT53" s="114" t="s">
        <v>7</v>
      </c>
      <c r="CU53" s="16"/>
      <c r="CV53" s="17"/>
      <c r="CW53" s="127" t="s">
        <v>11</v>
      </c>
      <c r="CX53" s="114" t="s">
        <v>7</v>
      </c>
      <c r="CY53" s="127" t="s">
        <v>11</v>
      </c>
      <c r="CZ53" s="114" t="s">
        <v>7</v>
      </c>
      <c r="DA53" s="147">
        <v>3328</v>
      </c>
      <c r="DB53" s="16"/>
      <c r="DC53" s="17"/>
      <c r="DD53" s="101" t="s">
        <v>9</v>
      </c>
      <c r="DE53" s="101" t="s">
        <v>9</v>
      </c>
      <c r="DF53" s="101" t="s">
        <v>9</v>
      </c>
      <c r="DG53" s="101" t="s">
        <v>9</v>
      </c>
      <c r="DH53" s="101" t="s">
        <v>9</v>
      </c>
      <c r="DI53" s="16"/>
      <c r="DJ53" s="17"/>
      <c r="DK53" s="101" t="s">
        <v>9</v>
      </c>
      <c r="DL53" s="101" t="s">
        <v>9</v>
      </c>
      <c r="DM53" s="101" t="s">
        <v>9</v>
      </c>
    </row>
    <row r="54" spans="1:117" x14ac:dyDescent="0.3">
      <c r="A54" s="31"/>
      <c r="B54" s="248"/>
      <c r="C54" s="114" t="s">
        <v>7</v>
      </c>
      <c r="D54" s="10">
        <v>3340</v>
      </c>
      <c r="E54" s="10">
        <v>3340</v>
      </c>
      <c r="F54" s="103">
        <v>3328</v>
      </c>
      <c r="G54" s="103">
        <v>3328</v>
      </c>
      <c r="H54" s="16"/>
      <c r="I54" s="17"/>
      <c r="J54" s="114" t="s">
        <v>7</v>
      </c>
      <c r="K54" s="101" t="s">
        <v>9</v>
      </c>
      <c r="L54" s="103">
        <v>3328</v>
      </c>
      <c r="M54" s="114" t="s">
        <v>7</v>
      </c>
      <c r="N54" s="114" t="s">
        <v>7</v>
      </c>
      <c r="O54" s="16"/>
      <c r="P54" s="17"/>
      <c r="Q54" s="127" t="s">
        <v>11</v>
      </c>
      <c r="R54" s="114" t="s">
        <v>7</v>
      </c>
      <c r="S54" s="114" t="s">
        <v>7</v>
      </c>
      <c r="T54" s="101" t="s">
        <v>9</v>
      </c>
      <c r="U54" s="101" t="s">
        <v>9</v>
      </c>
      <c r="V54" s="16"/>
      <c r="W54" s="17"/>
      <c r="X54" s="101" t="s">
        <v>9</v>
      </c>
      <c r="Y54" s="101" t="s">
        <v>9</v>
      </c>
      <c r="Z54" s="114" t="s">
        <v>7</v>
      </c>
      <c r="AA54" s="114" t="s">
        <v>7</v>
      </c>
      <c r="AB54" s="136">
        <v>3340</v>
      </c>
      <c r="AC54" s="16"/>
      <c r="AD54" s="17"/>
      <c r="AE54" s="114" t="s">
        <v>7</v>
      </c>
      <c r="AF54" s="138">
        <v>3331</v>
      </c>
      <c r="AG54" s="126" t="s">
        <v>11</v>
      </c>
      <c r="AH54" s="114" t="s">
        <v>7</v>
      </c>
      <c r="AI54" s="114" t="s">
        <v>7</v>
      </c>
      <c r="AJ54" s="16"/>
      <c r="AK54" s="17"/>
      <c r="AL54" s="114" t="s">
        <v>7</v>
      </c>
      <c r="AM54" s="114" t="s">
        <v>7</v>
      </c>
      <c r="AN54" s="126" t="s">
        <v>11</v>
      </c>
      <c r="AO54" s="155">
        <v>3341</v>
      </c>
      <c r="AP54" s="154">
        <v>3331</v>
      </c>
      <c r="AQ54" s="16"/>
      <c r="AR54" s="17"/>
      <c r="AS54" s="114" t="s">
        <v>7</v>
      </c>
      <c r="AT54" s="114" t="s">
        <v>7</v>
      </c>
      <c r="AU54" s="126" t="s">
        <v>11</v>
      </c>
      <c r="AV54" s="154">
        <v>3331</v>
      </c>
      <c r="AW54" s="136">
        <v>3340</v>
      </c>
      <c r="AX54" s="16"/>
      <c r="AY54" s="17"/>
      <c r="AZ54" s="114" t="s">
        <v>7</v>
      </c>
      <c r="BA54" s="114" t="s">
        <v>7</v>
      </c>
      <c r="BB54" s="126" t="s">
        <v>11</v>
      </c>
      <c r="BC54" s="114" t="s">
        <v>7</v>
      </c>
      <c r="BD54" s="114" t="s">
        <v>7</v>
      </c>
      <c r="BE54" s="16"/>
      <c r="BF54" s="17"/>
      <c r="BG54" s="114" t="s">
        <v>7</v>
      </c>
      <c r="BH54" s="114" t="s">
        <v>7</v>
      </c>
      <c r="BI54" s="126" t="s">
        <v>11</v>
      </c>
      <c r="BJ54" s="114" t="s">
        <v>7</v>
      </c>
      <c r="BK54" s="114" t="s">
        <v>7</v>
      </c>
      <c r="BL54" s="16"/>
      <c r="BM54" s="17"/>
      <c r="BN54" s="114" t="s">
        <v>7</v>
      </c>
      <c r="BO54" s="114" t="s">
        <v>7</v>
      </c>
      <c r="BP54" s="126" t="s">
        <v>11</v>
      </c>
      <c r="BQ54" s="114" t="s">
        <v>7</v>
      </c>
      <c r="BR54" s="114" t="s">
        <v>7</v>
      </c>
      <c r="BS54" s="16"/>
      <c r="BT54" s="17"/>
      <c r="BU54" s="143" t="s">
        <v>9</v>
      </c>
      <c r="BV54" s="114" t="s">
        <v>7</v>
      </c>
      <c r="BW54" s="126" t="s">
        <v>11</v>
      </c>
      <c r="BX54" s="114" t="s">
        <v>7</v>
      </c>
      <c r="BY54" s="114" t="s">
        <v>7</v>
      </c>
      <c r="BZ54" s="16"/>
      <c r="CA54" s="17"/>
      <c r="CB54" s="114" t="s">
        <v>7</v>
      </c>
      <c r="CC54" s="114" t="s">
        <v>7</v>
      </c>
      <c r="CD54" s="126" t="s">
        <v>11</v>
      </c>
      <c r="CE54" s="114" t="s">
        <v>7</v>
      </c>
      <c r="CF54" s="114" t="s">
        <v>7</v>
      </c>
      <c r="CG54" s="16"/>
      <c r="CH54" s="17"/>
      <c r="CI54" s="114" t="s">
        <v>7</v>
      </c>
      <c r="CJ54" s="114" t="s">
        <v>7</v>
      </c>
      <c r="CK54" s="126" t="s">
        <v>11</v>
      </c>
      <c r="CL54" s="114" t="s">
        <v>7</v>
      </c>
      <c r="CM54" s="114" t="s">
        <v>7</v>
      </c>
      <c r="CN54" s="16"/>
      <c r="CO54" s="17"/>
      <c r="CP54" s="114" t="s">
        <v>7</v>
      </c>
      <c r="CQ54" s="114" t="s">
        <v>7</v>
      </c>
      <c r="CR54" s="126" t="s">
        <v>11</v>
      </c>
      <c r="CS54" s="114" t="s">
        <v>7</v>
      </c>
      <c r="CT54" s="114" t="s">
        <v>7</v>
      </c>
      <c r="CU54" s="16"/>
      <c r="CV54" s="17"/>
      <c r="CW54" s="114" t="s">
        <v>7</v>
      </c>
      <c r="CX54" s="114" t="s">
        <v>7</v>
      </c>
      <c r="CY54" s="126" t="s">
        <v>11</v>
      </c>
      <c r="CZ54" s="114" t="s">
        <v>7</v>
      </c>
      <c r="DA54" s="104">
        <v>3346</v>
      </c>
      <c r="DB54" s="16"/>
      <c r="DC54" s="17"/>
      <c r="DD54" s="101" t="s">
        <v>9</v>
      </c>
      <c r="DE54" s="101" t="s">
        <v>9</v>
      </c>
      <c r="DF54" s="101" t="s">
        <v>9</v>
      </c>
      <c r="DG54" s="101" t="s">
        <v>9</v>
      </c>
      <c r="DH54" s="101" t="s">
        <v>9</v>
      </c>
      <c r="DI54" s="16"/>
      <c r="DJ54" s="17"/>
      <c r="DK54" s="101" t="s">
        <v>9</v>
      </c>
      <c r="DL54" s="101" t="s">
        <v>9</v>
      </c>
      <c r="DM54" s="101" t="s">
        <v>9</v>
      </c>
    </row>
    <row r="55" spans="1:117" x14ac:dyDescent="0.3">
      <c r="A55" s="31"/>
      <c r="B55" s="248"/>
      <c r="C55" s="114" t="s">
        <v>7</v>
      </c>
      <c r="D55" s="10">
        <v>3340</v>
      </c>
      <c r="E55" s="10">
        <v>3340</v>
      </c>
      <c r="F55" s="103">
        <v>3328</v>
      </c>
      <c r="G55" s="103">
        <v>3328</v>
      </c>
      <c r="H55" s="16"/>
      <c r="I55" s="17"/>
      <c r="J55" s="114" t="s">
        <v>7</v>
      </c>
      <c r="K55" s="101" t="s">
        <v>9</v>
      </c>
      <c r="L55" s="103">
        <v>3328</v>
      </c>
      <c r="M55" s="114" t="s">
        <v>7</v>
      </c>
      <c r="N55" s="114" t="s">
        <v>7</v>
      </c>
      <c r="O55" s="16"/>
      <c r="P55" s="17"/>
      <c r="Q55" s="114" t="s">
        <v>7</v>
      </c>
      <c r="R55" s="114" t="s">
        <v>7</v>
      </c>
      <c r="S55" s="114" t="s">
        <v>7</v>
      </c>
      <c r="T55" s="101" t="s">
        <v>9</v>
      </c>
      <c r="U55" s="101" t="s">
        <v>9</v>
      </c>
      <c r="V55" s="16"/>
      <c r="W55" s="17"/>
      <c r="X55" s="101" t="s">
        <v>9</v>
      </c>
      <c r="Y55" s="101" t="s">
        <v>9</v>
      </c>
      <c r="Z55" s="114" t="s">
        <v>7</v>
      </c>
      <c r="AA55" s="114" t="s">
        <v>7</v>
      </c>
      <c r="AB55" s="136">
        <v>3340</v>
      </c>
      <c r="AC55" s="16"/>
      <c r="AD55" s="17"/>
      <c r="AE55" s="114" t="s">
        <v>7</v>
      </c>
      <c r="AF55" s="114" t="s">
        <v>7</v>
      </c>
      <c r="AG55" s="114" t="s">
        <v>7</v>
      </c>
      <c r="AH55" s="114" t="s">
        <v>7</v>
      </c>
      <c r="AI55" s="114" t="s">
        <v>7</v>
      </c>
      <c r="AJ55" s="16"/>
      <c r="AK55" s="17"/>
      <c r="AL55" s="114" t="s">
        <v>7</v>
      </c>
      <c r="AM55" s="114" t="s">
        <v>7</v>
      </c>
      <c r="AN55" s="114" t="s">
        <v>7</v>
      </c>
      <c r="AO55" s="155">
        <v>3341</v>
      </c>
      <c r="AP55" s="154">
        <v>3331</v>
      </c>
      <c r="AQ55" s="16"/>
      <c r="AR55" s="17"/>
      <c r="AS55" s="114" t="s">
        <v>7</v>
      </c>
      <c r="AT55" s="114" t="s">
        <v>7</v>
      </c>
      <c r="AU55" s="114" t="s">
        <v>7</v>
      </c>
      <c r="AV55" s="114" t="s">
        <v>7</v>
      </c>
      <c r="AW55" s="136">
        <v>3340</v>
      </c>
      <c r="AX55" s="16"/>
      <c r="AY55" s="17"/>
      <c r="AZ55" s="114" t="s">
        <v>7</v>
      </c>
      <c r="BA55" s="114" t="s">
        <v>7</v>
      </c>
      <c r="BB55" s="114" t="s">
        <v>7</v>
      </c>
      <c r="BC55" s="114" t="s">
        <v>7</v>
      </c>
      <c r="BD55" s="114" t="s">
        <v>7</v>
      </c>
      <c r="BE55" s="16"/>
      <c r="BF55" s="17"/>
      <c r="BG55" s="114" t="s">
        <v>7</v>
      </c>
      <c r="BH55" s="114" t="s">
        <v>7</v>
      </c>
      <c r="BI55" s="114" t="s">
        <v>7</v>
      </c>
      <c r="BJ55" s="114" t="s">
        <v>7</v>
      </c>
      <c r="BK55" s="114" t="s">
        <v>7</v>
      </c>
      <c r="BL55" s="16"/>
      <c r="BM55" s="17"/>
      <c r="BN55" s="114" t="s">
        <v>7</v>
      </c>
      <c r="BO55" s="114" t="s">
        <v>7</v>
      </c>
      <c r="BP55" s="114" t="s">
        <v>7</v>
      </c>
      <c r="BQ55" s="114" t="s">
        <v>7</v>
      </c>
      <c r="BR55" s="114" t="s">
        <v>7</v>
      </c>
      <c r="BS55" s="16"/>
      <c r="BT55" s="17"/>
      <c r="BU55" s="143" t="s">
        <v>9</v>
      </c>
      <c r="BV55" s="114" t="s">
        <v>7</v>
      </c>
      <c r="BW55" s="114" t="s">
        <v>7</v>
      </c>
      <c r="BX55" s="114" t="s">
        <v>7</v>
      </c>
      <c r="BY55" s="114" t="s">
        <v>7</v>
      </c>
      <c r="BZ55" s="16"/>
      <c r="CA55" s="17"/>
      <c r="CB55" s="114" t="s">
        <v>7</v>
      </c>
      <c r="CC55" s="114" t="s">
        <v>7</v>
      </c>
      <c r="CD55" s="114" t="s">
        <v>7</v>
      </c>
      <c r="CE55" s="114" t="s">
        <v>7</v>
      </c>
      <c r="CF55" s="114" t="s">
        <v>7</v>
      </c>
      <c r="CG55" s="16"/>
      <c r="CH55" s="17"/>
      <c r="CI55" s="114" t="s">
        <v>7</v>
      </c>
      <c r="CJ55" s="114" t="s">
        <v>7</v>
      </c>
      <c r="CK55" s="114" t="s">
        <v>7</v>
      </c>
      <c r="CL55" s="114" t="s">
        <v>7</v>
      </c>
      <c r="CM55" s="114" t="s">
        <v>7</v>
      </c>
      <c r="CN55" s="16"/>
      <c r="CO55" s="17"/>
      <c r="CP55" s="114" t="s">
        <v>7</v>
      </c>
      <c r="CQ55" s="114" t="s">
        <v>7</v>
      </c>
      <c r="CR55" s="114" t="s">
        <v>7</v>
      </c>
      <c r="CS55" s="114" t="s">
        <v>7</v>
      </c>
      <c r="CT55" s="114" t="s">
        <v>7</v>
      </c>
      <c r="CU55" s="16"/>
      <c r="CV55" s="17"/>
      <c r="CW55" s="114" t="s">
        <v>7</v>
      </c>
      <c r="CX55" s="114" t="s">
        <v>7</v>
      </c>
      <c r="CY55" s="114" t="s">
        <v>7</v>
      </c>
      <c r="CZ55" s="114" t="s">
        <v>7</v>
      </c>
      <c r="DA55" s="104">
        <v>3346</v>
      </c>
      <c r="DB55" s="16"/>
      <c r="DC55" s="17"/>
      <c r="DD55" s="101" t="s">
        <v>9</v>
      </c>
      <c r="DE55" s="101" t="s">
        <v>9</v>
      </c>
      <c r="DF55" s="101" t="s">
        <v>9</v>
      </c>
      <c r="DG55" s="101" t="s">
        <v>9</v>
      </c>
      <c r="DH55" s="101" t="s">
        <v>9</v>
      </c>
      <c r="DI55" s="16"/>
      <c r="DJ55" s="17"/>
      <c r="DK55" s="101" t="s">
        <v>9</v>
      </c>
      <c r="DL55" s="101" t="s">
        <v>9</v>
      </c>
      <c r="DM55" s="101" t="s">
        <v>9</v>
      </c>
    </row>
    <row r="56" spans="1:117" x14ac:dyDescent="0.3">
      <c r="A56" s="31"/>
      <c r="B56" s="248"/>
      <c r="C56" s="114" t="s">
        <v>7</v>
      </c>
      <c r="D56" s="10">
        <v>3340</v>
      </c>
      <c r="E56" s="10">
        <v>3340</v>
      </c>
      <c r="F56" s="103">
        <v>3328</v>
      </c>
      <c r="G56" s="103">
        <v>3328</v>
      </c>
      <c r="H56" s="16"/>
      <c r="I56" s="17"/>
      <c r="J56" s="114" t="s">
        <v>7</v>
      </c>
      <c r="K56" s="101" t="s">
        <v>9</v>
      </c>
      <c r="L56" s="103">
        <v>3328</v>
      </c>
      <c r="M56" s="114" t="s">
        <v>7</v>
      </c>
      <c r="N56" s="114" t="s">
        <v>7</v>
      </c>
      <c r="O56" s="16"/>
      <c r="P56" s="17"/>
      <c r="Q56" s="114" t="s">
        <v>7</v>
      </c>
      <c r="R56" s="114" t="s">
        <v>7</v>
      </c>
      <c r="S56" s="114" t="s">
        <v>7</v>
      </c>
      <c r="T56" s="101" t="s">
        <v>9</v>
      </c>
      <c r="U56" s="101" t="s">
        <v>9</v>
      </c>
      <c r="V56" s="16"/>
      <c r="W56" s="17"/>
      <c r="X56" s="101" t="s">
        <v>9</v>
      </c>
      <c r="Y56" s="101" t="s">
        <v>9</v>
      </c>
      <c r="Z56" s="114" t="s">
        <v>7</v>
      </c>
      <c r="AA56" s="114" t="s">
        <v>7</v>
      </c>
      <c r="AB56" s="136">
        <v>3340</v>
      </c>
      <c r="AC56" s="16"/>
      <c r="AD56" s="17"/>
      <c r="AE56" s="114" t="s">
        <v>7</v>
      </c>
      <c r="AF56" s="114" t="s">
        <v>7</v>
      </c>
      <c r="AG56" s="114" t="s">
        <v>7</v>
      </c>
      <c r="AH56" s="114" t="s">
        <v>7</v>
      </c>
      <c r="AI56" s="114" t="s">
        <v>7</v>
      </c>
      <c r="AJ56" s="16"/>
      <c r="AK56" s="17"/>
      <c r="AL56" s="114" t="s">
        <v>7</v>
      </c>
      <c r="AM56" s="114" t="s">
        <v>7</v>
      </c>
      <c r="AN56" s="114" t="s">
        <v>7</v>
      </c>
      <c r="AO56" s="155">
        <v>3341</v>
      </c>
      <c r="AP56" s="154">
        <v>3331</v>
      </c>
      <c r="AQ56" s="16"/>
      <c r="AR56" s="17"/>
      <c r="AS56" s="114" t="s">
        <v>7</v>
      </c>
      <c r="AT56" s="114" t="s">
        <v>7</v>
      </c>
      <c r="AU56" s="114" t="s">
        <v>7</v>
      </c>
      <c r="AV56" s="114" t="s">
        <v>7</v>
      </c>
      <c r="AW56" s="136">
        <v>3340</v>
      </c>
      <c r="AX56" s="16"/>
      <c r="AY56" s="17"/>
      <c r="AZ56" s="114" t="s">
        <v>7</v>
      </c>
      <c r="BA56" s="114" t="s">
        <v>7</v>
      </c>
      <c r="BB56" s="114" t="s">
        <v>7</v>
      </c>
      <c r="BC56" s="114" t="s">
        <v>7</v>
      </c>
      <c r="BD56" s="114" t="s">
        <v>7</v>
      </c>
      <c r="BE56" s="16"/>
      <c r="BF56" s="17"/>
      <c r="BG56" s="114" t="s">
        <v>7</v>
      </c>
      <c r="BH56" s="114" t="s">
        <v>7</v>
      </c>
      <c r="BI56" s="114" t="s">
        <v>7</v>
      </c>
      <c r="BJ56" s="114" t="s">
        <v>7</v>
      </c>
      <c r="BK56" s="114" t="s">
        <v>7</v>
      </c>
      <c r="BL56" s="16"/>
      <c r="BM56" s="17"/>
      <c r="BN56" s="114" t="s">
        <v>7</v>
      </c>
      <c r="BO56" s="114" t="s">
        <v>7</v>
      </c>
      <c r="BP56" s="114" t="s">
        <v>7</v>
      </c>
      <c r="BQ56" s="114" t="s">
        <v>7</v>
      </c>
      <c r="BR56" s="114" t="s">
        <v>7</v>
      </c>
      <c r="BS56" s="16"/>
      <c r="BT56" s="17"/>
      <c r="BU56" s="143" t="s">
        <v>9</v>
      </c>
      <c r="BV56" s="114" t="s">
        <v>7</v>
      </c>
      <c r="BW56" s="114" t="s">
        <v>7</v>
      </c>
      <c r="BX56" s="114" t="s">
        <v>7</v>
      </c>
      <c r="BY56" s="114" t="s">
        <v>7</v>
      </c>
      <c r="BZ56" s="16"/>
      <c r="CA56" s="17"/>
      <c r="CB56" s="114" t="s">
        <v>7</v>
      </c>
      <c r="CC56" s="114" t="s">
        <v>7</v>
      </c>
      <c r="CD56" s="114" t="s">
        <v>7</v>
      </c>
      <c r="CE56" s="114" t="s">
        <v>7</v>
      </c>
      <c r="CF56" s="114" t="s">
        <v>7</v>
      </c>
      <c r="CG56" s="16"/>
      <c r="CH56" s="17"/>
      <c r="CI56" s="114" t="s">
        <v>7</v>
      </c>
      <c r="CJ56" s="114" t="s">
        <v>7</v>
      </c>
      <c r="CK56" s="114" t="s">
        <v>7</v>
      </c>
      <c r="CL56" s="101" t="s">
        <v>9</v>
      </c>
      <c r="CM56" s="114" t="s">
        <v>7</v>
      </c>
      <c r="CN56" s="16"/>
      <c r="CO56" s="17"/>
      <c r="CP56" s="114" t="s">
        <v>7</v>
      </c>
      <c r="CQ56" s="114" t="s">
        <v>7</v>
      </c>
      <c r="CR56" s="114" t="s">
        <v>7</v>
      </c>
      <c r="CS56" s="114" t="s">
        <v>7</v>
      </c>
      <c r="CT56" s="114" t="s">
        <v>7</v>
      </c>
      <c r="CU56" s="16"/>
      <c r="CV56" s="17"/>
      <c r="CW56" s="114" t="s">
        <v>7</v>
      </c>
      <c r="CX56" s="114" t="s">
        <v>7</v>
      </c>
      <c r="CY56" s="114" t="s">
        <v>7</v>
      </c>
      <c r="CZ56" s="114" t="s">
        <v>7</v>
      </c>
      <c r="DA56" s="114" t="s">
        <v>7</v>
      </c>
      <c r="DB56" s="16"/>
      <c r="DC56" s="17"/>
      <c r="DD56" s="101" t="s">
        <v>9</v>
      </c>
      <c r="DE56" s="101" t="s">
        <v>9</v>
      </c>
      <c r="DF56" s="101" t="s">
        <v>9</v>
      </c>
      <c r="DG56" s="101" t="s">
        <v>9</v>
      </c>
      <c r="DH56" s="101" t="s">
        <v>9</v>
      </c>
      <c r="DI56" s="16"/>
      <c r="DJ56" s="17"/>
      <c r="DK56" s="101" t="s">
        <v>9</v>
      </c>
      <c r="DL56" s="101" t="s">
        <v>9</v>
      </c>
      <c r="DM56" s="101" t="s">
        <v>9</v>
      </c>
    </row>
    <row r="57" spans="1:117" x14ac:dyDescent="0.3">
      <c r="A57" s="31"/>
      <c r="B57" s="248"/>
      <c r="C57" s="114" t="s">
        <v>7</v>
      </c>
      <c r="D57" s="10">
        <v>3340</v>
      </c>
      <c r="E57" s="10">
        <v>3340</v>
      </c>
      <c r="F57" s="103">
        <v>3328</v>
      </c>
      <c r="G57" s="103">
        <v>3328</v>
      </c>
      <c r="H57" s="16"/>
      <c r="I57" s="17"/>
      <c r="J57" s="114" t="s">
        <v>7</v>
      </c>
      <c r="K57" s="101" t="s">
        <v>9</v>
      </c>
      <c r="L57" s="103">
        <v>3328</v>
      </c>
      <c r="M57" s="114" t="s">
        <v>7</v>
      </c>
      <c r="N57" s="114" t="s">
        <v>7</v>
      </c>
      <c r="O57" s="16"/>
      <c r="P57" s="17"/>
      <c r="Q57" s="114" t="s">
        <v>7</v>
      </c>
      <c r="R57" s="114" t="s">
        <v>7</v>
      </c>
      <c r="S57" s="114" t="s">
        <v>7</v>
      </c>
      <c r="T57" s="101" t="s">
        <v>9</v>
      </c>
      <c r="U57" s="101" t="s">
        <v>9</v>
      </c>
      <c r="V57" s="16"/>
      <c r="W57" s="17"/>
      <c r="X57" s="101" t="s">
        <v>9</v>
      </c>
      <c r="Y57" s="101" t="s">
        <v>9</v>
      </c>
      <c r="Z57" s="114" t="s">
        <v>7</v>
      </c>
      <c r="AA57" s="114" t="s">
        <v>7</v>
      </c>
      <c r="AB57" s="136">
        <v>3340</v>
      </c>
      <c r="AC57" s="16"/>
      <c r="AD57" s="17"/>
      <c r="AE57" s="114" t="s">
        <v>7</v>
      </c>
      <c r="AF57" s="114" t="s">
        <v>7</v>
      </c>
      <c r="AG57" s="114" t="s">
        <v>7</v>
      </c>
      <c r="AH57" s="114" t="s">
        <v>7</v>
      </c>
      <c r="AI57" s="114" t="s">
        <v>7</v>
      </c>
      <c r="AJ57" s="16"/>
      <c r="AK57" s="17"/>
      <c r="AL57" s="114" t="s">
        <v>7</v>
      </c>
      <c r="AM57" s="114" t="s">
        <v>7</v>
      </c>
      <c r="AN57" s="114" t="s">
        <v>7</v>
      </c>
      <c r="AO57" s="155">
        <v>3341</v>
      </c>
      <c r="AP57" s="114" t="s">
        <v>7</v>
      </c>
      <c r="AQ57" s="16"/>
      <c r="AR57" s="17"/>
      <c r="AS57" s="114" t="s">
        <v>7</v>
      </c>
      <c r="AT57" s="114" t="s">
        <v>7</v>
      </c>
      <c r="AU57" s="114" t="s">
        <v>7</v>
      </c>
      <c r="AV57" s="114" t="s">
        <v>7</v>
      </c>
      <c r="AW57" s="136">
        <v>3340</v>
      </c>
      <c r="AX57" s="16"/>
      <c r="AY57" s="17"/>
      <c r="AZ57" s="114" t="s">
        <v>7</v>
      </c>
      <c r="BA57" s="114" t="s">
        <v>7</v>
      </c>
      <c r="BB57" s="114" t="s">
        <v>7</v>
      </c>
      <c r="BC57" s="114" t="s">
        <v>7</v>
      </c>
      <c r="BD57" s="114" t="s">
        <v>7</v>
      </c>
      <c r="BE57" s="16"/>
      <c r="BF57" s="17"/>
      <c r="BG57" s="114" t="s">
        <v>7</v>
      </c>
      <c r="BH57" s="114" t="s">
        <v>7</v>
      </c>
      <c r="BI57" s="114" t="s">
        <v>7</v>
      </c>
      <c r="BJ57" s="114" t="s">
        <v>7</v>
      </c>
      <c r="BK57" s="114" t="s">
        <v>7</v>
      </c>
      <c r="BL57" s="16"/>
      <c r="BM57" s="17"/>
      <c r="BN57" s="114" t="s">
        <v>7</v>
      </c>
      <c r="BO57" s="114" t="s">
        <v>7</v>
      </c>
      <c r="BP57" s="114" t="s">
        <v>7</v>
      </c>
      <c r="BQ57" s="114" t="s">
        <v>7</v>
      </c>
      <c r="BR57" s="114" t="s">
        <v>7</v>
      </c>
      <c r="BS57" s="16"/>
      <c r="BT57" s="17"/>
      <c r="BU57" s="143" t="s">
        <v>9</v>
      </c>
      <c r="BV57" s="114" t="s">
        <v>7</v>
      </c>
      <c r="BW57" s="114" t="s">
        <v>7</v>
      </c>
      <c r="BX57" s="114" t="s">
        <v>7</v>
      </c>
      <c r="BY57" s="114" t="s">
        <v>7</v>
      </c>
      <c r="BZ57" s="16"/>
      <c r="CA57" s="17"/>
      <c r="CB57" s="114" t="s">
        <v>7</v>
      </c>
      <c r="CC57" s="114" t="s">
        <v>7</v>
      </c>
      <c r="CD57" s="114" t="s">
        <v>7</v>
      </c>
      <c r="CE57" s="114" t="s">
        <v>7</v>
      </c>
      <c r="CF57" s="114" t="s">
        <v>7</v>
      </c>
      <c r="CG57" s="16"/>
      <c r="CH57" s="17"/>
      <c r="CI57" s="114" t="s">
        <v>7</v>
      </c>
      <c r="CJ57" s="114" t="s">
        <v>7</v>
      </c>
      <c r="CK57" s="114" t="s">
        <v>7</v>
      </c>
      <c r="CL57" s="101" t="s">
        <v>9</v>
      </c>
      <c r="CM57" s="114" t="s">
        <v>7</v>
      </c>
      <c r="CN57" s="16"/>
      <c r="CO57" s="17"/>
      <c r="CP57" s="114" t="s">
        <v>7</v>
      </c>
      <c r="CQ57" s="114" t="s">
        <v>7</v>
      </c>
      <c r="CR57" s="114" t="s">
        <v>7</v>
      </c>
      <c r="CS57" s="114" t="s">
        <v>7</v>
      </c>
      <c r="CT57" s="114" t="s">
        <v>7</v>
      </c>
      <c r="CU57" s="16"/>
      <c r="CV57" s="17"/>
      <c r="CW57" s="114" t="s">
        <v>7</v>
      </c>
      <c r="CX57" s="114" t="s">
        <v>7</v>
      </c>
      <c r="CY57" s="114" t="s">
        <v>7</v>
      </c>
      <c r="CZ57" s="114" t="s">
        <v>7</v>
      </c>
      <c r="DA57" s="114" t="s">
        <v>7</v>
      </c>
      <c r="DB57" s="16"/>
      <c r="DC57" s="17"/>
      <c r="DD57" s="101" t="s">
        <v>9</v>
      </c>
      <c r="DE57" s="101" t="s">
        <v>9</v>
      </c>
      <c r="DF57" s="101" t="s">
        <v>9</v>
      </c>
      <c r="DG57" s="101" t="s">
        <v>9</v>
      </c>
      <c r="DH57" s="101" t="s">
        <v>9</v>
      </c>
      <c r="DI57" s="16"/>
      <c r="DJ57" s="17"/>
      <c r="DK57" s="101" t="s">
        <v>9</v>
      </c>
      <c r="DL57" s="101" t="s">
        <v>9</v>
      </c>
      <c r="DM57" s="101" t="s">
        <v>9</v>
      </c>
    </row>
    <row r="58" spans="1:117" x14ac:dyDescent="0.3">
      <c r="A58" s="31"/>
      <c r="B58" s="248"/>
      <c r="C58" s="114" t="s">
        <v>7</v>
      </c>
      <c r="D58" s="10">
        <v>3340</v>
      </c>
      <c r="E58" s="10">
        <v>3340</v>
      </c>
      <c r="F58" s="103">
        <v>3328</v>
      </c>
      <c r="G58" s="103">
        <v>3328</v>
      </c>
      <c r="H58" s="16"/>
      <c r="I58" s="17"/>
      <c r="J58" s="114" t="s">
        <v>7</v>
      </c>
      <c r="K58" s="101" t="s">
        <v>9</v>
      </c>
      <c r="L58" s="103">
        <v>3328</v>
      </c>
      <c r="M58" s="114" t="s">
        <v>7</v>
      </c>
      <c r="N58" s="114" t="s">
        <v>7</v>
      </c>
      <c r="O58" s="16"/>
      <c r="P58" s="17"/>
      <c r="Q58" s="114" t="s">
        <v>7</v>
      </c>
      <c r="R58" s="114" t="s">
        <v>7</v>
      </c>
      <c r="S58" s="114" t="s">
        <v>7</v>
      </c>
      <c r="T58" s="101" t="s">
        <v>9</v>
      </c>
      <c r="U58" s="101" t="s">
        <v>9</v>
      </c>
      <c r="V58" s="16"/>
      <c r="W58" s="17"/>
      <c r="X58" s="101" t="s">
        <v>9</v>
      </c>
      <c r="Y58" s="101" t="s">
        <v>9</v>
      </c>
      <c r="Z58" s="114" t="s">
        <v>7</v>
      </c>
      <c r="AA58" s="114" t="s">
        <v>7</v>
      </c>
      <c r="AB58" s="136">
        <v>3340</v>
      </c>
      <c r="AC58" s="16"/>
      <c r="AD58" s="17"/>
      <c r="AE58" s="114" t="s">
        <v>7</v>
      </c>
      <c r="AF58" s="114" t="s">
        <v>7</v>
      </c>
      <c r="AG58" s="114" t="s">
        <v>7</v>
      </c>
      <c r="AH58" s="114" t="s">
        <v>7</v>
      </c>
      <c r="AI58" s="114" t="s">
        <v>7</v>
      </c>
      <c r="AJ58" s="16"/>
      <c r="AK58" s="17"/>
      <c r="AL58" s="114" t="s">
        <v>7</v>
      </c>
      <c r="AM58" s="114" t="s">
        <v>7</v>
      </c>
      <c r="AN58" s="114" t="s">
        <v>7</v>
      </c>
      <c r="AO58" s="155">
        <v>3341</v>
      </c>
      <c r="AP58" s="114" t="s">
        <v>7</v>
      </c>
      <c r="AQ58" s="16"/>
      <c r="AR58" s="17"/>
      <c r="AS58" s="114" t="s">
        <v>7</v>
      </c>
      <c r="AT58" s="114" t="s">
        <v>7</v>
      </c>
      <c r="AU58" s="114" t="s">
        <v>7</v>
      </c>
      <c r="AV58" s="114" t="s">
        <v>7</v>
      </c>
      <c r="AW58" s="136">
        <v>3340</v>
      </c>
      <c r="AX58" s="16"/>
      <c r="AY58" s="17"/>
      <c r="AZ58" s="114" t="s">
        <v>7</v>
      </c>
      <c r="BA58" s="114" t="s">
        <v>7</v>
      </c>
      <c r="BB58" s="114" t="s">
        <v>7</v>
      </c>
      <c r="BC58" s="114" t="s">
        <v>7</v>
      </c>
      <c r="BD58" s="114" t="s">
        <v>7</v>
      </c>
      <c r="BE58" s="16"/>
      <c r="BF58" s="17"/>
      <c r="BG58" s="114" t="s">
        <v>7</v>
      </c>
      <c r="BH58" s="114" t="s">
        <v>7</v>
      </c>
      <c r="BI58" s="114" t="s">
        <v>7</v>
      </c>
      <c r="BJ58" s="114" t="s">
        <v>7</v>
      </c>
      <c r="BK58" s="114" t="s">
        <v>7</v>
      </c>
      <c r="BL58" s="16"/>
      <c r="BM58" s="17"/>
      <c r="BN58" s="114" t="s">
        <v>7</v>
      </c>
      <c r="BO58" s="114" t="s">
        <v>7</v>
      </c>
      <c r="BP58" s="114" t="s">
        <v>7</v>
      </c>
      <c r="BQ58" s="114" t="s">
        <v>7</v>
      </c>
      <c r="BR58" s="114" t="s">
        <v>7</v>
      </c>
      <c r="BS58" s="16"/>
      <c r="BT58" s="17"/>
      <c r="BU58" s="143" t="s">
        <v>9</v>
      </c>
      <c r="BV58" s="114" t="s">
        <v>7</v>
      </c>
      <c r="BW58" s="114" t="s">
        <v>7</v>
      </c>
      <c r="BX58" s="114" t="s">
        <v>7</v>
      </c>
      <c r="BY58" s="114" t="s">
        <v>7</v>
      </c>
      <c r="BZ58" s="16"/>
      <c r="CA58" s="17"/>
      <c r="CB58" s="114" t="s">
        <v>7</v>
      </c>
      <c r="CC58" s="114" t="s">
        <v>7</v>
      </c>
      <c r="CD58" s="114" t="s">
        <v>7</v>
      </c>
      <c r="CE58" s="114" t="s">
        <v>7</v>
      </c>
      <c r="CF58" s="114" t="s">
        <v>7</v>
      </c>
      <c r="CG58" s="16"/>
      <c r="CH58" s="17"/>
      <c r="CI58" s="114" t="s">
        <v>7</v>
      </c>
      <c r="CJ58" s="114" t="s">
        <v>7</v>
      </c>
      <c r="CK58" s="114" t="s">
        <v>7</v>
      </c>
      <c r="CL58" s="101" t="s">
        <v>9</v>
      </c>
      <c r="CM58" s="114" t="s">
        <v>7</v>
      </c>
      <c r="CN58" s="16"/>
      <c r="CO58" s="17"/>
      <c r="CP58" s="114" t="s">
        <v>7</v>
      </c>
      <c r="CQ58" s="114" t="s">
        <v>7</v>
      </c>
      <c r="CR58" s="114" t="s">
        <v>7</v>
      </c>
      <c r="CS58" s="114" t="s">
        <v>7</v>
      </c>
      <c r="CT58" s="114" t="s">
        <v>7</v>
      </c>
      <c r="CU58" s="16"/>
      <c r="CV58" s="17"/>
      <c r="CW58" s="114" t="s">
        <v>7</v>
      </c>
      <c r="CX58" s="114" t="s">
        <v>7</v>
      </c>
      <c r="CY58" s="114" t="s">
        <v>7</v>
      </c>
      <c r="CZ58" s="114" t="s">
        <v>7</v>
      </c>
      <c r="DA58" s="114" t="s">
        <v>7</v>
      </c>
      <c r="DB58" s="16"/>
      <c r="DC58" s="17"/>
      <c r="DD58" s="101" t="s">
        <v>9</v>
      </c>
      <c r="DE58" s="101" t="s">
        <v>9</v>
      </c>
      <c r="DF58" s="101" t="s">
        <v>9</v>
      </c>
      <c r="DG58" s="101" t="s">
        <v>9</v>
      </c>
      <c r="DH58" s="101" t="s">
        <v>9</v>
      </c>
      <c r="DI58" s="16"/>
      <c r="DJ58" s="17"/>
      <c r="DK58" s="101" t="s">
        <v>9</v>
      </c>
      <c r="DL58" s="101" t="s">
        <v>9</v>
      </c>
      <c r="DM58" s="101" t="s">
        <v>9</v>
      </c>
    </row>
    <row r="59" spans="1:117" x14ac:dyDescent="0.3">
      <c r="A59" s="31"/>
      <c r="B59" s="248"/>
      <c r="C59" s="114" t="s">
        <v>7</v>
      </c>
      <c r="D59" s="10">
        <v>3340</v>
      </c>
      <c r="E59" s="10">
        <v>3340</v>
      </c>
      <c r="F59" s="103">
        <v>3328</v>
      </c>
      <c r="G59" s="103">
        <v>3328</v>
      </c>
      <c r="H59" s="16"/>
      <c r="I59" s="17"/>
      <c r="J59" s="114" t="s">
        <v>7</v>
      </c>
      <c r="K59" s="101" t="s">
        <v>9</v>
      </c>
      <c r="L59" s="103">
        <v>3328</v>
      </c>
      <c r="M59" s="114" t="s">
        <v>7</v>
      </c>
      <c r="N59" s="114" t="s">
        <v>7</v>
      </c>
      <c r="O59" s="16"/>
      <c r="P59" s="17"/>
      <c r="Q59" s="114" t="s">
        <v>7</v>
      </c>
      <c r="R59" s="114" t="s">
        <v>7</v>
      </c>
      <c r="S59" s="114" t="s">
        <v>7</v>
      </c>
      <c r="T59" s="101" t="s">
        <v>9</v>
      </c>
      <c r="U59" s="101" t="s">
        <v>9</v>
      </c>
      <c r="V59" s="16"/>
      <c r="W59" s="17"/>
      <c r="X59" s="101" t="s">
        <v>9</v>
      </c>
      <c r="Y59" s="101" t="s">
        <v>9</v>
      </c>
      <c r="Z59" s="114" t="s">
        <v>7</v>
      </c>
      <c r="AA59" s="114" t="s">
        <v>7</v>
      </c>
      <c r="AB59" s="136">
        <v>3340</v>
      </c>
      <c r="AC59" s="16"/>
      <c r="AD59" s="17"/>
      <c r="AE59" s="114" t="s">
        <v>7</v>
      </c>
      <c r="AF59" s="114" t="s">
        <v>7</v>
      </c>
      <c r="AG59" s="114" t="s">
        <v>7</v>
      </c>
      <c r="AH59" s="114" t="s">
        <v>7</v>
      </c>
      <c r="AI59" s="114" t="s">
        <v>7</v>
      </c>
      <c r="AJ59" s="16"/>
      <c r="AK59" s="17"/>
      <c r="AL59" s="114" t="s">
        <v>7</v>
      </c>
      <c r="AM59" s="114" t="s">
        <v>7</v>
      </c>
      <c r="AN59" s="114" t="s">
        <v>7</v>
      </c>
      <c r="AO59" s="155">
        <v>3341</v>
      </c>
      <c r="AP59" s="114" t="s">
        <v>7</v>
      </c>
      <c r="AQ59" s="16"/>
      <c r="AR59" s="17"/>
      <c r="AS59" s="114" t="s">
        <v>7</v>
      </c>
      <c r="AT59" s="114" t="s">
        <v>7</v>
      </c>
      <c r="AU59" s="114" t="s">
        <v>7</v>
      </c>
      <c r="AV59" s="114" t="s">
        <v>7</v>
      </c>
      <c r="AW59" s="136">
        <v>3340</v>
      </c>
      <c r="AX59" s="16"/>
      <c r="AY59" s="17"/>
      <c r="AZ59" s="114" t="s">
        <v>7</v>
      </c>
      <c r="BA59" s="114" t="s">
        <v>7</v>
      </c>
      <c r="BB59" s="114" t="s">
        <v>7</v>
      </c>
      <c r="BC59" s="114" t="s">
        <v>7</v>
      </c>
      <c r="BD59" s="114" t="s">
        <v>7</v>
      </c>
      <c r="BE59" s="16"/>
      <c r="BF59" s="17"/>
      <c r="BG59" s="114" t="s">
        <v>7</v>
      </c>
      <c r="BH59" s="114" t="s">
        <v>7</v>
      </c>
      <c r="BI59" s="114" t="s">
        <v>7</v>
      </c>
      <c r="BJ59" s="114" t="s">
        <v>7</v>
      </c>
      <c r="BK59" s="114" t="s">
        <v>7</v>
      </c>
      <c r="BL59" s="16"/>
      <c r="BM59" s="17"/>
      <c r="BN59" s="114" t="s">
        <v>7</v>
      </c>
      <c r="BO59" s="114" t="s">
        <v>7</v>
      </c>
      <c r="BP59" s="114" t="s">
        <v>7</v>
      </c>
      <c r="BQ59" s="114" t="s">
        <v>7</v>
      </c>
      <c r="BR59" s="114" t="s">
        <v>7</v>
      </c>
      <c r="BS59" s="16"/>
      <c r="BT59" s="17"/>
      <c r="BU59" s="143" t="s">
        <v>9</v>
      </c>
      <c r="BV59" s="114" t="s">
        <v>7</v>
      </c>
      <c r="BW59" s="114" t="s">
        <v>7</v>
      </c>
      <c r="BX59" s="114" t="s">
        <v>7</v>
      </c>
      <c r="BY59" s="114" t="s">
        <v>7</v>
      </c>
      <c r="BZ59" s="16"/>
      <c r="CA59" s="17"/>
      <c r="CB59" s="114" t="s">
        <v>7</v>
      </c>
      <c r="CC59" s="114" t="s">
        <v>7</v>
      </c>
      <c r="CD59" s="114" t="s">
        <v>7</v>
      </c>
      <c r="CE59" s="114" t="s">
        <v>7</v>
      </c>
      <c r="CF59" s="114" t="s">
        <v>7</v>
      </c>
      <c r="CG59" s="16"/>
      <c r="CH59" s="17"/>
      <c r="CI59" s="114" t="s">
        <v>7</v>
      </c>
      <c r="CJ59" s="114" t="s">
        <v>7</v>
      </c>
      <c r="CK59" s="114" t="s">
        <v>7</v>
      </c>
      <c r="CL59" s="101" t="s">
        <v>9</v>
      </c>
      <c r="CM59" s="114" t="s">
        <v>7</v>
      </c>
      <c r="CN59" s="16"/>
      <c r="CO59" s="17"/>
      <c r="CP59" s="114" t="s">
        <v>7</v>
      </c>
      <c r="CQ59" s="114" t="s">
        <v>7</v>
      </c>
      <c r="CR59" s="114" t="s">
        <v>7</v>
      </c>
      <c r="CS59" s="114" t="s">
        <v>7</v>
      </c>
      <c r="CT59" s="114" t="s">
        <v>7</v>
      </c>
      <c r="CU59" s="16"/>
      <c r="CV59" s="17"/>
      <c r="CW59" s="114" t="s">
        <v>7</v>
      </c>
      <c r="CX59" s="114" t="s">
        <v>7</v>
      </c>
      <c r="CY59" s="114" t="s">
        <v>7</v>
      </c>
      <c r="CZ59" s="114" t="s">
        <v>7</v>
      </c>
      <c r="DA59" s="114" t="s">
        <v>7</v>
      </c>
      <c r="DB59" s="16"/>
      <c r="DC59" s="17"/>
      <c r="DD59" s="101" t="s">
        <v>9</v>
      </c>
      <c r="DE59" s="101" t="s">
        <v>9</v>
      </c>
      <c r="DF59" s="101" t="s">
        <v>9</v>
      </c>
      <c r="DG59" s="101" t="s">
        <v>9</v>
      </c>
      <c r="DH59" s="101" t="s">
        <v>9</v>
      </c>
      <c r="DI59" s="16"/>
      <c r="DJ59" s="17"/>
      <c r="DK59" s="101" t="s">
        <v>9</v>
      </c>
      <c r="DL59" s="101" t="s">
        <v>9</v>
      </c>
      <c r="DM59" s="101" t="s">
        <v>9</v>
      </c>
    </row>
    <row r="60" spans="1:117" x14ac:dyDescent="0.3">
      <c r="A60" s="31"/>
      <c r="B60" s="248"/>
      <c r="C60" s="114" t="s">
        <v>7</v>
      </c>
      <c r="D60" s="10">
        <v>3340</v>
      </c>
      <c r="E60" s="10">
        <v>3340</v>
      </c>
      <c r="F60" s="103">
        <v>3328</v>
      </c>
      <c r="G60" s="103">
        <v>3328</v>
      </c>
      <c r="H60" s="16"/>
      <c r="I60" s="17"/>
      <c r="J60" s="114" t="s">
        <v>7</v>
      </c>
      <c r="K60" s="101" t="s">
        <v>9</v>
      </c>
      <c r="L60" s="103">
        <v>3328</v>
      </c>
      <c r="M60" s="114" t="s">
        <v>7</v>
      </c>
      <c r="N60" s="114" t="s">
        <v>7</v>
      </c>
      <c r="O60" s="16"/>
      <c r="P60" s="17"/>
      <c r="Q60" s="114" t="s">
        <v>7</v>
      </c>
      <c r="R60" s="114" t="s">
        <v>7</v>
      </c>
      <c r="S60" s="114" t="s">
        <v>7</v>
      </c>
      <c r="T60" s="101" t="s">
        <v>9</v>
      </c>
      <c r="U60" s="101" t="s">
        <v>9</v>
      </c>
      <c r="V60" s="16"/>
      <c r="W60" s="17"/>
      <c r="X60" s="101" t="s">
        <v>9</v>
      </c>
      <c r="Y60" s="101" t="s">
        <v>9</v>
      </c>
      <c r="Z60" s="114" t="s">
        <v>7</v>
      </c>
      <c r="AA60" s="114" t="s">
        <v>7</v>
      </c>
      <c r="AB60" s="136">
        <v>3340</v>
      </c>
      <c r="AC60" s="16"/>
      <c r="AD60" s="17"/>
      <c r="AE60" s="114" t="s">
        <v>7</v>
      </c>
      <c r="AF60" s="114" t="s">
        <v>7</v>
      </c>
      <c r="AG60" s="114" t="s">
        <v>7</v>
      </c>
      <c r="AH60" s="114" t="s">
        <v>7</v>
      </c>
      <c r="AI60" s="114" t="s">
        <v>7</v>
      </c>
      <c r="AJ60" s="16"/>
      <c r="AK60" s="17"/>
      <c r="AL60" s="114" t="s">
        <v>7</v>
      </c>
      <c r="AM60" s="114" t="s">
        <v>7</v>
      </c>
      <c r="AN60" s="114" t="s">
        <v>7</v>
      </c>
      <c r="AO60" s="155">
        <v>3341</v>
      </c>
      <c r="AP60" s="114" t="s">
        <v>7</v>
      </c>
      <c r="AQ60" s="16"/>
      <c r="AR60" s="17"/>
      <c r="AS60" s="114" t="s">
        <v>7</v>
      </c>
      <c r="AT60" s="114" t="s">
        <v>7</v>
      </c>
      <c r="AU60" s="114" t="s">
        <v>7</v>
      </c>
      <c r="AV60" s="114" t="s">
        <v>7</v>
      </c>
      <c r="AW60" s="136">
        <v>3340</v>
      </c>
      <c r="AX60" s="16"/>
      <c r="AY60" s="17"/>
      <c r="AZ60" s="114" t="s">
        <v>7</v>
      </c>
      <c r="BA60" s="114" t="s">
        <v>7</v>
      </c>
      <c r="BB60" s="114" t="s">
        <v>7</v>
      </c>
      <c r="BC60" s="114" t="s">
        <v>7</v>
      </c>
      <c r="BD60" s="114" t="s">
        <v>7</v>
      </c>
      <c r="BE60" s="16"/>
      <c r="BF60" s="17"/>
      <c r="BG60" s="114" t="s">
        <v>7</v>
      </c>
      <c r="BH60" s="114" t="s">
        <v>7</v>
      </c>
      <c r="BI60" s="114" t="s">
        <v>7</v>
      </c>
      <c r="BJ60" s="114" t="s">
        <v>7</v>
      </c>
      <c r="BK60" s="114" t="s">
        <v>7</v>
      </c>
      <c r="BL60" s="16"/>
      <c r="BM60" s="17"/>
      <c r="BN60" s="114" t="s">
        <v>7</v>
      </c>
      <c r="BO60" s="114" t="s">
        <v>7</v>
      </c>
      <c r="BP60" s="114" t="s">
        <v>7</v>
      </c>
      <c r="BQ60" s="114" t="s">
        <v>7</v>
      </c>
      <c r="BR60" s="114" t="s">
        <v>7</v>
      </c>
      <c r="BS60" s="16"/>
      <c r="BT60" s="17"/>
      <c r="BU60" s="143" t="s">
        <v>9</v>
      </c>
      <c r="BV60" s="114" t="s">
        <v>7</v>
      </c>
      <c r="BW60" s="114" t="s">
        <v>7</v>
      </c>
      <c r="BX60" s="114" t="s">
        <v>7</v>
      </c>
      <c r="BY60" s="114" t="s">
        <v>7</v>
      </c>
      <c r="BZ60" s="16"/>
      <c r="CA60" s="17"/>
      <c r="CB60" s="114" t="s">
        <v>7</v>
      </c>
      <c r="CC60" s="114" t="s">
        <v>7</v>
      </c>
      <c r="CD60" s="114" t="s">
        <v>7</v>
      </c>
      <c r="CE60" s="114" t="s">
        <v>7</v>
      </c>
      <c r="CF60" s="114" t="s">
        <v>7</v>
      </c>
      <c r="CG60" s="16"/>
      <c r="CH60" s="17"/>
      <c r="CI60" s="114" t="s">
        <v>7</v>
      </c>
      <c r="CJ60" s="114" t="s">
        <v>7</v>
      </c>
      <c r="CK60" s="114" t="s">
        <v>7</v>
      </c>
      <c r="CL60" s="101" t="s">
        <v>9</v>
      </c>
      <c r="CM60" s="114" t="s">
        <v>7</v>
      </c>
      <c r="CN60" s="16"/>
      <c r="CO60" s="17"/>
      <c r="CP60" s="114" t="s">
        <v>7</v>
      </c>
      <c r="CQ60" s="114" t="s">
        <v>7</v>
      </c>
      <c r="CR60" s="114" t="s">
        <v>7</v>
      </c>
      <c r="CS60" s="114" t="s">
        <v>7</v>
      </c>
      <c r="CT60" s="114" t="s">
        <v>7</v>
      </c>
      <c r="CU60" s="16"/>
      <c r="CV60" s="17"/>
      <c r="CW60" s="114" t="s">
        <v>7</v>
      </c>
      <c r="CX60" s="114" t="s">
        <v>7</v>
      </c>
      <c r="CY60" s="114" t="s">
        <v>7</v>
      </c>
      <c r="CZ60" s="114" t="s">
        <v>7</v>
      </c>
      <c r="DA60" s="114" t="s">
        <v>7</v>
      </c>
      <c r="DB60" s="16"/>
      <c r="DC60" s="17"/>
      <c r="DD60" s="101" t="s">
        <v>9</v>
      </c>
      <c r="DE60" s="101" t="s">
        <v>9</v>
      </c>
      <c r="DF60" s="101" t="s">
        <v>9</v>
      </c>
      <c r="DG60" s="101" t="s">
        <v>9</v>
      </c>
      <c r="DH60" s="101" t="s">
        <v>9</v>
      </c>
      <c r="DI60" s="16"/>
      <c r="DJ60" s="17"/>
      <c r="DK60" s="101" t="s">
        <v>9</v>
      </c>
      <c r="DL60" s="101" t="s">
        <v>9</v>
      </c>
      <c r="DM60" s="101" t="s">
        <v>9</v>
      </c>
    </row>
    <row r="61" spans="1:117" x14ac:dyDescent="0.3">
      <c r="A61" s="31"/>
      <c r="B61" s="248"/>
      <c r="C61" s="18"/>
      <c r="D61" s="16"/>
      <c r="E61" s="16"/>
      <c r="F61" s="16"/>
      <c r="G61" s="16"/>
      <c r="H61" s="16"/>
      <c r="I61" s="17"/>
      <c r="J61" s="18"/>
      <c r="K61" s="16"/>
      <c r="L61" s="16"/>
      <c r="M61" s="16"/>
      <c r="N61" s="16"/>
      <c r="O61" s="16"/>
      <c r="P61" s="17"/>
      <c r="Q61" s="18"/>
      <c r="R61" s="16"/>
      <c r="S61" s="16"/>
      <c r="T61" s="16"/>
      <c r="U61" s="16"/>
      <c r="V61" s="16"/>
      <c r="W61" s="17"/>
      <c r="X61" s="18"/>
      <c r="Y61" s="16"/>
      <c r="Z61" s="16"/>
      <c r="AA61" s="16"/>
      <c r="AB61" s="16"/>
      <c r="AC61" s="16"/>
      <c r="AD61" s="17"/>
      <c r="AE61" s="18"/>
      <c r="AF61" s="16"/>
      <c r="AG61" s="16"/>
      <c r="AH61" s="16"/>
      <c r="AI61" s="16"/>
      <c r="AJ61" s="16"/>
      <c r="AK61" s="17"/>
      <c r="AL61" s="18"/>
      <c r="AM61" s="16"/>
      <c r="AN61" s="16"/>
      <c r="AO61" s="16"/>
      <c r="AP61" s="16"/>
      <c r="AQ61" s="16"/>
      <c r="AR61" s="17"/>
      <c r="AS61" s="18"/>
      <c r="AT61" s="16"/>
      <c r="AU61" s="16"/>
      <c r="AV61" s="16"/>
      <c r="AW61" s="16"/>
      <c r="AX61" s="16"/>
      <c r="AY61" s="17"/>
      <c r="AZ61" s="18"/>
      <c r="BA61" s="16"/>
      <c r="BB61" s="16"/>
      <c r="BC61" s="16"/>
      <c r="BD61" s="16"/>
      <c r="BE61" s="16"/>
      <c r="BF61" s="17"/>
      <c r="BG61" s="18"/>
      <c r="BH61" s="16"/>
      <c r="BI61" s="16"/>
      <c r="BJ61" s="16"/>
      <c r="BK61" s="16"/>
      <c r="BL61" s="16"/>
      <c r="BM61" s="17"/>
      <c r="BN61" s="18"/>
      <c r="BO61" s="16"/>
      <c r="BP61" s="16"/>
      <c r="BQ61" s="16"/>
      <c r="BR61" s="16"/>
      <c r="BS61" s="16"/>
      <c r="BT61" s="17"/>
      <c r="BU61" s="18"/>
      <c r="BV61" s="16"/>
      <c r="BW61" s="16"/>
      <c r="BX61" s="16"/>
      <c r="BY61" s="16"/>
      <c r="BZ61" s="16"/>
      <c r="CA61" s="17"/>
      <c r="CB61" s="18"/>
      <c r="CC61" s="16"/>
      <c r="CD61" s="16"/>
      <c r="CE61" s="16"/>
      <c r="CF61" s="16"/>
      <c r="CG61" s="16"/>
      <c r="CH61" s="17"/>
      <c r="CI61" s="18"/>
      <c r="CJ61" s="16"/>
      <c r="CK61" s="16"/>
      <c r="CL61" s="16"/>
      <c r="CM61" s="16"/>
      <c r="CN61" s="16"/>
      <c r="CO61" s="17"/>
      <c r="CP61" s="18"/>
      <c r="CQ61" s="16"/>
      <c r="CR61" s="16"/>
      <c r="CS61" s="16"/>
      <c r="CT61" s="16"/>
      <c r="CU61" s="16"/>
      <c r="CV61" s="17"/>
      <c r="CW61" s="18"/>
      <c r="CX61" s="16"/>
      <c r="CY61" s="16"/>
      <c r="CZ61" s="16"/>
      <c r="DA61" s="16"/>
      <c r="DB61" s="16"/>
      <c r="DC61" s="17"/>
      <c r="DD61" s="18"/>
      <c r="DE61" s="16"/>
      <c r="DF61" s="16"/>
      <c r="DG61" s="16"/>
      <c r="DH61" s="16"/>
      <c r="DI61" s="16"/>
      <c r="DJ61" s="17"/>
      <c r="DK61" s="18"/>
      <c r="DL61" s="16"/>
      <c r="DM61" s="16"/>
    </row>
    <row r="62" spans="1:117" x14ac:dyDescent="0.3">
      <c r="A62" s="31"/>
      <c r="B62" s="248"/>
      <c r="C62" s="18"/>
      <c r="D62" s="16"/>
      <c r="E62" s="16"/>
      <c r="F62" s="16"/>
      <c r="G62" s="16"/>
      <c r="H62" s="16"/>
      <c r="I62" s="17"/>
      <c r="J62" s="18"/>
      <c r="K62" s="16"/>
      <c r="L62" s="16"/>
      <c r="M62" s="16"/>
      <c r="N62" s="16"/>
      <c r="O62" s="16"/>
      <c r="P62" s="17"/>
      <c r="Q62" s="18"/>
      <c r="R62" s="16"/>
      <c r="S62" s="16"/>
      <c r="T62" s="16"/>
      <c r="U62" s="16"/>
      <c r="V62" s="16"/>
      <c r="W62" s="17"/>
      <c r="X62" s="18"/>
      <c r="Y62" s="16"/>
      <c r="Z62" s="16"/>
      <c r="AA62" s="16"/>
      <c r="AB62" s="16"/>
      <c r="AC62" s="16"/>
      <c r="AD62" s="17"/>
      <c r="AE62" s="18"/>
      <c r="AF62" s="16"/>
      <c r="AG62" s="16"/>
      <c r="AH62" s="16"/>
      <c r="AI62" s="16"/>
      <c r="AJ62" s="16"/>
      <c r="AK62" s="17"/>
      <c r="AL62" s="18"/>
      <c r="AM62" s="16"/>
      <c r="AN62" s="16"/>
      <c r="AO62" s="16"/>
      <c r="AP62" s="16"/>
      <c r="AQ62" s="16"/>
      <c r="AR62" s="17"/>
      <c r="AS62" s="18"/>
      <c r="AT62" s="16"/>
      <c r="AU62" s="16"/>
      <c r="AV62" s="16"/>
      <c r="AW62" s="16"/>
      <c r="AX62" s="16"/>
      <c r="AY62" s="17"/>
      <c r="AZ62" s="18"/>
      <c r="BA62" s="16"/>
      <c r="BB62" s="16"/>
      <c r="BC62" s="16"/>
      <c r="BD62" s="16"/>
      <c r="BE62" s="16"/>
      <c r="BF62" s="17"/>
      <c r="BG62" s="18"/>
      <c r="BH62" s="16"/>
      <c r="BI62" s="16"/>
      <c r="BJ62" s="16"/>
      <c r="BK62" s="16"/>
      <c r="BL62" s="16"/>
      <c r="BM62" s="17"/>
      <c r="BN62" s="18"/>
      <c r="BO62" s="16"/>
      <c r="BP62" s="16"/>
      <c r="BQ62" s="16"/>
      <c r="BR62" s="16"/>
      <c r="BS62" s="16"/>
      <c r="BT62" s="17"/>
      <c r="BU62" s="18"/>
      <c r="BV62" s="16"/>
      <c r="BW62" s="16"/>
      <c r="BX62" s="16"/>
      <c r="BY62" s="16"/>
      <c r="BZ62" s="16"/>
      <c r="CA62" s="17"/>
      <c r="CB62" s="18"/>
      <c r="CC62" s="16"/>
      <c r="CD62" s="16"/>
      <c r="CE62" s="16"/>
      <c r="CF62" s="16"/>
      <c r="CG62" s="16"/>
      <c r="CH62" s="17"/>
      <c r="CI62" s="18"/>
      <c r="CJ62" s="16"/>
      <c r="CK62" s="16"/>
      <c r="CL62" s="16"/>
      <c r="CM62" s="16"/>
      <c r="CN62" s="16"/>
      <c r="CO62" s="17"/>
      <c r="CP62" s="18"/>
      <c r="CQ62" s="16"/>
      <c r="CR62" s="16"/>
      <c r="CS62" s="16"/>
      <c r="CT62" s="16"/>
      <c r="CU62" s="16"/>
      <c r="CV62" s="17"/>
      <c r="CW62" s="18"/>
      <c r="CX62" s="16"/>
      <c r="CY62" s="16"/>
      <c r="CZ62" s="16"/>
      <c r="DA62" s="16"/>
      <c r="DB62" s="16"/>
      <c r="DC62" s="17"/>
      <c r="DD62" s="18"/>
      <c r="DE62" s="16"/>
      <c r="DF62" s="16"/>
      <c r="DG62" s="16"/>
      <c r="DH62" s="16"/>
      <c r="DI62" s="16"/>
      <c r="DJ62" s="17"/>
      <c r="DK62" s="18"/>
      <c r="DL62" s="16"/>
      <c r="DM62" s="16"/>
    </row>
    <row r="63" spans="1:117" ht="15" thickBot="1" x14ac:dyDescent="0.35">
      <c r="A63" s="31"/>
      <c r="B63" s="249"/>
      <c r="C63" s="21"/>
      <c r="D63" s="19"/>
      <c r="E63" s="19"/>
      <c r="F63" s="19"/>
      <c r="G63" s="19"/>
      <c r="H63" s="19"/>
      <c r="I63" s="20"/>
      <c r="J63" s="21"/>
      <c r="K63" s="19"/>
      <c r="L63" s="19"/>
      <c r="M63" s="19"/>
      <c r="N63" s="19"/>
      <c r="O63" s="19"/>
      <c r="P63" s="20"/>
      <c r="Q63" s="21"/>
      <c r="R63" s="19"/>
      <c r="S63" s="19"/>
      <c r="T63" s="19"/>
      <c r="U63" s="19"/>
      <c r="V63" s="19"/>
      <c r="W63" s="20"/>
      <c r="X63" s="21"/>
      <c r="Y63" s="19"/>
      <c r="Z63" s="19"/>
      <c r="AA63" s="19"/>
      <c r="AB63" s="19"/>
      <c r="AC63" s="19"/>
      <c r="AD63" s="20"/>
      <c r="AE63" s="21"/>
      <c r="AF63" s="19"/>
      <c r="AG63" s="19"/>
      <c r="AH63" s="19"/>
      <c r="AI63" s="19"/>
      <c r="AJ63" s="19"/>
      <c r="AK63" s="20"/>
      <c r="AL63" s="21"/>
      <c r="AM63" s="19"/>
      <c r="AN63" s="19"/>
      <c r="AO63" s="19"/>
      <c r="AP63" s="19"/>
      <c r="AQ63" s="19"/>
      <c r="AR63" s="20"/>
      <c r="AS63" s="21"/>
      <c r="AT63" s="19"/>
      <c r="AU63" s="19"/>
      <c r="AV63" s="19"/>
      <c r="AW63" s="19"/>
      <c r="AX63" s="19"/>
      <c r="AY63" s="20"/>
      <c r="AZ63" s="21"/>
      <c r="BA63" s="19"/>
      <c r="BB63" s="19"/>
      <c r="BC63" s="19"/>
      <c r="BD63" s="19"/>
      <c r="BE63" s="19"/>
      <c r="BF63" s="20"/>
      <c r="BG63" s="21"/>
      <c r="BH63" s="19"/>
      <c r="BI63" s="19"/>
      <c r="BJ63" s="19"/>
      <c r="BK63" s="19"/>
      <c r="BL63" s="19"/>
      <c r="BM63" s="20"/>
      <c r="BN63" s="21"/>
      <c r="BO63" s="19"/>
      <c r="BP63" s="19"/>
      <c r="BQ63" s="19"/>
      <c r="BR63" s="19"/>
      <c r="BS63" s="19"/>
      <c r="BT63" s="20"/>
      <c r="BU63" s="21"/>
      <c r="BV63" s="19"/>
      <c r="BW63" s="19"/>
      <c r="BX63" s="19"/>
      <c r="BY63" s="19"/>
      <c r="BZ63" s="19"/>
      <c r="CA63" s="20"/>
      <c r="CB63" s="21"/>
      <c r="CC63" s="19"/>
      <c r="CD63" s="19"/>
      <c r="CE63" s="19"/>
      <c r="CF63" s="19"/>
      <c r="CG63" s="19"/>
      <c r="CH63" s="20"/>
      <c r="CI63" s="21"/>
      <c r="CJ63" s="19"/>
      <c r="CK63" s="19"/>
      <c r="CL63" s="19"/>
      <c r="CM63" s="19"/>
      <c r="CN63" s="19"/>
      <c r="CO63" s="20"/>
      <c r="CP63" s="21"/>
      <c r="CQ63" s="19"/>
      <c r="CR63" s="19"/>
      <c r="CS63" s="19"/>
      <c r="CT63" s="19"/>
      <c r="CU63" s="19"/>
      <c r="CV63" s="20"/>
      <c r="CW63" s="21"/>
      <c r="CX63" s="19"/>
      <c r="CY63" s="19"/>
      <c r="CZ63" s="19"/>
      <c r="DA63" s="19"/>
      <c r="DB63" s="19"/>
      <c r="DC63" s="20"/>
      <c r="DD63" s="21"/>
      <c r="DE63" s="19"/>
      <c r="DF63" s="19"/>
      <c r="DG63" s="19"/>
      <c r="DH63" s="19"/>
      <c r="DI63" s="19"/>
      <c r="DJ63" s="20"/>
      <c r="DK63" s="21"/>
      <c r="DL63" s="19"/>
      <c r="DM63" s="19"/>
    </row>
  </sheetData>
  <mergeCells count="27">
    <mergeCell ref="C2:I2"/>
    <mergeCell ref="DD2:DJ2"/>
    <mergeCell ref="C1:Y1"/>
    <mergeCell ref="Z1:BD1"/>
    <mergeCell ref="BE1:CH1"/>
    <mergeCell ref="CI1:DM1"/>
    <mergeCell ref="DK2:DM2"/>
    <mergeCell ref="BU2:CA2"/>
    <mergeCell ref="CB2:CH2"/>
    <mergeCell ref="CI2:CO2"/>
    <mergeCell ref="CP2:CV2"/>
    <mergeCell ref="CW2:DC2"/>
    <mergeCell ref="AS2:AY2"/>
    <mergeCell ref="AZ2:BF2"/>
    <mergeCell ref="BG2:BM2"/>
    <mergeCell ref="BN2:BT2"/>
    <mergeCell ref="J2:P2"/>
    <mergeCell ref="Q2:W2"/>
    <mergeCell ref="X2:AD2"/>
    <mergeCell ref="AE2:AK2"/>
    <mergeCell ref="AL2:AR2"/>
    <mergeCell ref="A1:A3"/>
    <mergeCell ref="B52:B63"/>
    <mergeCell ref="B4:B15"/>
    <mergeCell ref="B16:B27"/>
    <mergeCell ref="B28:B39"/>
    <mergeCell ref="B40:B51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FDB8-6A80-40BB-9AF9-8DCEA570E2D2}">
  <dimension ref="A1:NC51"/>
  <sheetViews>
    <sheetView topLeftCell="A15" zoomScaleNormal="100" workbookViewId="0">
      <pane xSplit="2" topLeftCell="BB1" activePane="topRight" state="frozen"/>
      <selection pane="topRight" activeCell="BM28" sqref="BM28:BM36"/>
    </sheetView>
  </sheetViews>
  <sheetFormatPr baseColWidth="10" defaultColWidth="9.109375" defaultRowHeight="14.4" x14ac:dyDescent="0.3"/>
  <cols>
    <col min="3" max="367" width="5.5546875" customWidth="1"/>
  </cols>
  <sheetData>
    <row r="1" spans="1:367" ht="15" thickBot="1" x14ac:dyDescent="0.35">
      <c r="A1" s="266" t="e" vm="1">
        <v>#VALUE!</v>
      </c>
      <c r="B1" s="221" t="s">
        <v>0</v>
      </c>
      <c r="C1" s="286" t="s">
        <v>17</v>
      </c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7"/>
      <c r="AH1" s="280" t="s">
        <v>18</v>
      </c>
      <c r="AI1" s="281"/>
      <c r="AJ1" s="281"/>
      <c r="AK1" s="281"/>
      <c r="AL1" s="281"/>
      <c r="AM1" s="281"/>
      <c r="AN1" s="281"/>
      <c r="AO1" s="281"/>
      <c r="AP1" s="281"/>
      <c r="AQ1" s="281"/>
      <c r="AR1" s="281"/>
      <c r="AS1" s="281"/>
      <c r="AT1" s="281"/>
      <c r="AU1" s="281"/>
      <c r="AV1" s="281"/>
      <c r="AW1" s="281"/>
      <c r="AX1" s="281"/>
      <c r="AY1" s="281"/>
      <c r="AZ1" s="281"/>
      <c r="BA1" s="281"/>
      <c r="BB1" s="281"/>
      <c r="BC1" s="281"/>
      <c r="BD1" s="282"/>
      <c r="BE1" s="282"/>
      <c r="BF1" s="282"/>
      <c r="BG1" s="282"/>
      <c r="BH1" s="282"/>
      <c r="BI1" s="283"/>
      <c r="BJ1" s="280" t="s">
        <v>19</v>
      </c>
      <c r="BK1" s="281"/>
      <c r="BL1" s="281"/>
      <c r="BM1" s="281"/>
      <c r="BN1" s="281"/>
      <c r="BO1" s="281"/>
      <c r="BP1" s="281"/>
      <c r="BQ1" s="281"/>
      <c r="BR1" s="281"/>
      <c r="BS1" s="281"/>
      <c r="BT1" s="281"/>
      <c r="BU1" s="281"/>
      <c r="BV1" s="281"/>
      <c r="BW1" s="281"/>
      <c r="BX1" s="281"/>
      <c r="BY1" s="281"/>
      <c r="BZ1" s="281"/>
      <c r="CA1" s="281"/>
      <c r="CB1" s="281"/>
      <c r="CC1" s="281"/>
      <c r="CD1" s="281"/>
      <c r="CE1" s="281"/>
      <c r="CF1" s="281"/>
      <c r="CG1" s="281"/>
      <c r="CH1" s="281"/>
      <c r="CI1" s="281"/>
      <c r="CJ1" s="281"/>
      <c r="CK1" s="281"/>
      <c r="CL1" s="281"/>
      <c r="CM1" s="282"/>
      <c r="CN1" s="283"/>
      <c r="CO1" s="280" t="s">
        <v>20</v>
      </c>
      <c r="CP1" s="281"/>
      <c r="CQ1" s="281"/>
      <c r="CR1" s="281"/>
      <c r="CS1" s="281"/>
      <c r="CT1" s="281"/>
      <c r="CU1" s="281"/>
      <c r="CV1" s="281"/>
      <c r="CW1" s="281"/>
      <c r="CX1" s="281"/>
      <c r="CY1" s="281"/>
      <c r="CZ1" s="281"/>
      <c r="DA1" s="281"/>
      <c r="DB1" s="281"/>
      <c r="DC1" s="281"/>
      <c r="DD1" s="281"/>
      <c r="DE1" s="281"/>
      <c r="DF1" s="281"/>
      <c r="DG1" s="281"/>
      <c r="DH1" s="281"/>
      <c r="DI1" s="281"/>
      <c r="DJ1" s="281"/>
      <c r="DK1" s="281"/>
      <c r="DL1" s="281"/>
      <c r="DM1" s="281"/>
      <c r="DN1" s="281"/>
      <c r="DO1" s="282"/>
      <c r="DP1" s="282"/>
      <c r="DQ1" s="282"/>
      <c r="DR1" s="283"/>
      <c r="DS1" s="280" t="s">
        <v>21</v>
      </c>
      <c r="DT1" s="281"/>
      <c r="DU1" s="281"/>
      <c r="DV1" s="281"/>
      <c r="DW1" s="281"/>
      <c r="DX1" s="281"/>
      <c r="DY1" s="281"/>
      <c r="DZ1" s="281"/>
      <c r="EA1" s="281"/>
      <c r="EB1" s="281"/>
      <c r="EC1" s="281"/>
      <c r="ED1" s="281"/>
      <c r="EE1" s="281"/>
      <c r="EF1" s="281"/>
      <c r="EG1" s="281"/>
      <c r="EH1" s="281"/>
      <c r="EI1" s="281"/>
      <c r="EJ1" s="281"/>
      <c r="EK1" s="281"/>
      <c r="EL1" s="281"/>
      <c r="EM1" s="281"/>
      <c r="EN1" s="281"/>
      <c r="EO1" s="281"/>
      <c r="EP1" s="281"/>
      <c r="EQ1" s="281"/>
      <c r="ER1" s="281"/>
      <c r="ES1" s="281"/>
      <c r="ET1" s="281"/>
      <c r="EU1" s="281"/>
      <c r="EV1" s="281"/>
      <c r="EW1" s="284"/>
      <c r="EX1" s="280" t="s">
        <v>22</v>
      </c>
      <c r="EY1" s="281"/>
      <c r="EZ1" s="281"/>
      <c r="FA1" s="281"/>
      <c r="FB1" s="281"/>
      <c r="FC1" s="281"/>
      <c r="FD1" s="281"/>
      <c r="FE1" s="281"/>
      <c r="FF1" s="281"/>
      <c r="FG1" s="281"/>
      <c r="FH1" s="281"/>
      <c r="FI1" s="281"/>
      <c r="FJ1" s="281"/>
      <c r="FK1" s="281"/>
      <c r="FL1" s="281"/>
      <c r="FM1" s="281"/>
      <c r="FN1" s="281"/>
      <c r="FO1" s="281"/>
      <c r="FP1" s="281"/>
      <c r="FQ1" s="281"/>
      <c r="FR1" s="281"/>
      <c r="FS1" s="281"/>
      <c r="FT1" s="281"/>
      <c r="FU1" s="281"/>
      <c r="FV1" s="281"/>
      <c r="FW1" s="281"/>
      <c r="FX1" s="281"/>
      <c r="FY1" s="281"/>
      <c r="FZ1" s="282"/>
      <c r="GA1" s="283"/>
      <c r="GB1" s="280" t="s">
        <v>23</v>
      </c>
      <c r="GC1" s="281"/>
      <c r="GD1" s="281"/>
      <c r="GE1" s="281"/>
      <c r="GF1" s="281"/>
      <c r="GG1" s="281"/>
      <c r="GH1" s="281"/>
      <c r="GI1" s="281"/>
      <c r="GJ1" s="281"/>
      <c r="GK1" s="281"/>
      <c r="GL1" s="281"/>
      <c r="GM1" s="281"/>
      <c r="GN1" s="281"/>
      <c r="GO1" s="281"/>
      <c r="GP1" s="281"/>
      <c r="GQ1" s="281"/>
      <c r="GR1" s="281"/>
      <c r="GS1" s="281"/>
      <c r="GT1" s="281"/>
      <c r="GU1" s="281"/>
      <c r="GV1" s="281"/>
      <c r="GW1" s="281"/>
      <c r="GX1" s="281"/>
      <c r="GY1" s="281"/>
      <c r="GZ1" s="281"/>
      <c r="HA1" s="281"/>
      <c r="HB1" s="281"/>
      <c r="HC1" s="281"/>
      <c r="HD1" s="281"/>
      <c r="HE1" s="281"/>
      <c r="HF1" s="284"/>
      <c r="HG1" s="280" t="s">
        <v>24</v>
      </c>
      <c r="HH1" s="281"/>
      <c r="HI1" s="281"/>
      <c r="HJ1" s="281"/>
      <c r="HK1" s="281"/>
      <c r="HL1" s="281"/>
      <c r="HM1" s="281"/>
      <c r="HN1" s="281"/>
      <c r="HO1" s="281"/>
      <c r="HP1" s="281"/>
      <c r="HQ1" s="281"/>
      <c r="HR1" s="281"/>
      <c r="HS1" s="281"/>
      <c r="HT1" s="281"/>
      <c r="HU1" s="281"/>
      <c r="HV1" s="281"/>
      <c r="HW1" s="281"/>
      <c r="HX1" s="281"/>
      <c r="HY1" s="281"/>
      <c r="HZ1" s="281"/>
      <c r="IA1" s="281"/>
      <c r="IB1" s="281"/>
      <c r="IC1" s="281"/>
      <c r="ID1" s="281"/>
      <c r="IE1" s="281"/>
      <c r="IF1" s="281"/>
      <c r="IG1" s="281"/>
      <c r="IH1" s="281"/>
      <c r="II1" s="281"/>
      <c r="IJ1" s="281"/>
      <c r="IK1" s="283"/>
      <c r="IL1" s="280" t="s">
        <v>1</v>
      </c>
      <c r="IM1" s="281"/>
      <c r="IN1" s="281"/>
      <c r="IO1" s="281"/>
      <c r="IP1" s="281"/>
      <c r="IQ1" s="281"/>
      <c r="IR1" s="281"/>
      <c r="IS1" s="281"/>
      <c r="IT1" s="281"/>
      <c r="IU1" s="281"/>
      <c r="IV1" s="281"/>
      <c r="IW1" s="281"/>
      <c r="IX1" s="281"/>
      <c r="IY1" s="281"/>
      <c r="IZ1" s="281"/>
      <c r="JA1" s="281"/>
      <c r="JB1" s="281"/>
      <c r="JC1" s="281"/>
      <c r="JD1" s="281"/>
      <c r="JE1" s="281"/>
      <c r="JF1" s="281"/>
      <c r="JG1" s="281"/>
      <c r="JH1" s="281"/>
      <c r="JI1" s="281"/>
      <c r="JJ1" s="281"/>
      <c r="JK1" s="281"/>
      <c r="JL1" s="281"/>
      <c r="JM1" s="281"/>
      <c r="JN1" s="281"/>
      <c r="JO1" s="281"/>
      <c r="JP1" s="285" t="s">
        <v>2</v>
      </c>
      <c r="JQ1" s="281"/>
      <c r="JR1" s="281"/>
      <c r="JS1" s="281"/>
      <c r="JT1" s="281"/>
      <c r="JU1" s="281"/>
      <c r="JV1" s="281"/>
      <c r="JW1" s="281"/>
      <c r="JX1" s="281"/>
      <c r="JY1" s="281"/>
      <c r="JZ1" s="281"/>
      <c r="KA1" s="281"/>
      <c r="KB1" s="281"/>
      <c r="KC1" s="281"/>
      <c r="KD1" s="281"/>
      <c r="KE1" s="281"/>
      <c r="KF1" s="281"/>
      <c r="KG1" s="281"/>
      <c r="KH1" s="281"/>
      <c r="KI1" s="281"/>
      <c r="KJ1" s="281"/>
      <c r="KK1" s="281"/>
      <c r="KL1" s="281"/>
      <c r="KM1" s="281"/>
      <c r="KN1" s="281"/>
      <c r="KO1" s="281"/>
      <c r="KP1" s="281"/>
      <c r="KQ1" s="281"/>
      <c r="KR1" s="281"/>
      <c r="KS1" s="281"/>
      <c r="KT1" s="281"/>
      <c r="KU1" s="285" t="s">
        <v>3</v>
      </c>
      <c r="KV1" s="281"/>
      <c r="KW1" s="281"/>
      <c r="KX1" s="281"/>
      <c r="KY1" s="281"/>
      <c r="KZ1" s="281"/>
      <c r="LA1" s="281"/>
      <c r="LB1" s="281"/>
      <c r="LC1" s="281"/>
      <c r="LD1" s="281"/>
      <c r="LE1" s="281"/>
      <c r="LF1" s="281"/>
      <c r="LG1" s="281"/>
      <c r="LH1" s="281"/>
      <c r="LI1" s="281"/>
      <c r="LJ1" s="281"/>
      <c r="LK1" s="281"/>
      <c r="LL1" s="281"/>
      <c r="LM1" s="281"/>
      <c r="LN1" s="281"/>
      <c r="LO1" s="281"/>
      <c r="LP1" s="281"/>
      <c r="LQ1" s="281"/>
      <c r="LR1" s="281"/>
      <c r="LS1" s="281"/>
      <c r="LT1" s="281"/>
      <c r="LU1" s="281"/>
      <c r="LV1" s="281"/>
      <c r="LW1" s="281"/>
      <c r="LX1" s="281"/>
      <c r="LY1" s="285" t="s">
        <v>4</v>
      </c>
      <c r="LZ1" s="281"/>
      <c r="MA1" s="281"/>
      <c r="MB1" s="281"/>
      <c r="MC1" s="281"/>
      <c r="MD1" s="281"/>
      <c r="ME1" s="281"/>
      <c r="MF1" s="281"/>
      <c r="MG1" s="281"/>
      <c r="MH1" s="281"/>
      <c r="MI1" s="281"/>
      <c r="MJ1" s="281"/>
      <c r="MK1" s="281"/>
      <c r="ML1" s="281"/>
      <c r="MM1" s="281"/>
      <c r="MN1" s="281"/>
      <c r="MO1" s="281"/>
      <c r="MP1" s="281"/>
      <c r="MQ1" s="281"/>
      <c r="MR1" s="281"/>
      <c r="MS1" s="281"/>
      <c r="MT1" s="281"/>
      <c r="MU1" s="281"/>
      <c r="MV1" s="281"/>
      <c r="MW1" s="281"/>
      <c r="MX1" s="281"/>
      <c r="MY1" s="281"/>
      <c r="MZ1" s="281"/>
      <c r="NA1" s="281"/>
      <c r="NB1" s="281"/>
      <c r="NC1" s="284"/>
    </row>
    <row r="2" spans="1:367" ht="18.600000000000001" thickBot="1" x14ac:dyDescent="0.4">
      <c r="A2" s="267"/>
      <c r="B2" s="222" t="s">
        <v>5</v>
      </c>
      <c r="C2" s="270">
        <v>1</v>
      </c>
      <c r="D2" s="271"/>
      <c r="E2" s="271"/>
      <c r="F2" s="272"/>
      <c r="G2" s="270">
        <v>2</v>
      </c>
      <c r="H2" s="271"/>
      <c r="I2" s="271"/>
      <c r="J2" s="271"/>
      <c r="K2" s="271"/>
      <c r="L2" s="271"/>
      <c r="M2" s="272"/>
      <c r="N2" s="270">
        <v>3</v>
      </c>
      <c r="O2" s="271"/>
      <c r="P2" s="271"/>
      <c r="Q2" s="271"/>
      <c r="R2" s="271"/>
      <c r="S2" s="271"/>
      <c r="T2" s="271"/>
      <c r="U2" s="270">
        <v>4</v>
      </c>
      <c r="V2" s="271"/>
      <c r="W2" s="271"/>
      <c r="X2" s="271"/>
      <c r="Y2" s="271"/>
      <c r="Z2" s="271"/>
      <c r="AA2" s="272"/>
      <c r="AB2" s="270">
        <v>5</v>
      </c>
      <c r="AC2" s="289"/>
      <c r="AD2" s="289"/>
      <c r="AE2" s="289"/>
      <c r="AF2" s="289"/>
      <c r="AG2" s="289"/>
      <c r="AH2" s="290"/>
      <c r="AI2" s="270">
        <v>6</v>
      </c>
      <c r="AJ2" s="271"/>
      <c r="AK2" s="271"/>
      <c r="AL2" s="271"/>
      <c r="AM2" s="271"/>
      <c r="AN2" s="271"/>
      <c r="AO2" s="272"/>
      <c r="AP2" s="270">
        <v>7</v>
      </c>
      <c r="AQ2" s="271"/>
      <c r="AR2" s="271"/>
      <c r="AS2" s="271"/>
      <c r="AT2" s="271"/>
      <c r="AU2" s="271"/>
      <c r="AV2" s="272"/>
      <c r="AW2" s="270">
        <v>8</v>
      </c>
      <c r="AX2" s="271"/>
      <c r="AY2" s="271"/>
      <c r="AZ2" s="271"/>
      <c r="BA2" s="271"/>
      <c r="BB2" s="271"/>
      <c r="BC2" s="272"/>
      <c r="BD2" s="276">
        <v>9</v>
      </c>
      <c r="BE2" s="277"/>
      <c r="BF2" s="277"/>
      <c r="BG2" s="277"/>
      <c r="BH2" s="277"/>
      <c r="BI2" s="277"/>
      <c r="BJ2" s="279"/>
      <c r="BK2" s="270">
        <v>10</v>
      </c>
      <c r="BL2" s="271"/>
      <c r="BM2" s="271"/>
      <c r="BN2" s="271"/>
      <c r="BO2" s="271"/>
      <c r="BP2" s="271"/>
      <c r="BQ2" s="272"/>
      <c r="BR2" s="270">
        <v>11</v>
      </c>
      <c r="BS2" s="271"/>
      <c r="BT2" s="271"/>
      <c r="BU2" s="271"/>
      <c r="BV2" s="271"/>
      <c r="BW2" s="271"/>
      <c r="BX2" s="272"/>
      <c r="BY2" s="270">
        <v>12</v>
      </c>
      <c r="BZ2" s="271"/>
      <c r="CA2" s="271"/>
      <c r="CB2" s="271"/>
      <c r="CC2" s="271"/>
      <c r="CD2" s="271"/>
      <c r="CE2" s="272"/>
      <c r="CF2" s="270">
        <v>13</v>
      </c>
      <c r="CG2" s="271"/>
      <c r="CH2" s="271"/>
      <c r="CI2" s="271"/>
      <c r="CJ2" s="271"/>
      <c r="CK2" s="271"/>
      <c r="CL2" s="272"/>
      <c r="CM2" s="276">
        <v>14</v>
      </c>
      <c r="CN2" s="277"/>
      <c r="CO2" s="278"/>
      <c r="CP2" s="278"/>
      <c r="CQ2" s="278"/>
      <c r="CR2" s="278"/>
      <c r="CS2" s="279"/>
      <c r="CT2" s="273">
        <v>15</v>
      </c>
      <c r="CU2" s="274"/>
      <c r="CV2" s="274"/>
      <c r="CW2" s="274"/>
      <c r="CX2" s="274"/>
      <c r="CY2" s="274"/>
      <c r="CZ2" s="275"/>
      <c r="DA2" s="270">
        <v>16</v>
      </c>
      <c r="DB2" s="271"/>
      <c r="DC2" s="271"/>
      <c r="DD2" s="271"/>
      <c r="DE2" s="271"/>
      <c r="DF2" s="271"/>
      <c r="DG2" s="272"/>
      <c r="DH2" s="270">
        <v>17</v>
      </c>
      <c r="DI2" s="271"/>
      <c r="DJ2" s="271"/>
      <c r="DK2" s="271"/>
      <c r="DL2" s="271"/>
      <c r="DM2" s="271"/>
      <c r="DN2" s="272"/>
      <c r="DO2" s="276">
        <v>18</v>
      </c>
      <c r="DP2" s="277"/>
      <c r="DQ2" s="277"/>
      <c r="DR2" s="277"/>
      <c r="DS2" s="278"/>
      <c r="DT2" s="278"/>
      <c r="DU2" s="279"/>
      <c r="DV2" s="270">
        <v>19</v>
      </c>
      <c r="DW2" s="271"/>
      <c r="DX2" s="271"/>
      <c r="DY2" s="271"/>
      <c r="DZ2" s="271"/>
      <c r="EA2" s="271"/>
      <c r="EB2" s="272"/>
      <c r="EC2" s="270">
        <v>20</v>
      </c>
      <c r="ED2" s="271"/>
      <c r="EE2" s="271"/>
      <c r="EF2" s="271"/>
      <c r="EG2" s="271"/>
      <c r="EH2" s="271"/>
      <c r="EI2" s="272"/>
      <c r="EJ2" s="270">
        <v>21</v>
      </c>
      <c r="EK2" s="271"/>
      <c r="EL2" s="271"/>
      <c r="EM2" s="271"/>
      <c r="EN2" s="271"/>
      <c r="EO2" s="271"/>
      <c r="EP2" s="272"/>
      <c r="EQ2" s="270">
        <v>22</v>
      </c>
      <c r="ER2" s="271"/>
      <c r="ES2" s="271"/>
      <c r="ET2" s="271"/>
      <c r="EU2" s="271"/>
      <c r="EV2" s="271"/>
      <c r="EW2" s="272"/>
      <c r="EX2" s="270">
        <v>23</v>
      </c>
      <c r="EY2" s="271"/>
      <c r="EZ2" s="271"/>
      <c r="FA2" s="271"/>
      <c r="FB2" s="271"/>
      <c r="FC2" s="271"/>
      <c r="FD2" s="272"/>
      <c r="FE2" s="270">
        <v>24</v>
      </c>
      <c r="FF2" s="271"/>
      <c r="FG2" s="271"/>
      <c r="FH2" s="271"/>
      <c r="FI2" s="271"/>
      <c r="FJ2" s="271"/>
      <c r="FK2" s="272"/>
      <c r="FL2" s="270">
        <v>25</v>
      </c>
      <c r="FM2" s="271"/>
      <c r="FN2" s="271"/>
      <c r="FO2" s="271"/>
      <c r="FP2" s="271"/>
      <c r="FQ2" s="271"/>
      <c r="FR2" s="272"/>
      <c r="FS2" s="270">
        <v>26</v>
      </c>
      <c r="FT2" s="271"/>
      <c r="FU2" s="271"/>
      <c r="FV2" s="271"/>
      <c r="FW2" s="271"/>
      <c r="FX2" s="271"/>
      <c r="FY2" s="272"/>
      <c r="FZ2" s="276">
        <v>27</v>
      </c>
      <c r="GA2" s="277"/>
      <c r="GB2" s="278"/>
      <c r="GC2" s="278"/>
      <c r="GD2" s="278"/>
      <c r="GE2" s="278"/>
      <c r="GF2" s="279"/>
      <c r="GG2" s="273">
        <v>28</v>
      </c>
      <c r="GH2" s="274"/>
      <c r="GI2" s="274"/>
      <c r="GJ2" s="274"/>
      <c r="GK2" s="274"/>
      <c r="GL2" s="274"/>
      <c r="GM2" s="275"/>
      <c r="GN2" s="273">
        <v>29</v>
      </c>
      <c r="GO2" s="274"/>
      <c r="GP2" s="274"/>
      <c r="GQ2" s="274"/>
      <c r="GR2" s="274"/>
      <c r="GS2" s="274"/>
      <c r="GT2" s="275"/>
      <c r="GU2" s="273">
        <v>30</v>
      </c>
      <c r="GV2" s="274"/>
      <c r="GW2" s="274"/>
      <c r="GX2" s="274"/>
      <c r="GY2" s="274"/>
      <c r="GZ2" s="274"/>
      <c r="HA2" s="275"/>
      <c r="HB2" s="276">
        <v>31</v>
      </c>
      <c r="HC2" s="277"/>
      <c r="HD2" s="277"/>
      <c r="HE2" s="277"/>
      <c r="HF2" s="277"/>
      <c r="HG2" s="277"/>
      <c r="HH2" s="291"/>
      <c r="HI2" s="270">
        <v>32</v>
      </c>
      <c r="HJ2" s="271"/>
      <c r="HK2" s="271"/>
      <c r="HL2" s="271"/>
      <c r="HM2" s="271"/>
      <c r="HN2" s="271"/>
      <c r="HO2" s="272"/>
      <c r="HP2" s="270">
        <v>33</v>
      </c>
      <c r="HQ2" s="271"/>
      <c r="HR2" s="271"/>
      <c r="HS2" s="271"/>
      <c r="HT2" s="271"/>
      <c r="HU2" s="271"/>
      <c r="HV2" s="272"/>
      <c r="HW2" s="270">
        <v>34</v>
      </c>
      <c r="HX2" s="271"/>
      <c r="HY2" s="271"/>
      <c r="HZ2" s="271"/>
      <c r="IA2" s="271"/>
      <c r="IB2" s="271"/>
      <c r="IC2" s="272"/>
      <c r="ID2" s="270">
        <v>35</v>
      </c>
      <c r="IE2" s="271"/>
      <c r="IF2" s="271"/>
      <c r="IG2" s="271"/>
      <c r="IH2" s="271"/>
      <c r="II2" s="271"/>
      <c r="IJ2" s="272"/>
      <c r="IK2" s="276">
        <v>36</v>
      </c>
      <c r="IL2" s="278"/>
      <c r="IM2" s="278"/>
      <c r="IN2" s="278"/>
      <c r="IO2" s="278"/>
      <c r="IP2" s="278"/>
      <c r="IQ2" s="279"/>
      <c r="IR2" s="273">
        <v>37</v>
      </c>
      <c r="IS2" s="274"/>
      <c r="IT2" s="274"/>
      <c r="IU2" s="274"/>
      <c r="IV2" s="274"/>
      <c r="IW2" s="274"/>
      <c r="IX2" s="275"/>
      <c r="IY2" s="273">
        <v>38</v>
      </c>
      <c r="IZ2" s="274"/>
      <c r="JA2" s="274"/>
      <c r="JB2" s="274"/>
      <c r="JC2" s="274"/>
      <c r="JD2" s="274"/>
      <c r="JE2" s="275"/>
      <c r="JF2" s="270">
        <v>39</v>
      </c>
      <c r="JG2" s="271"/>
      <c r="JH2" s="271"/>
      <c r="JI2" s="271"/>
      <c r="JJ2" s="271"/>
      <c r="JK2" s="271"/>
      <c r="JL2" s="272"/>
      <c r="JM2" s="276">
        <v>40</v>
      </c>
      <c r="JN2" s="277"/>
      <c r="JO2" s="277"/>
      <c r="JP2" s="277"/>
      <c r="JQ2" s="277"/>
      <c r="JR2" s="277"/>
      <c r="JS2" s="291"/>
      <c r="JT2" s="270">
        <v>41</v>
      </c>
      <c r="JU2" s="271"/>
      <c r="JV2" s="271"/>
      <c r="JW2" s="271"/>
      <c r="JX2" s="271"/>
      <c r="JY2" s="271"/>
      <c r="JZ2" s="272"/>
      <c r="KA2" s="270">
        <v>42</v>
      </c>
      <c r="KB2" s="271"/>
      <c r="KC2" s="271"/>
      <c r="KD2" s="271"/>
      <c r="KE2" s="271"/>
      <c r="KF2" s="271"/>
      <c r="KG2" s="272"/>
      <c r="KH2" s="270">
        <v>43</v>
      </c>
      <c r="KI2" s="271"/>
      <c r="KJ2" s="271"/>
      <c r="KK2" s="271"/>
      <c r="KL2" s="271"/>
      <c r="KM2" s="271"/>
      <c r="KN2" s="272"/>
      <c r="KO2" s="276">
        <v>44</v>
      </c>
      <c r="KP2" s="277"/>
      <c r="KQ2" s="277"/>
      <c r="KR2" s="277"/>
      <c r="KS2" s="277"/>
      <c r="KT2" s="277"/>
      <c r="KU2" s="291"/>
      <c r="KV2" s="270">
        <v>45</v>
      </c>
      <c r="KW2" s="271"/>
      <c r="KX2" s="271"/>
      <c r="KY2" s="271"/>
      <c r="KZ2" s="271"/>
      <c r="LA2" s="271"/>
      <c r="LB2" s="272"/>
      <c r="LC2" s="288">
        <v>46</v>
      </c>
      <c r="LD2" s="274"/>
      <c r="LE2" s="274"/>
      <c r="LF2" s="274"/>
      <c r="LG2" s="274"/>
      <c r="LH2" s="274"/>
      <c r="LI2" s="274"/>
      <c r="LJ2" s="270">
        <v>47</v>
      </c>
      <c r="LK2" s="271"/>
      <c r="LL2" s="271"/>
      <c r="LM2" s="271"/>
      <c r="LN2" s="271"/>
      <c r="LO2" s="271"/>
      <c r="LP2" s="272"/>
      <c r="LQ2" s="270">
        <v>48</v>
      </c>
      <c r="LR2" s="271"/>
      <c r="LS2" s="271"/>
      <c r="LT2" s="271"/>
      <c r="LU2" s="271"/>
      <c r="LV2" s="271"/>
      <c r="LW2" s="272"/>
      <c r="LX2" s="276">
        <v>49</v>
      </c>
      <c r="LY2" s="277"/>
      <c r="LZ2" s="277"/>
      <c r="MA2" s="277"/>
      <c r="MB2" s="277"/>
      <c r="MC2" s="277"/>
      <c r="MD2" s="291"/>
      <c r="ME2" s="270">
        <v>50</v>
      </c>
      <c r="MF2" s="271"/>
      <c r="MG2" s="271"/>
      <c r="MH2" s="271"/>
      <c r="MI2" s="271"/>
      <c r="MJ2" s="271"/>
      <c r="MK2" s="272"/>
      <c r="ML2" s="270">
        <v>51</v>
      </c>
      <c r="MM2" s="271"/>
      <c r="MN2" s="271"/>
      <c r="MO2" s="271"/>
      <c r="MP2" s="271"/>
      <c r="MQ2" s="271"/>
      <c r="MR2" s="272"/>
      <c r="MS2" s="270">
        <v>52</v>
      </c>
      <c r="MT2" s="271"/>
      <c r="MU2" s="271"/>
      <c r="MV2" s="271"/>
      <c r="MW2" s="271"/>
      <c r="MX2" s="271"/>
      <c r="MY2" s="272"/>
      <c r="MZ2" s="270">
        <v>53</v>
      </c>
      <c r="NA2" s="271"/>
      <c r="NB2" s="271"/>
      <c r="NC2" s="272"/>
    </row>
    <row r="3" spans="1:367" s="217" customFormat="1" ht="15" thickBot="1" x14ac:dyDescent="0.35">
      <c r="A3" s="268"/>
      <c r="B3" s="222" t="s">
        <v>6</v>
      </c>
      <c r="C3" s="214">
        <v>1</v>
      </c>
      <c r="D3" s="215">
        <v>2</v>
      </c>
      <c r="E3" s="215">
        <v>3</v>
      </c>
      <c r="F3" s="216">
        <v>4</v>
      </c>
      <c r="G3" s="214">
        <v>5</v>
      </c>
      <c r="H3" s="215">
        <v>6</v>
      </c>
      <c r="I3" s="215">
        <v>7</v>
      </c>
      <c r="J3" s="215">
        <v>8</v>
      </c>
      <c r="K3" s="215">
        <v>9</v>
      </c>
      <c r="L3" s="215">
        <v>10</v>
      </c>
      <c r="M3" s="216">
        <v>11</v>
      </c>
      <c r="N3" s="214">
        <v>12</v>
      </c>
      <c r="O3" s="215">
        <v>13</v>
      </c>
      <c r="P3" s="215">
        <v>14</v>
      </c>
      <c r="Q3" s="215">
        <v>15</v>
      </c>
      <c r="R3" s="215">
        <v>16</v>
      </c>
      <c r="S3" s="215">
        <v>17</v>
      </c>
      <c r="T3" s="215">
        <v>18</v>
      </c>
      <c r="U3" s="214">
        <v>19</v>
      </c>
      <c r="V3" s="215">
        <v>20</v>
      </c>
      <c r="W3" s="215">
        <v>21</v>
      </c>
      <c r="X3" s="215">
        <v>22</v>
      </c>
      <c r="Y3" s="215">
        <v>23</v>
      </c>
      <c r="Z3" s="215">
        <v>24</v>
      </c>
      <c r="AA3" s="216">
        <v>25</v>
      </c>
      <c r="AB3" s="214">
        <v>26</v>
      </c>
      <c r="AC3" s="215">
        <v>27</v>
      </c>
      <c r="AD3" s="215">
        <v>28</v>
      </c>
      <c r="AE3" s="215">
        <v>29</v>
      </c>
      <c r="AF3" s="215">
        <v>30</v>
      </c>
      <c r="AG3" s="215">
        <v>31</v>
      </c>
      <c r="AH3" s="216">
        <v>1</v>
      </c>
      <c r="AI3" s="214">
        <v>2</v>
      </c>
      <c r="AJ3" s="215">
        <v>3</v>
      </c>
      <c r="AK3" s="215">
        <v>4</v>
      </c>
      <c r="AL3" s="215">
        <v>5</v>
      </c>
      <c r="AM3" s="215">
        <v>6</v>
      </c>
      <c r="AN3" s="215">
        <v>7</v>
      </c>
      <c r="AO3" s="216">
        <v>8</v>
      </c>
      <c r="AP3" s="214">
        <v>9</v>
      </c>
      <c r="AQ3" s="215">
        <v>10</v>
      </c>
      <c r="AR3" s="215">
        <v>11</v>
      </c>
      <c r="AS3" s="215">
        <v>12</v>
      </c>
      <c r="AT3" s="215">
        <v>13</v>
      </c>
      <c r="AU3" s="215">
        <v>14</v>
      </c>
      <c r="AV3" s="216">
        <v>15</v>
      </c>
      <c r="AW3" s="214">
        <v>16</v>
      </c>
      <c r="AX3" s="215">
        <v>17</v>
      </c>
      <c r="AY3" s="215">
        <v>18</v>
      </c>
      <c r="AZ3" s="215">
        <v>19</v>
      </c>
      <c r="BA3" s="215">
        <v>20</v>
      </c>
      <c r="BB3" s="215">
        <v>21</v>
      </c>
      <c r="BC3" s="216">
        <v>22</v>
      </c>
      <c r="BD3" s="214">
        <v>23</v>
      </c>
      <c r="BE3" s="215">
        <v>24</v>
      </c>
      <c r="BF3" s="215">
        <v>25</v>
      </c>
      <c r="BG3" s="215">
        <v>26</v>
      </c>
      <c r="BH3" s="215">
        <v>27</v>
      </c>
      <c r="BI3" s="215">
        <v>28</v>
      </c>
      <c r="BJ3" s="216">
        <v>1</v>
      </c>
      <c r="BK3" s="214">
        <v>2</v>
      </c>
      <c r="BL3" s="215">
        <v>3</v>
      </c>
      <c r="BM3" s="215">
        <v>4</v>
      </c>
      <c r="BN3" s="215">
        <v>5</v>
      </c>
      <c r="BO3" s="215">
        <v>6</v>
      </c>
      <c r="BP3" s="215">
        <v>7</v>
      </c>
      <c r="BQ3" s="216">
        <v>8</v>
      </c>
      <c r="BR3" s="214">
        <v>9</v>
      </c>
      <c r="BS3" s="215">
        <v>10</v>
      </c>
      <c r="BT3" s="215">
        <v>11</v>
      </c>
      <c r="BU3" s="215">
        <v>12</v>
      </c>
      <c r="BV3" s="215">
        <v>13</v>
      </c>
      <c r="BW3" s="215">
        <v>14</v>
      </c>
      <c r="BX3" s="216">
        <v>15</v>
      </c>
      <c r="BY3" s="214">
        <v>16</v>
      </c>
      <c r="BZ3" s="215">
        <v>17</v>
      </c>
      <c r="CA3" s="215">
        <v>18</v>
      </c>
      <c r="CB3" s="215">
        <v>19</v>
      </c>
      <c r="CC3" s="215">
        <v>20</v>
      </c>
      <c r="CD3" s="215">
        <v>21</v>
      </c>
      <c r="CE3" s="216">
        <v>22</v>
      </c>
      <c r="CF3" s="214">
        <v>23</v>
      </c>
      <c r="CG3" s="215">
        <v>24</v>
      </c>
      <c r="CH3" s="215">
        <v>25</v>
      </c>
      <c r="CI3" s="215">
        <v>26</v>
      </c>
      <c r="CJ3" s="215">
        <v>27</v>
      </c>
      <c r="CK3" s="215">
        <v>28</v>
      </c>
      <c r="CL3" s="216">
        <v>29</v>
      </c>
      <c r="CM3" s="214">
        <v>30</v>
      </c>
      <c r="CN3" s="215">
        <v>31</v>
      </c>
      <c r="CO3" s="215">
        <v>1</v>
      </c>
      <c r="CP3" s="215">
        <v>2</v>
      </c>
      <c r="CQ3" s="215">
        <v>3</v>
      </c>
      <c r="CR3" s="215">
        <v>4</v>
      </c>
      <c r="CS3" s="216">
        <v>5</v>
      </c>
      <c r="CT3" s="214">
        <v>6</v>
      </c>
      <c r="CU3" s="215">
        <v>7</v>
      </c>
      <c r="CV3" s="215">
        <v>8</v>
      </c>
      <c r="CW3" s="215">
        <v>9</v>
      </c>
      <c r="CX3" s="215">
        <v>10</v>
      </c>
      <c r="CY3" s="215">
        <v>11</v>
      </c>
      <c r="CZ3" s="216">
        <v>12</v>
      </c>
      <c r="DA3" s="214">
        <v>13</v>
      </c>
      <c r="DB3" s="215">
        <v>14</v>
      </c>
      <c r="DC3" s="215">
        <v>15</v>
      </c>
      <c r="DD3" s="215">
        <v>16</v>
      </c>
      <c r="DE3" s="215">
        <v>17</v>
      </c>
      <c r="DF3" s="215">
        <v>18</v>
      </c>
      <c r="DG3" s="216">
        <v>19</v>
      </c>
      <c r="DH3" s="214">
        <v>20</v>
      </c>
      <c r="DI3" s="215">
        <v>21</v>
      </c>
      <c r="DJ3" s="215">
        <v>22</v>
      </c>
      <c r="DK3" s="215">
        <v>23</v>
      </c>
      <c r="DL3" s="215">
        <v>24</v>
      </c>
      <c r="DM3" s="215">
        <v>25</v>
      </c>
      <c r="DN3" s="216">
        <v>26</v>
      </c>
      <c r="DO3" s="214">
        <v>27</v>
      </c>
      <c r="DP3" s="215">
        <v>28</v>
      </c>
      <c r="DQ3" s="215">
        <v>29</v>
      </c>
      <c r="DR3" s="215">
        <v>30</v>
      </c>
      <c r="DS3" s="215">
        <v>1</v>
      </c>
      <c r="DT3" s="215">
        <v>2</v>
      </c>
      <c r="DU3" s="216">
        <v>3</v>
      </c>
      <c r="DV3" s="214">
        <v>4</v>
      </c>
      <c r="DW3" s="215">
        <v>5</v>
      </c>
      <c r="DX3" s="215">
        <v>6</v>
      </c>
      <c r="DY3" s="215">
        <v>7</v>
      </c>
      <c r="DZ3" s="215">
        <v>8</v>
      </c>
      <c r="EA3" s="215">
        <v>9</v>
      </c>
      <c r="EB3" s="216">
        <v>10</v>
      </c>
      <c r="EC3" s="214">
        <v>11</v>
      </c>
      <c r="ED3" s="215">
        <v>12</v>
      </c>
      <c r="EE3" s="215">
        <v>13</v>
      </c>
      <c r="EF3" s="215">
        <v>14</v>
      </c>
      <c r="EG3" s="215">
        <v>15</v>
      </c>
      <c r="EH3" s="215">
        <v>16</v>
      </c>
      <c r="EI3" s="216">
        <v>17</v>
      </c>
      <c r="EJ3" s="214">
        <v>18</v>
      </c>
      <c r="EK3" s="215">
        <v>19</v>
      </c>
      <c r="EL3" s="215">
        <v>20</v>
      </c>
      <c r="EM3" s="215">
        <v>21</v>
      </c>
      <c r="EN3" s="215">
        <v>22</v>
      </c>
      <c r="EO3" s="215">
        <v>23</v>
      </c>
      <c r="EP3" s="216">
        <v>24</v>
      </c>
      <c r="EQ3" s="214">
        <v>25</v>
      </c>
      <c r="ER3" s="215">
        <v>26</v>
      </c>
      <c r="ES3" s="215">
        <v>27</v>
      </c>
      <c r="ET3" s="215">
        <v>28</v>
      </c>
      <c r="EU3" s="215">
        <v>29</v>
      </c>
      <c r="EV3" s="215">
        <v>30</v>
      </c>
      <c r="EW3" s="216">
        <v>31</v>
      </c>
      <c r="EX3" s="214">
        <v>1</v>
      </c>
      <c r="EY3" s="215">
        <v>2</v>
      </c>
      <c r="EZ3" s="215">
        <v>3</v>
      </c>
      <c r="FA3" s="215">
        <v>4</v>
      </c>
      <c r="FB3" s="215">
        <v>5</v>
      </c>
      <c r="FC3" s="215">
        <v>6</v>
      </c>
      <c r="FD3" s="216">
        <v>7</v>
      </c>
      <c r="FE3" s="214">
        <v>8</v>
      </c>
      <c r="FF3" s="215">
        <v>9</v>
      </c>
      <c r="FG3" s="215">
        <v>10</v>
      </c>
      <c r="FH3" s="215">
        <v>11</v>
      </c>
      <c r="FI3" s="215">
        <v>12</v>
      </c>
      <c r="FJ3" s="215">
        <v>13</v>
      </c>
      <c r="FK3" s="216">
        <v>14</v>
      </c>
      <c r="FL3" s="214">
        <v>15</v>
      </c>
      <c r="FM3" s="215">
        <v>16</v>
      </c>
      <c r="FN3" s="215">
        <v>17</v>
      </c>
      <c r="FO3" s="215">
        <v>18</v>
      </c>
      <c r="FP3" s="215">
        <v>19</v>
      </c>
      <c r="FQ3" s="215">
        <v>20</v>
      </c>
      <c r="FR3" s="216">
        <v>21</v>
      </c>
      <c r="FS3" s="214">
        <v>22</v>
      </c>
      <c r="FT3" s="215">
        <v>23</v>
      </c>
      <c r="FU3" s="215">
        <v>24</v>
      </c>
      <c r="FV3" s="215">
        <v>25</v>
      </c>
      <c r="FW3" s="215">
        <v>26</v>
      </c>
      <c r="FX3" s="215">
        <v>27</v>
      </c>
      <c r="FY3" s="216">
        <v>28</v>
      </c>
      <c r="FZ3" s="214">
        <v>29</v>
      </c>
      <c r="GA3" s="215">
        <v>30</v>
      </c>
      <c r="GB3" s="215">
        <v>1</v>
      </c>
      <c r="GC3" s="215">
        <v>2</v>
      </c>
      <c r="GD3" s="215">
        <v>3</v>
      </c>
      <c r="GE3" s="215">
        <v>4</v>
      </c>
      <c r="GF3" s="216">
        <v>5</v>
      </c>
      <c r="GG3" s="214">
        <v>6</v>
      </c>
      <c r="GH3" s="215">
        <v>7</v>
      </c>
      <c r="GI3" s="215">
        <v>8</v>
      </c>
      <c r="GJ3" s="215">
        <v>9</v>
      </c>
      <c r="GK3" s="215">
        <v>10</v>
      </c>
      <c r="GL3" s="215">
        <v>11</v>
      </c>
      <c r="GM3" s="216">
        <v>12</v>
      </c>
      <c r="GN3" s="214">
        <v>13</v>
      </c>
      <c r="GO3" s="215">
        <v>14</v>
      </c>
      <c r="GP3" s="215">
        <v>15</v>
      </c>
      <c r="GQ3" s="215">
        <v>16</v>
      </c>
      <c r="GR3" s="215">
        <v>17</v>
      </c>
      <c r="GS3" s="215">
        <v>18</v>
      </c>
      <c r="GT3" s="216">
        <v>19</v>
      </c>
      <c r="GU3" s="214">
        <v>20</v>
      </c>
      <c r="GV3" s="215">
        <v>21</v>
      </c>
      <c r="GW3" s="215">
        <v>22</v>
      </c>
      <c r="GX3" s="215">
        <v>23</v>
      </c>
      <c r="GY3" s="215">
        <v>24</v>
      </c>
      <c r="GZ3" s="215">
        <v>25</v>
      </c>
      <c r="HA3" s="216">
        <v>26</v>
      </c>
      <c r="HB3" s="214">
        <v>27</v>
      </c>
      <c r="HC3" s="215">
        <v>28</v>
      </c>
      <c r="HD3" s="215">
        <v>29</v>
      </c>
      <c r="HE3" s="215">
        <v>30</v>
      </c>
      <c r="HF3" s="215">
        <v>31</v>
      </c>
      <c r="HG3" s="215">
        <v>1</v>
      </c>
      <c r="HH3" s="216">
        <v>2</v>
      </c>
      <c r="HI3" s="214">
        <v>3</v>
      </c>
      <c r="HJ3" s="215">
        <v>4</v>
      </c>
      <c r="HK3" s="215">
        <v>5</v>
      </c>
      <c r="HL3" s="215">
        <v>6</v>
      </c>
      <c r="HM3" s="215">
        <v>7</v>
      </c>
      <c r="HN3" s="215">
        <v>8</v>
      </c>
      <c r="HO3" s="216">
        <v>9</v>
      </c>
      <c r="HP3" s="214">
        <v>10</v>
      </c>
      <c r="HQ3" s="215">
        <v>11</v>
      </c>
      <c r="HR3" s="215">
        <v>12</v>
      </c>
      <c r="HS3" s="215">
        <v>13</v>
      </c>
      <c r="HT3" s="215">
        <v>14</v>
      </c>
      <c r="HU3" s="215">
        <v>15</v>
      </c>
      <c r="HV3" s="216">
        <v>16</v>
      </c>
      <c r="HW3" s="214">
        <v>17</v>
      </c>
      <c r="HX3" s="215">
        <v>18</v>
      </c>
      <c r="HY3" s="215">
        <v>19</v>
      </c>
      <c r="HZ3" s="215">
        <v>20</v>
      </c>
      <c r="IA3" s="215">
        <v>21</v>
      </c>
      <c r="IB3" s="215">
        <v>22</v>
      </c>
      <c r="IC3" s="216">
        <v>23</v>
      </c>
      <c r="ID3" s="214">
        <v>24</v>
      </c>
      <c r="IE3" s="215">
        <v>25</v>
      </c>
      <c r="IF3" s="215">
        <v>26</v>
      </c>
      <c r="IG3" s="215">
        <v>27</v>
      </c>
      <c r="IH3" s="215">
        <v>28</v>
      </c>
      <c r="II3" s="215">
        <v>29</v>
      </c>
      <c r="IJ3" s="216">
        <v>30</v>
      </c>
      <c r="IK3" s="214">
        <v>31</v>
      </c>
      <c r="IL3" s="215">
        <v>1</v>
      </c>
      <c r="IM3" s="215">
        <v>2</v>
      </c>
      <c r="IN3" s="215">
        <v>3</v>
      </c>
      <c r="IO3" s="215">
        <v>4</v>
      </c>
      <c r="IP3" s="215">
        <v>5</v>
      </c>
      <c r="IQ3" s="216">
        <v>6</v>
      </c>
      <c r="IR3" s="214">
        <v>7</v>
      </c>
      <c r="IS3" s="215">
        <v>8</v>
      </c>
      <c r="IT3" s="215">
        <v>9</v>
      </c>
      <c r="IU3" s="215">
        <v>10</v>
      </c>
      <c r="IV3" s="215">
        <v>11</v>
      </c>
      <c r="IW3" s="215">
        <v>12</v>
      </c>
      <c r="IX3" s="216">
        <v>13</v>
      </c>
      <c r="IY3" s="214">
        <v>14</v>
      </c>
      <c r="IZ3" s="215">
        <v>15</v>
      </c>
      <c r="JA3" s="215">
        <v>16</v>
      </c>
      <c r="JB3" s="215">
        <v>17</v>
      </c>
      <c r="JC3" s="215">
        <v>18</v>
      </c>
      <c r="JD3" s="215">
        <v>19</v>
      </c>
      <c r="JE3" s="216">
        <v>20</v>
      </c>
      <c r="JF3" s="214">
        <v>21</v>
      </c>
      <c r="JG3" s="215">
        <v>22</v>
      </c>
      <c r="JH3" s="215">
        <v>23</v>
      </c>
      <c r="JI3" s="215">
        <v>24</v>
      </c>
      <c r="JJ3" s="215">
        <v>25</v>
      </c>
      <c r="JK3" s="215">
        <v>26</v>
      </c>
      <c r="JL3" s="216">
        <v>27</v>
      </c>
      <c r="JM3" s="214">
        <v>28</v>
      </c>
      <c r="JN3" s="215">
        <v>29</v>
      </c>
      <c r="JO3" s="215">
        <v>30</v>
      </c>
      <c r="JP3" s="215">
        <v>1</v>
      </c>
      <c r="JQ3" s="215">
        <v>2</v>
      </c>
      <c r="JR3" s="215">
        <v>3</v>
      </c>
      <c r="JS3" s="216">
        <v>4</v>
      </c>
      <c r="JT3" s="214">
        <v>5</v>
      </c>
      <c r="JU3" s="215">
        <v>6</v>
      </c>
      <c r="JV3" s="215">
        <v>7</v>
      </c>
      <c r="JW3" s="215">
        <v>8</v>
      </c>
      <c r="JX3" s="215">
        <v>9</v>
      </c>
      <c r="JY3" s="215">
        <v>10</v>
      </c>
      <c r="JZ3" s="216">
        <v>11</v>
      </c>
      <c r="KA3" s="214">
        <v>12</v>
      </c>
      <c r="KB3" s="215">
        <v>13</v>
      </c>
      <c r="KC3" s="215">
        <v>14</v>
      </c>
      <c r="KD3" s="215">
        <v>15</v>
      </c>
      <c r="KE3" s="215">
        <v>16</v>
      </c>
      <c r="KF3" s="215">
        <v>17</v>
      </c>
      <c r="KG3" s="216">
        <v>18</v>
      </c>
      <c r="KH3" s="214">
        <v>19</v>
      </c>
      <c r="KI3" s="215">
        <v>20</v>
      </c>
      <c r="KJ3" s="215">
        <v>21</v>
      </c>
      <c r="KK3" s="215">
        <v>22</v>
      </c>
      <c r="KL3" s="215">
        <v>23</v>
      </c>
      <c r="KM3" s="215">
        <v>24</v>
      </c>
      <c r="KN3" s="216">
        <v>25</v>
      </c>
      <c r="KO3" s="214">
        <v>26</v>
      </c>
      <c r="KP3" s="215">
        <v>27</v>
      </c>
      <c r="KQ3" s="215">
        <v>28</v>
      </c>
      <c r="KR3" s="215">
        <v>29</v>
      </c>
      <c r="KS3" s="215">
        <v>30</v>
      </c>
      <c r="KT3" s="215">
        <v>31</v>
      </c>
      <c r="KU3" s="216">
        <v>1</v>
      </c>
      <c r="KV3" s="214">
        <v>2</v>
      </c>
      <c r="KW3" s="215">
        <v>3</v>
      </c>
      <c r="KX3" s="215">
        <v>4</v>
      </c>
      <c r="KY3" s="215">
        <v>5</v>
      </c>
      <c r="KZ3" s="215">
        <v>6</v>
      </c>
      <c r="LA3" s="215">
        <v>7</v>
      </c>
      <c r="LB3" s="216">
        <v>8</v>
      </c>
      <c r="LC3" s="215">
        <v>9</v>
      </c>
      <c r="LD3" s="215">
        <v>10</v>
      </c>
      <c r="LE3" s="215">
        <v>11</v>
      </c>
      <c r="LF3" s="215">
        <v>12</v>
      </c>
      <c r="LG3" s="215">
        <v>13</v>
      </c>
      <c r="LH3" s="215">
        <v>14</v>
      </c>
      <c r="LI3" s="215">
        <v>15</v>
      </c>
      <c r="LJ3" s="214">
        <v>16</v>
      </c>
      <c r="LK3" s="215">
        <v>17</v>
      </c>
      <c r="LL3" s="215">
        <v>18</v>
      </c>
      <c r="LM3" s="215">
        <v>19</v>
      </c>
      <c r="LN3" s="215">
        <v>20</v>
      </c>
      <c r="LO3" s="215">
        <v>21</v>
      </c>
      <c r="LP3" s="216">
        <v>22</v>
      </c>
      <c r="LQ3" s="214">
        <v>23</v>
      </c>
      <c r="LR3" s="215">
        <v>24</v>
      </c>
      <c r="LS3" s="215">
        <v>25</v>
      </c>
      <c r="LT3" s="215">
        <v>26</v>
      </c>
      <c r="LU3" s="215">
        <v>27</v>
      </c>
      <c r="LV3" s="215">
        <v>28</v>
      </c>
      <c r="LW3" s="216">
        <v>29</v>
      </c>
      <c r="LX3" s="214">
        <v>30</v>
      </c>
      <c r="LY3" s="215">
        <v>1</v>
      </c>
      <c r="LZ3" s="215">
        <v>2</v>
      </c>
      <c r="MA3" s="215">
        <v>3</v>
      </c>
      <c r="MB3" s="215">
        <v>4</v>
      </c>
      <c r="MC3" s="215">
        <v>5</v>
      </c>
      <c r="MD3" s="216">
        <v>6</v>
      </c>
      <c r="ME3" s="214">
        <v>7</v>
      </c>
      <c r="MF3" s="215">
        <v>8</v>
      </c>
      <c r="MG3" s="215">
        <v>9</v>
      </c>
      <c r="MH3" s="215">
        <v>10</v>
      </c>
      <c r="MI3" s="215">
        <v>11</v>
      </c>
      <c r="MJ3" s="215">
        <v>12</v>
      </c>
      <c r="MK3" s="216">
        <v>13</v>
      </c>
      <c r="ML3" s="214">
        <v>14</v>
      </c>
      <c r="MM3" s="215">
        <v>15</v>
      </c>
      <c r="MN3" s="215">
        <v>16</v>
      </c>
      <c r="MO3" s="215">
        <v>17</v>
      </c>
      <c r="MP3" s="215">
        <v>18</v>
      </c>
      <c r="MQ3" s="215">
        <v>19</v>
      </c>
      <c r="MR3" s="216">
        <v>20</v>
      </c>
      <c r="MS3" s="214">
        <v>21</v>
      </c>
      <c r="MT3" s="215">
        <v>22</v>
      </c>
      <c r="MU3" s="215">
        <v>23</v>
      </c>
      <c r="MV3" s="215">
        <v>24</v>
      </c>
      <c r="MW3" s="215">
        <v>25</v>
      </c>
      <c r="MX3" s="215">
        <v>26</v>
      </c>
      <c r="MY3" s="216">
        <v>27</v>
      </c>
      <c r="MZ3" s="214">
        <v>28</v>
      </c>
      <c r="NA3" s="215">
        <v>29</v>
      </c>
      <c r="NB3" s="215">
        <v>30</v>
      </c>
      <c r="NC3" s="216">
        <v>31</v>
      </c>
    </row>
    <row r="4" spans="1:367" x14ac:dyDescent="0.3">
      <c r="A4" s="213" t="s">
        <v>7</v>
      </c>
      <c r="B4" s="269" t="s">
        <v>8</v>
      </c>
      <c r="C4" s="200" t="s">
        <v>9</v>
      </c>
      <c r="D4" s="213" t="s">
        <v>7</v>
      </c>
      <c r="E4" s="23"/>
      <c r="F4" s="185"/>
      <c r="G4" s="184"/>
      <c r="L4" s="23"/>
      <c r="M4" s="185"/>
      <c r="N4" s="207">
        <v>3272</v>
      </c>
      <c r="O4" s="208">
        <v>3363</v>
      </c>
      <c r="P4" s="213" t="s">
        <v>7</v>
      </c>
      <c r="Q4" s="213" t="s">
        <v>7</v>
      </c>
      <c r="R4" s="213" t="s">
        <v>7</v>
      </c>
      <c r="S4" s="23"/>
      <c r="T4" s="185"/>
      <c r="U4" s="209">
        <v>3300</v>
      </c>
      <c r="V4" s="209">
        <v>3300</v>
      </c>
      <c r="W4" s="208">
        <v>3363</v>
      </c>
      <c r="X4" s="208">
        <v>3363</v>
      </c>
      <c r="Y4" s="213" t="s">
        <v>7</v>
      </c>
      <c r="Z4" s="23"/>
      <c r="AA4" s="185"/>
      <c r="AB4" s="209">
        <v>3300</v>
      </c>
      <c r="AC4" s="209">
        <v>3300</v>
      </c>
      <c r="AD4" s="208">
        <v>3363</v>
      </c>
      <c r="AE4" s="208">
        <v>3363</v>
      </c>
      <c r="AF4" s="206">
        <v>3336</v>
      </c>
      <c r="AG4" s="23"/>
      <c r="AH4" s="185"/>
      <c r="AI4" s="200" t="s">
        <v>25</v>
      </c>
      <c r="AJ4" s="213" t="s">
        <v>7</v>
      </c>
      <c r="AK4" s="213" t="s">
        <v>7</v>
      </c>
      <c r="AL4" s="213" t="s">
        <v>7</v>
      </c>
      <c r="AM4" s="213" t="s">
        <v>7</v>
      </c>
      <c r="AN4" s="23"/>
      <c r="AO4" s="185"/>
      <c r="AP4" s="209">
        <v>3300</v>
      </c>
      <c r="AQ4" s="209">
        <v>3300</v>
      </c>
      <c r="AR4" s="208">
        <v>3363</v>
      </c>
      <c r="AS4" s="208">
        <v>3363</v>
      </c>
      <c r="AT4" s="213" t="s">
        <v>7</v>
      </c>
      <c r="AU4" s="23"/>
      <c r="AV4" s="185"/>
      <c r="AW4" s="209">
        <v>3300</v>
      </c>
      <c r="AX4" s="209">
        <v>3300</v>
      </c>
      <c r="AY4" s="209">
        <v>3300</v>
      </c>
      <c r="AZ4" s="208">
        <v>3363</v>
      </c>
      <c r="BA4" s="213" t="s">
        <v>7</v>
      </c>
      <c r="BB4" s="23"/>
      <c r="BC4" s="185"/>
      <c r="BD4" s="209">
        <v>3300</v>
      </c>
      <c r="BE4" s="209">
        <v>3300</v>
      </c>
      <c r="BF4" s="213" t="s">
        <v>7</v>
      </c>
      <c r="BG4" s="213" t="s">
        <v>7</v>
      </c>
      <c r="BH4" s="213" t="s">
        <v>7</v>
      </c>
      <c r="BI4" s="23"/>
      <c r="BJ4" s="185"/>
      <c r="BK4" s="209">
        <v>3300</v>
      </c>
      <c r="BL4" s="209">
        <v>3300</v>
      </c>
      <c r="BM4" s="209">
        <v>3300</v>
      </c>
      <c r="BN4" s="213" t="s">
        <v>7</v>
      </c>
      <c r="BO4" s="213" t="s">
        <v>7</v>
      </c>
      <c r="BP4" s="23"/>
      <c r="BQ4" s="185"/>
      <c r="BR4" s="184"/>
      <c r="BW4" s="23"/>
      <c r="BX4" s="185"/>
      <c r="BY4" s="184"/>
      <c r="CD4" s="23"/>
      <c r="CE4" s="185"/>
      <c r="CF4" s="184"/>
      <c r="CK4" s="23"/>
      <c r="CL4" s="185"/>
      <c r="CM4" s="184"/>
      <c r="CR4" s="23"/>
      <c r="CS4" s="185"/>
      <c r="CT4" s="184"/>
      <c r="CY4" s="23"/>
      <c r="CZ4" s="185"/>
      <c r="DA4" s="184"/>
      <c r="DF4" s="23"/>
      <c r="DG4" s="185"/>
      <c r="DH4" s="184"/>
      <c r="DM4" s="23"/>
      <c r="DN4" s="185"/>
      <c r="DO4" s="184"/>
      <c r="DT4" s="23"/>
      <c r="DU4" s="185"/>
      <c r="DV4" s="184"/>
      <c r="EA4" s="23"/>
      <c r="EB4" s="185"/>
      <c r="EC4" s="184"/>
      <c r="EH4" s="23"/>
      <c r="EI4" s="185"/>
      <c r="EJ4" s="184"/>
      <c r="EO4" s="23"/>
      <c r="EP4" s="185"/>
      <c r="EQ4" s="184"/>
      <c r="EV4" s="23"/>
      <c r="EW4" s="185"/>
      <c r="EX4" s="184"/>
      <c r="FC4" s="23"/>
      <c r="FD4" s="185"/>
      <c r="FE4" s="184"/>
      <c r="FJ4" s="23"/>
      <c r="FK4" s="185"/>
      <c r="FL4" s="184"/>
      <c r="FQ4" s="23"/>
      <c r="FR4" s="185"/>
      <c r="FS4" s="184"/>
      <c r="FX4" s="23"/>
      <c r="FY4" s="185"/>
      <c r="FZ4" s="184"/>
      <c r="GE4" s="23"/>
      <c r="GF4" s="185"/>
      <c r="GG4" s="184"/>
      <c r="GL4" s="23"/>
      <c r="GM4" s="185"/>
      <c r="GN4" s="184"/>
      <c r="GS4" s="23"/>
      <c r="GT4" s="185"/>
      <c r="GU4" s="184"/>
      <c r="GZ4" s="23"/>
      <c r="HA4" s="185"/>
      <c r="HB4" s="184"/>
      <c r="HG4" s="23"/>
      <c r="HH4" s="185"/>
      <c r="HI4" s="184"/>
      <c r="HN4" s="23"/>
      <c r="HO4" s="185"/>
      <c r="HP4" s="184"/>
      <c r="HU4" s="23"/>
      <c r="HV4" s="185"/>
      <c r="HW4" s="184"/>
      <c r="IB4" s="23"/>
      <c r="IC4" s="185"/>
      <c r="ID4" s="184"/>
      <c r="II4" s="23"/>
      <c r="IJ4" s="185"/>
      <c r="IK4" s="184"/>
      <c r="IP4" s="23"/>
      <c r="IQ4" s="185"/>
      <c r="IR4" s="184"/>
      <c r="IW4" s="23"/>
      <c r="IX4" s="185"/>
      <c r="IY4" s="184"/>
      <c r="JD4" s="23"/>
      <c r="JE4" s="185"/>
      <c r="JF4" s="184"/>
      <c r="JK4" s="23"/>
      <c r="JL4" s="185"/>
      <c r="JM4" s="184"/>
      <c r="JR4" s="23"/>
      <c r="JS4" s="185"/>
      <c r="JT4" s="184"/>
      <c r="JY4" s="23"/>
      <c r="JZ4" s="185"/>
      <c r="KA4" s="184"/>
      <c r="KF4" s="23"/>
      <c r="KG4" s="185"/>
      <c r="KH4" s="184"/>
      <c r="KM4" s="23"/>
      <c r="KN4" s="185"/>
      <c r="KO4" s="184"/>
      <c r="KT4" s="23"/>
      <c r="KU4" s="185"/>
      <c r="KV4" s="184"/>
      <c r="LA4" s="23"/>
      <c r="LB4" s="185"/>
      <c r="LC4" s="184"/>
      <c r="LH4" s="23"/>
      <c r="LI4" s="185"/>
      <c r="LJ4" s="184"/>
      <c r="LO4" s="23"/>
      <c r="LP4" s="185"/>
      <c r="LQ4" s="184"/>
      <c r="LV4" s="23"/>
      <c r="LW4" s="185"/>
      <c r="LX4" s="184"/>
      <c r="MC4" s="23"/>
      <c r="MD4" s="185"/>
      <c r="ME4" s="184"/>
      <c r="MJ4" s="23"/>
      <c r="MK4" s="185"/>
      <c r="ML4" s="184"/>
      <c r="MQ4" s="23"/>
      <c r="MR4" s="185"/>
      <c r="MS4" s="184"/>
      <c r="MX4" s="23"/>
      <c r="MY4" s="185"/>
      <c r="MZ4" s="184"/>
      <c r="NC4" s="194"/>
    </row>
    <row r="5" spans="1:367" x14ac:dyDescent="0.3">
      <c r="A5" s="198" t="s">
        <v>11</v>
      </c>
      <c r="B5" s="269"/>
      <c r="C5" s="200" t="s">
        <v>9</v>
      </c>
      <c r="D5" s="213" t="s">
        <v>7</v>
      </c>
      <c r="E5" s="16"/>
      <c r="F5" s="186"/>
      <c r="G5" s="184"/>
      <c r="L5" s="16"/>
      <c r="M5" s="186"/>
      <c r="N5" s="206">
        <v>3336</v>
      </c>
      <c r="O5" s="208">
        <v>3363</v>
      </c>
      <c r="P5" s="213" t="s">
        <v>7</v>
      </c>
      <c r="Q5" s="213" t="s">
        <v>7</v>
      </c>
      <c r="R5" s="213" t="s">
        <v>7</v>
      </c>
      <c r="S5" s="16"/>
      <c r="T5" s="186"/>
      <c r="U5" s="209">
        <v>3300</v>
      </c>
      <c r="V5" s="209">
        <v>3300</v>
      </c>
      <c r="W5" s="208">
        <v>3363</v>
      </c>
      <c r="X5" s="208">
        <v>3363</v>
      </c>
      <c r="Y5" s="213" t="s">
        <v>7</v>
      </c>
      <c r="Z5" s="16"/>
      <c r="AA5" s="186"/>
      <c r="AB5" s="209">
        <v>3300</v>
      </c>
      <c r="AC5" s="209">
        <v>3300</v>
      </c>
      <c r="AD5" s="208">
        <v>3363</v>
      </c>
      <c r="AE5" s="208">
        <v>3363</v>
      </c>
      <c r="AF5" s="206">
        <v>3336</v>
      </c>
      <c r="AG5" s="16"/>
      <c r="AH5" s="186"/>
      <c r="AI5" s="200" t="s">
        <v>25</v>
      </c>
      <c r="AJ5" s="213" t="s">
        <v>7</v>
      </c>
      <c r="AK5" s="213" t="s">
        <v>7</v>
      </c>
      <c r="AL5" s="213" t="s">
        <v>7</v>
      </c>
      <c r="AM5" s="213" t="s">
        <v>7</v>
      </c>
      <c r="AN5" s="16"/>
      <c r="AO5" s="186"/>
      <c r="AP5" s="209">
        <v>3300</v>
      </c>
      <c r="AQ5" s="209">
        <v>3300</v>
      </c>
      <c r="AR5" s="208">
        <v>3363</v>
      </c>
      <c r="AS5" s="208">
        <v>3363</v>
      </c>
      <c r="AT5" s="213" t="s">
        <v>7</v>
      </c>
      <c r="AU5" s="16"/>
      <c r="AV5" s="186"/>
      <c r="AW5" s="209">
        <v>3300</v>
      </c>
      <c r="AX5" s="209">
        <v>3300</v>
      </c>
      <c r="AY5" s="209">
        <v>3300</v>
      </c>
      <c r="AZ5" s="208">
        <v>3363</v>
      </c>
      <c r="BA5" s="213" t="s">
        <v>7</v>
      </c>
      <c r="BB5" s="16"/>
      <c r="BC5" s="186"/>
      <c r="BD5" s="209">
        <v>3300</v>
      </c>
      <c r="BE5" s="209">
        <v>3300</v>
      </c>
      <c r="BF5" s="213" t="s">
        <v>7</v>
      </c>
      <c r="BG5" s="213" t="s">
        <v>7</v>
      </c>
      <c r="BH5" s="213" t="s">
        <v>7</v>
      </c>
      <c r="BI5" s="16"/>
      <c r="BJ5" s="186"/>
      <c r="BK5" s="209">
        <v>3300</v>
      </c>
      <c r="BL5" s="209">
        <v>3300</v>
      </c>
      <c r="BM5" s="209">
        <v>3300</v>
      </c>
      <c r="BN5" s="213" t="s">
        <v>7</v>
      </c>
      <c r="BO5" s="213" t="s">
        <v>7</v>
      </c>
      <c r="BP5" s="16"/>
      <c r="BQ5" s="186"/>
      <c r="BR5" s="184"/>
      <c r="BW5" s="16"/>
      <c r="BX5" s="186"/>
      <c r="BY5" s="184"/>
      <c r="CD5" s="16"/>
      <c r="CE5" s="186"/>
      <c r="CF5" s="184"/>
      <c r="CK5" s="16"/>
      <c r="CL5" s="186"/>
      <c r="CM5" s="184"/>
      <c r="CR5" s="16"/>
      <c r="CS5" s="186"/>
      <c r="CT5" s="184"/>
      <c r="CY5" s="16"/>
      <c r="CZ5" s="186"/>
      <c r="DA5" s="184"/>
      <c r="DF5" s="16"/>
      <c r="DG5" s="186"/>
      <c r="DH5" s="184"/>
      <c r="DM5" s="16"/>
      <c r="DN5" s="186"/>
      <c r="DO5" s="184"/>
      <c r="DT5" s="16"/>
      <c r="DU5" s="186"/>
      <c r="DV5" s="184"/>
      <c r="EA5" s="16"/>
      <c r="EB5" s="186"/>
      <c r="EC5" s="184"/>
      <c r="EH5" s="16"/>
      <c r="EI5" s="186"/>
      <c r="EJ5" s="184"/>
      <c r="EO5" s="16"/>
      <c r="EP5" s="186"/>
      <c r="EQ5" s="184"/>
      <c r="EV5" s="16"/>
      <c r="EW5" s="186"/>
      <c r="EX5" s="184"/>
      <c r="FC5" s="16"/>
      <c r="FD5" s="186"/>
      <c r="FE5" s="184"/>
      <c r="FJ5" s="16"/>
      <c r="FK5" s="186"/>
      <c r="FL5" s="184"/>
      <c r="FQ5" s="16"/>
      <c r="FR5" s="186"/>
      <c r="FS5" s="184"/>
      <c r="FX5" s="16"/>
      <c r="FY5" s="186"/>
      <c r="FZ5" s="184"/>
      <c r="GE5" s="16"/>
      <c r="GF5" s="186"/>
      <c r="GG5" s="184"/>
      <c r="GL5" s="16"/>
      <c r="GM5" s="186"/>
      <c r="GN5" s="184"/>
      <c r="GS5" s="16"/>
      <c r="GT5" s="186"/>
      <c r="GU5" s="184"/>
      <c r="GZ5" s="16"/>
      <c r="HA5" s="186"/>
      <c r="HB5" s="184"/>
      <c r="HG5" s="16"/>
      <c r="HH5" s="186"/>
      <c r="HI5" s="184"/>
      <c r="HN5" s="16"/>
      <c r="HO5" s="186"/>
      <c r="HP5" s="184"/>
      <c r="HU5" s="16"/>
      <c r="HV5" s="186"/>
      <c r="HW5" s="184"/>
      <c r="IB5" s="16"/>
      <c r="IC5" s="186"/>
      <c r="ID5" s="184"/>
      <c r="II5" s="16"/>
      <c r="IJ5" s="186"/>
      <c r="IK5" s="184"/>
      <c r="IP5" s="16"/>
      <c r="IQ5" s="186"/>
      <c r="IR5" s="184"/>
      <c r="IW5" s="16"/>
      <c r="IX5" s="186"/>
      <c r="IY5" s="184"/>
      <c r="JD5" s="16"/>
      <c r="JE5" s="186"/>
      <c r="JF5" s="184"/>
      <c r="JK5" s="16"/>
      <c r="JL5" s="186"/>
      <c r="JM5" s="184"/>
      <c r="JR5" s="16"/>
      <c r="JS5" s="186"/>
      <c r="JT5" s="184"/>
      <c r="JY5" s="16"/>
      <c r="JZ5" s="186"/>
      <c r="KA5" s="184"/>
      <c r="KF5" s="16"/>
      <c r="KG5" s="186"/>
      <c r="KH5" s="184"/>
      <c r="KM5" s="16"/>
      <c r="KN5" s="186"/>
      <c r="KO5" s="184"/>
      <c r="KT5" s="16"/>
      <c r="KU5" s="186"/>
      <c r="KV5" s="184"/>
      <c r="LA5" s="16"/>
      <c r="LB5" s="186"/>
      <c r="LC5" s="184"/>
      <c r="LH5" s="16"/>
      <c r="LI5" s="186"/>
      <c r="LJ5" s="184"/>
      <c r="LO5" s="16"/>
      <c r="LP5" s="186"/>
      <c r="LQ5" s="184"/>
      <c r="LV5" s="16"/>
      <c r="LW5" s="186"/>
      <c r="LX5" s="184"/>
      <c r="MC5" s="16"/>
      <c r="MD5" s="186"/>
      <c r="ME5" s="184"/>
      <c r="MJ5" s="16"/>
      <c r="MK5" s="186"/>
      <c r="ML5" s="184"/>
      <c r="MQ5" s="16"/>
      <c r="MR5" s="186"/>
      <c r="MS5" s="184"/>
      <c r="MX5" s="16"/>
      <c r="MY5" s="186"/>
      <c r="MZ5" s="184"/>
      <c r="NC5" s="194"/>
    </row>
    <row r="6" spans="1:367" x14ac:dyDescent="0.3">
      <c r="A6" s="199" t="s">
        <v>10</v>
      </c>
      <c r="B6" s="269"/>
      <c r="C6" s="200" t="s">
        <v>9</v>
      </c>
      <c r="D6" s="213" t="s">
        <v>7</v>
      </c>
      <c r="E6" s="16"/>
      <c r="F6" s="186"/>
      <c r="G6" s="184"/>
      <c r="L6" s="16"/>
      <c r="M6" s="186"/>
      <c r="N6" s="206">
        <v>3336</v>
      </c>
      <c r="O6" s="208">
        <v>3363</v>
      </c>
      <c r="P6" s="213" t="s">
        <v>7</v>
      </c>
      <c r="Q6" s="213" t="s">
        <v>7</v>
      </c>
      <c r="R6" s="213" t="s">
        <v>7</v>
      </c>
      <c r="S6" s="16"/>
      <c r="T6" s="186"/>
      <c r="U6" s="209">
        <v>3300</v>
      </c>
      <c r="V6" s="209">
        <v>3300</v>
      </c>
      <c r="W6" s="208">
        <v>3363</v>
      </c>
      <c r="X6" s="208">
        <v>3363</v>
      </c>
      <c r="Y6" s="213" t="s">
        <v>7</v>
      </c>
      <c r="Z6" s="16"/>
      <c r="AA6" s="186"/>
      <c r="AB6" s="209">
        <v>3300</v>
      </c>
      <c r="AC6" s="209">
        <v>3300</v>
      </c>
      <c r="AD6" s="208">
        <v>3363</v>
      </c>
      <c r="AE6" s="208">
        <v>3363</v>
      </c>
      <c r="AF6" s="206">
        <v>3336</v>
      </c>
      <c r="AG6" s="16"/>
      <c r="AH6" s="186"/>
      <c r="AI6" s="200" t="s">
        <v>25</v>
      </c>
      <c r="AJ6" s="213" t="s">
        <v>7</v>
      </c>
      <c r="AK6" s="213" t="s">
        <v>7</v>
      </c>
      <c r="AL6" s="213" t="s">
        <v>7</v>
      </c>
      <c r="AM6" s="213" t="s">
        <v>7</v>
      </c>
      <c r="AN6" s="16"/>
      <c r="AO6" s="186"/>
      <c r="AP6" s="209">
        <v>3300</v>
      </c>
      <c r="AQ6" s="209">
        <v>3300</v>
      </c>
      <c r="AR6" s="208">
        <v>3363</v>
      </c>
      <c r="AS6" s="208">
        <v>3363</v>
      </c>
      <c r="AT6" s="213" t="s">
        <v>7</v>
      </c>
      <c r="AU6" s="16"/>
      <c r="AV6" s="186"/>
      <c r="AW6" s="209">
        <v>3300</v>
      </c>
      <c r="AX6" s="209">
        <v>3300</v>
      </c>
      <c r="AY6" s="209">
        <v>3300</v>
      </c>
      <c r="AZ6" s="213" t="s">
        <v>7</v>
      </c>
      <c r="BA6" s="213" t="s">
        <v>7</v>
      </c>
      <c r="BB6" s="16"/>
      <c r="BC6" s="186"/>
      <c r="BD6" s="209">
        <v>3300</v>
      </c>
      <c r="BE6" s="209">
        <v>3300</v>
      </c>
      <c r="BF6" s="213" t="s">
        <v>7</v>
      </c>
      <c r="BG6" s="213" t="s">
        <v>7</v>
      </c>
      <c r="BH6" s="213" t="s">
        <v>7</v>
      </c>
      <c r="BI6" s="16"/>
      <c r="BJ6" s="186"/>
      <c r="BK6" s="209">
        <v>3300</v>
      </c>
      <c r="BL6" s="209">
        <v>3300</v>
      </c>
      <c r="BM6" s="209">
        <v>3300</v>
      </c>
      <c r="BN6" s="213" t="s">
        <v>7</v>
      </c>
      <c r="BO6" s="213" t="s">
        <v>7</v>
      </c>
      <c r="BP6" s="16"/>
      <c r="BQ6" s="186"/>
      <c r="BR6" s="184"/>
      <c r="BW6" s="16"/>
      <c r="BX6" s="186"/>
      <c r="BY6" s="184"/>
      <c r="CD6" s="16"/>
      <c r="CE6" s="186"/>
      <c r="CF6" s="184"/>
      <c r="CK6" s="16"/>
      <c r="CL6" s="186"/>
      <c r="CM6" s="184"/>
      <c r="CR6" s="16"/>
      <c r="CS6" s="186"/>
      <c r="CT6" s="184"/>
      <c r="CY6" s="16"/>
      <c r="CZ6" s="186"/>
      <c r="DA6" s="184"/>
      <c r="DF6" s="16"/>
      <c r="DG6" s="186"/>
      <c r="DH6" s="184"/>
      <c r="DM6" s="16"/>
      <c r="DN6" s="186"/>
      <c r="DO6" s="184"/>
      <c r="DT6" s="16"/>
      <c r="DU6" s="186"/>
      <c r="DV6" s="184"/>
      <c r="EA6" s="16"/>
      <c r="EB6" s="186"/>
      <c r="EC6" s="184"/>
      <c r="EH6" s="16"/>
      <c r="EI6" s="186"/>
      <c r="EJ6" s="184"/>
      <c r="EO6" s="16"/>
      <c r="EP6" s="186"/>
      <c r="EQ6" s="184"/>
      <c r="EV6" s="16"/>
      <c r="EW6" s="186"/>
      <c r="EX6" s="184"/>
      <c r="FC6" s="16"/>
      <c r="FD6" s="186"/>
      <c r="FE6" s="184"/>
      <c r="FJ6" s="16"/>
      <c r="FK6" s="186"/>
      <c r="FL6" s="184"/>
      <c r="FQ6" s="16"/>
      <c r="FR6" s="186"/>
      <c r="FS6" s="184"/>
      <c r="FX6" s="16"/>
      <c r="FY6" s="186"/>
      <c r="FZ6" s="184"/>
      <c r="GE6" s="16"/>
      <c r="GF6" s="186"/>
      <c r="GG6" s="184"/>
      <c r="GL6" s="16"/>
      <c r="GM6" s="186"/>
      <c r="GN6" s="184"/>
      <c r="GS6" s="16"/>
      <c r="GT6" s="186"/>
      <c r="GU6" s="184"/>
      <c r="GZ6" s="16"/>
      <c r="HA6" s="186"/>
      <c r="HB6" s="184"/>
      <c r="HG6" s="16"/>
      <c r="HH6" s="186"/>
      <c r="HI6" s="184"/>
      <c r="HN6" s="16"/>
      <c r="HO6" s="186"/>
      <c r="HP6" s="184"/>
      <c r="HU6" s="16"/>
      <c r="HV6" s="186"/>
      <c r="HW6" s="184"/>
      <c r="IB6" s="16"/>
      <c r="IC6" s="186"/>
      <c r="ID6" s="184"/>
      <c r="II6" s="16"/>
      <c r="IJ6" s="186"/>
      <c r="IK6" s="184"/>
      <c r="IP6" s="16"/>
      <c r="IQ6" s="186"/>
      <c r="IR6" s="184"/>
      <c r="IW6" s="16"/>
      <c r="IX6" s="186"/>
      <c r="IY6" s="184"/>
      <c r="JD6" s="16"/>
      <c r="JE6" s="186"/>
      <c r="JF6" s="184"/>
      <c r="JK6" s="16"/>
      <c r="JL6" s="186"/>
      <c r="JM6" s="184"/>
      <c r="JR6" s="16"/>
      <c r="JS6" s="186"/>
      <c r="JT6" s="184"/>
      <c r="JY6" s="16"/>
      <c r="JZ6" s="186"/>
      <c r="KA6" s="184"/>
      <c r="KF6" s="16"/>
      <c r="KG6" s="186"/>
      <c r="KH6" s="184"/>
      <c r="KM6" s="16"/>
      <c r="KN6" s="186"/>
      <c r="KO6" s="184"/>
      <c r="KT6" s="16"/>
      <c r="KU6" s="186"/>
      <c r="KV6" s="184"/>
      <c r="LA6" s="16"/>
      <c r="LB6" s="186"/>
      <c r="LC6" s="184"/>
      <c r="LH6" s="16"/>
      <c r="LI6" s="186"/>
      <c r="LJ6" s="184"/>
      <c r="LO6" s="16"/>
      <c r="LP6" s="186"/>
      <c r="LQ6" s="184"/>
      <c r="LV6" s="16"/>
      <c r="LW6" s="186"/>
      <c r="LX6" s="184"/>
      <c r="MC6" s="16"/>
      <c r="MD6" s="186"/>
      <c r="ME6" s="184"/>
      <c r="MJ6" s="16"/>
      <c r="MK6" s="186"/>
      <c r="ML6" s="184"/>
      <c r="MQ6" s="16"/>
      <c r="MR6" s="186"/>
      <c r="MS6" s="184"/>
      <c r="MX6" s="16"/>
      <c r="MY6" s="186"/>
      <c r="MZ6" s="184"/>
      <c r="NC6" s="194"/>
    </row>
    <row r="7" spans="1:367" x14ac:dyDescent="0.3">
      <c r="A7" s="200" t="s">
        <v>9</v>
      </c>
      <c r="B7" s="269"/>
      <c r="C7" s="200" t="s">
        <v>9</v>
      </c>
      <c r="D7" s="213" t="s">
        <v>7</v>
      </c>
      <c r="E7" s="16"/>
      <c r="F7" s="186"/>
      <c r="G7" s="184"/>
      <c r="L7" s="16"/>
      <c r="M7" s="186"/>
      <c r="N7" s="208">
        <v>3363</v>
      </c>
      <c r="O7" s="208">
        <v>3363</v>
      </c>
      <c r="P7" s="213" t="s">
        <v>7</v>
      </c>
      <c r="Q7" s="213" t="s">
        <v>7</v>
      </c>
      <c r="R7" s="213" t="s">
        <v>7</v>
      </c>
      <c r="S7" s="16"/>
      <c r="T7" s="186"/>
      <c r="U7" s="209">
        <v>3300</v>
      </c>
      <c r="V7" s="209">
        <v>3300</v>
      </c>
      <c r="W7" s="208">
        <v>3363</v>
      </c>
      <c r="X7" s="207">
        <v>3272</v>
      </c>
      <c r="Y7" s="213" t="s">
        <v>7</v>
      </c>
      <c r="Z7" s="16"/>
      <c r="AA7" s="186"/>
      <c r="AB7" s="209">
        <v>3300</v>
      </c>
      <c r="AC7" s="209">
        <v>3300</v>
      </c>
      <c r="AD7" s="208">
        <v>3363</v>
      </c>
      <c r="AE7" s="208">
        <v>3363</v>
      </c>
      <c r="AF7" s="206">
        <v>3336</v>
      </c>
      <c r="AG7" s="16"/>
      <c r="AH7" s="186"/>
      <c r="AI7" s="200" t="s">
        <v>25</v>
      </c>
      <c r="AJ7" s="213" t="s">
        <v>7</v>
      </c>
      <c r="AK7" s="213" t="s">
        <v>7</v>
      </c>
      <c r="AL7" s="213" t="s">
        <v>7</v>
      </c>
      <c r="AM7" s="213" t="s">
        <v>7</v>
      </c>
      <c r="AN7" s="16"/>
      <c r="AO7" s="186"/>
      <c r="AP7" s="209">
        <v>3300</v>
      </c>
      <c r="AQ7" s="209">
        <v>3300</v>
      </c>
      <c r="AR7" s="208">
        <v>3363</v>
      </c>
      <c r="AS7" s="208">
        <v>3363</v>
      </c>
      <c r="AT7" s="213" t="s">
        <v>7</v>
      </c>
      <c r="AU7" s="16"/>
      <c r="AV7" s="186"/>
      <c r="AW7" s="209">
        <v>3300</v>
      </c>
      <c r="AX7" s="209">
        <v>3300</v>
      </c>
      <c r="AY7" s="209">
        <v>3300</v>
      </c>
      <c r="AZ7" s="213" t="s">
        <v>7</v>
      </c>
      <c r="BA7" s="213" t="s">
        <v>7</v>
      </c>
      <c r="BB7" s="16"/>
      <c r="BC7" s="186"/>
      <c r="BD7" s="209">
        <v>3300</v>
      </c>
      <c r="BE7" s="209">
        <v>3300</v>
      </c>
      <c r="BF7" s="213" t="s">
        <v>7</v>
      </c>
      <c r="BG7" s="213" t="s">
        <v>7</v>
      </c>
      <c r="BH7" s="213" t="s">
        <v>7</v>
      </c>
      <c r="BI7" s="16"/>
      <c r="BJ7" s="186"/>
      <c r="BK7" s="209">
        <v>3300</v>
      </c>
      <c r="BL7" s="209">
        <v>3300</v>
      </c>
      <c r="BM7" s="209">
        <v>3300</v>
      </c>
      <c r="BN7" s="213" t="s">
        <v>7</v>
      </c>
      <c r="BO7" s="213" t="s">
        <v>7</v>
      </c>
      <c r="BP7" s="16"/>
      <c r="BQ7" s="186"/>
      <c r="BR7" s="184"/>
      <c r="BW7" s="16"/>
      <c r="BX7" s="186"/>
      <c r="BY7" s="184"/>
      <c r="CD7" s="16"/>
      <c r="CE7" s="186"/>
      <c r="CF7" s="184"/>
      <c r="CK7" s="16"/>
      <c r="CL7" s="186"/>
      <c r="CM7" s="184"/>
      <c r="CR7" s="16"/>
      <c r="CS7" s="186"/>
      <c r="CT7" s="184"/>
      <c r="CY7" s="16"/>
      <c r="CZ7" s="186"/>
      <c r="DA7" s="184"/>
      <c r="DF7" s="16"/>
      <c r="DG7" s="186"/>
      <c r="DH7" s="184"/>
      <c r="DM7" s="16"/>
      <c r="DN7" s="186"/>
      <c r="DO7" s="184"/>
      <c r="DT7" s="16"/>
      <c r="DU7" s="186"/>
      <c r="DV7" s="184"/>
      <c r="EA7" s="16"/>
      <c r="EB7" s="186"/>
      <c r="EC7" s="184"/>
      <c r="EH7" s="16"/>
      <c r="EI7" s="186"/>
      <c r="EJ7" s="184"/>
      <c r="EO7" s="16"/>
      <c r="EP7" s="186"/>
      <c r="EQ7" s="184"/>
      <c r="EV7" s="16"/>
      <c r="EW7" s="186"/>
      <c r="EX7" s="184"/>
      <c r="FC7" s="16"/>
      <c r="FD7" s="186"/>
      <c r="FE7" s="184"/>
      <c r="FJ7" s="16"/>
      <c r="FK7" s="186"/>
      <c r="FL7" s="184"/>
      <c r="FQ7" s="16"/>
      <c r="FR7" s="186"/>
      <c r="FS7" s="184"/>
      <c r="FX7" s="16"/>
      <c r="FY7" s="186"/>
      <c r="FZ7" s="184"/>
      <c r="GE7" s="16"/>
      <c r="GF7" s="186"/>
      <c r="GG7" s="184"/>
      <c r="GL7" s="16"/>
      <c r="GM7" s="186"/>
      <c r="GN7" s="184"/>
      <c r="GS7" s="16"/>
      <c r="GT7" s="186"/>
      <c r="GU7" s="184"/>
      <c r="GZ7" s="16"/>
      <c r="HA7" s="186"/>
      <c r="HB7" s="184"/>
      <c r="HG7" s="16"/>
      <c r="HH7" s="186"/>
      <c r="HI7" s="184"/>
      <c r="HN7" s="16"/>
      <c r="HO7" s="186"/>
      <c r="HP7" s="184"/>
      <c r="HU7" s="16"/>
      <c r="HV7" s="186"/>
      <c r="HW7" s="184"/>
      <c r="IB7" s="16"/>
      <c r="IC7" s="186"/>
      <c r="ID7" s="184"/>
      <c r="II7" s="16"/>
      <c r="IJ7" s="186"/>
      <c r="IK7" s="184"/>
      <c r="IP7" s="16"/>
      <c r="IQ7" s="186"/>
      <c r="IR7" s="184"/>
      <c r="IW7" s="16"/>
      <c r="IX7" s="186"/>
      <c r="IY7" s="184"/>
      <c r="JD7" s="16"/>
      <c r="JE7" s="186"/>
      <c r="JF7" s="184"/>
      <c r="JK7" s="16"/>
      <c r="JL7" s="186"/>
      <c r="JM7" s="184"/>
      <c r="JR7" s="16"/>
      <c r="JS7" s="186"/>
      <c r="JT7" s="184"/>
      <c r="JY7" s="16"/>
      <c r="JZ7" s="186"/>
      <c r="KA7" s="184"/>
      <c r="KF7" s="16"/>
      <c r="KG7" s="186"/>
      <c r="KH7" s="184"/>
      <c r="KM7" s="16"/>
      <c r="KN7" s="186"/>
      <c r="KO7" s="184"/>
      <c r="KT7" s="16"/>
      <c r="KU7" s="186"/>
      <c r="KV7" s="184"/>
      <c r="LA7" s="16"/>
      <c r="LB7" s="186"/>
      <c r="LC7" s="184"/>
      <c r="LH7" s="16"/>
      <c r="LI7" s="186"/>
      <c r="LJ7" s="184"/>
      <c r="LO7" s="16"/>
      <c r="LP7" s="186"/>
      <c r="LQ7" s="184"/>
      <c r="LV7" s="16"/>
      <c r="LW7" s="186"/>
      <c r="LX7" s="184"/>
      <c r="MC7" s="16"/>
      <c r="MD7" s="186"/>
      <c r="ME7" s="184"/>
      <c r="MJ7" s="16"/>
      <c r="MK7" s="186"/>
      <c r="ML7" s="184"/>
      <c r="MQ7" s="16"/>
      <c r="MR7" s="186"/>
      <c r="MS7" s="184"/>
      <c r="MX7" s="16"/>
      <c r="MY7" s="186"/>
      <c r="MZ7" s="184"/>
      <c r="NC7" s="194"/>
    </row>
    <row r="8" spans="1:367" x14ac:dyDescent="0.3">
      <c r="A8" s="223">
        <v>3268</v>
      </c>
      <c r="B8" s="269"/>
      <c r="C8" s="200" t="s">
        <v>9</v>
      </c>
      <c r="D8" s="213" t="s">
        <v>7</v>
      </c>
      <c r="E8" s="16"/>
      <c r="F8" s="186"/>
      <c r="G8" s="184"/>
      <c r="L8" s="16"/>
      <c r="M8" s="186"/>
      <c r="N8" s="208">
        <v>3363</v>
      </c>
      <c r="O8" s="208">
        <v>3363</v>
      </c>
      <c r="P8" s="213" t="s">
        <v>7</v>
      </c>
      <c r="Q8" s="213" t="s">
        <v>7</v>
      </c>
      <c r="R8" s="213" t="s">
        <v>7</v>
      </c>
      <c r="S8" s="16"/>
      <c r="T8" s="186"/>
      <c r="U8" s="209">
        <v>3300</v>
      </c>
      <c r="V8" s="209">
        <v>3300</v>
      </c>
      <c r="W8" s="208">
        <v>3363</v>
      </c>
      <c r="X8" s="213" t="s">
        <v>7</v>
      </c>
      <c r="Y8" s="213" t="s">
        <v>7</v>
      </c>
      <c r="Z8" s="16"/>
      <c r="AA8" s="186"/>
      <c r="AB8" s="209">
        <v>3300</v>
      </c>
      <c r="AC8" s="209">
        <v>3300</v>
      </c>
      <c r="AD8" s="208">
        <v>3363</v>
      </c>
      <c r="AE8" s="208">
        <v>3363</v>
      </c>
      <c r="AF8" s="206">
        <v>3336</v>
      </c>
      <c r="AG8" s="16"/>
      <c r="AH8" s="186"/>
      <c r="AI8" s="200" t="s">
        <v>25</v>
      </c>
      <c r="AJ8" s="213" t="s">
        <v>7</v>
      </c>
      <c r="AK8" s="213" t="s">
        <v>7</v>
      </c>
      <c r="AL8" s="213" t="s">
        <v>7</v>
      </c>
      <c r="AM8" s="213" t="s">
        <v>7</v>
      </c>
      <c r="AN8" s="16"/>
      <c r="AO8" s="186"/>
      <c r="AP8" s="209">
        <v>3300</v>
      </c>
      <c r="AQ8" s="209">
        <v>3300</v>
      </c>
      <c r="AR8" s="208">
        <v>3363</v>
      </c>
      <c r="AS8" s="208">
        <v>3363</v>
      </c>
      <c r="AT8" s="213" t="s">
        <v>7</v>
      </c>
      <c r="AU8" s="16"/>
      <c r="AV8" s="186"/>
      <c r="AW8" s="209">
        <v>3300</v>
      </c>
      <c r="AX8" s="209">
        <v>3300</v>
      </c>
      <c r="AY8" s="209">
        <v>3300</v>
      </c>
      <c r="AZ8" s="213" t="s">
        <v>7</v>
      </c>
      <c r="BA8" s="213" t="s">
        <v>7</v>
      </c>
      <c r="BB8" s="16"/>
      <c r="BC8" s="186"/>
      <c r="BD8" s="209">
        <v>3300</v>
      </c>
      <c r="BE8" s="209">
        <v>3300</v>
      </c>
      <c r="BF8" s="213" t="s">
        <v>7</v>
      </c>
      <c r="BG8" s="213" t="s">
        <v>7</v>
      </c>
      <c r="BH8" s="213" t="s">
        <v>7</v>
      </c>
      <c r="BI8" s="16"/>
      <c r="BJ8" s="186"/>
      <c r="BK8" s="209">
        <v>3300</v>
      </c>
      <c r="BL8" s="209">
        <v>3300</v>
      </c>
      <c r="BM8" s="209">
        <v>3300</v>
      </c>
      <c r="BN8" s="213" t="s">
        <v>7</v>
      </c>
      <c r="BO8" s="213" t="s">
        <v>7</v>
      </c>
      <c r="BP8" s="16"/>
      <c r="BQ8" s="186"/>
      <c r="BR8" s="184"/>
      <c r="BW8" s="16"/>
      <c r="BX8" s="186"/>
      <c r="BY8" s="184"/>
      <c r="CD8" s="16"/>
      <c r="CE8" s="186"/>
      <c r="CF8" s="184"/>
      <c r="CK8" s="16"/>
      <c r="CL8" s="186"/>
      <c r="CM8" s="184"/>
      <c r="CR8" s="16"/>
      <c r="CS8" s="186"/>
      <c r="CT8" s="184"/>
      <c r="CY8" s="16"/>
      <c r="CZ8" s="186"/>
      <c r="DA8" s="184"/>
      <c r="DF8" s="16"/>
      <c r="DG8" s="186"/>
      <c r="DH8" s="184"/>
      <c r="DM8" s="16"/>
      <c r="DN8" s="186"/>
      <c r="DO8" s="184"/>
      <c r="DT8" s="16"/>
      <c r="DU8" s="186"/>
      <c r="DV8" s="184"/>
      <c r="EA8" s="16"/>
      <c r="EB8" s="186"/>
      <c r="EC8" s="184"/>
      <c r="EH8" s="16"/>
      <c r="EI8" s="186"/>
      <c r="EJ8" s="184"/>
      <c r="EO8" s="16"/>
      <c r="EP8" s="186"/>
      <c r="EQ8" s="184"/>
      <c r="EV8" s="16"/>
      <c r="EW8" s="186"/>
      <c r="EX8" s="184"/>
      <c r="FC8" s="16"/>
      <c r="FD8" s="186"/>
      <c r="FE8" s="184"/>
      <c r="FJ8" s="16"/>
      <c r="FK8" s="186"/>
      <c r="FL8" s="184"/>
      <c r="FQ8" s="16"/>
      <c r="FR8" s="186"/>
      <c r="FS8" s="184"/>
      <c r="FX8" s="16"/>
      <c r="FY8" s="186"/>
      <c r="FZ8" s="184"/>
      <c r="GE8" s="16"/>
      <c r="GF8" s="186"/>
      <c r="GG8" s="184"/>
      <c r="GL8" s="16"/>
      <c r="GM8" s="186"/>
      <c r="GN8" s="184"/>
      <c r="GS8" s="16"/>
      <c r="GT8" s="186"/>
      <c r="GU8" s="184"/>
      <c r="GZ8" s="16"/>
      <c r="HA8" s="186"/>
      <c r="HB8" s="184"/>
      <c r="HG8" s="16"/>
      <c r="HH8" s="186"/>
      <c r="HI8" s="184"/>
      <c r="HN8" s="16"/>
      <c r="HO8" s="186"/>
      <c r="HP8" s="184"/>
      <c r="HU8" s="16"/>
      <c r="HV8" s="186"/>
      <c r="HW8" s="184"/>
      <c r="IB8" s="16"/>
      <c r="IC8" s="186"/>
      <c r="ID8" s="184"/>
      <c r="II8" s="16"/>
      <c r="IJ8" s="186"/>
      <c r="IK8" s="184"/>
      <c r="IP8" s="16"/>
      <c r="IQ8" s="186"/>
      <c r="IR8" s="184"/>
      <c r="IW8" s="16"/>
      <c r="IX8" s="186"/>
      <c r="IY8" s="184"/>
      <c r="JD8" s="16"/>
      <c r="JE8" s="186"/>
      <c r="JF8" s="184"/>
      <c r="JK8" s="16"/>
      <c r="JL8" s="186"/>
      <c r="JM8" s="184"/>
      <c r="JR8" s="16"/>
      <c r="JS8" s="186"/>
      <c r="JT8" s="184"/>
      <c r="JY8" s="16"/>
      <c r="JZ8" s="186"/>
      <c r="KA8" s="184"/>
      <c r="KF8" s="16"/>
      <c r="KG8" s="186"/>
      <c r="KH8" s="184"/>
      <c r="KM8" s="16"/>
      <c r="KN8" s="186"/>
      <c r="KO8" s="184"/>
      <c r="KT8" s="16"/>
      <c r="KU8" s="186"/>
      <c r="KV8" s="184"/>
      <c r="LA8" s="16"/>
      <c r="LB8" s="186"/>
      <c r="LC8" s="184"/>
      <c r="LH8" s="16"/>
      <c r="LI8" s="186"/>
      <c r="LJ8" s="184"/>
      <c r="LO8" s="16"/>
      <c r="LP8" s="186"/>
      <c r="LQ8" s="184"/>
      <c r="LV8" s="16"/>
      <c r="LW8" s="186"/>
      <c r="LX8" s="184"/>
      <c r="MC8" s="16"/>
      <c r="MD8" s="186"/>
      <c r="ME8" s="184"/>
      <c r="MJ8" s="16"/>
      <c r="MK8" s="186"/>
      <c r="ML8" s="184"/>
      <c r="MQ8" s="16"/>
      <c r="MR8" s="186"/>
      <c r="MS8" s="184"/>
      <c r="MX8" s="16"/>
      <c r="MY8" s="186"/>
      <c r="MZ8" s="184"/>
      <c r="NC8" s="194"/>
    </row>
    <row r="9" spans="1:367" x14ac:dyDescent="0.3">
      <c r="A9" s="223">
        <v>3335</v>
      </c>
      <c r="B9" s="269"/>
      <c r="C9" s="200" t="s">
        <v>9</v>
      </c>
      <c r="D9" s="213" t="s">
        <v>7</v>
      </c>
      <c r="E9" s="16"/>
      <c r="F9" s="186"/>
      <c r="G9" s="184"/>
      <c r="L9" s="16"/>
      <c r="M9" s="186"/>
      <c r="N9" s="208">
        <v>3363</v>
      </c>
      <c r="O9" s="208">
        <v>3363</v>
      </c>
      <c r="P9" s="213" t="s">
        <v>7</v>
      </c>
      <c r="Q9" s="213" t="s">
        <v>7</v>
      </c>
      <c r="R9" s="213" t="s">
        <v>7</v>
      </c>
      <c r="S9" s="16"/>
      <c r="T9" s="186"/>
      <c r="U9" s="209">
        <v>3300</v>
      </c>
      <c r="V9" s="209">
        <v>3300</v>
      </c>
      <c r="W9" s="208">
        <v>3363</v>
      </c>
      <c r="X9" s="213" t="s">
        <v>7</v>
      </c>
      <c r="Y9" s="213" t="s">
        <v>7</v>
      </c>
      <c r="Z9" s="16"/>
      <c r="AA9" s="186"/>
      <c r="AB9" s="209">
        <v>3300</v>
      </c>
      <c r="AC9" s="209">
        <v>3300</v>
      </c>
      <c r="AD9" s="208">
        <v>3363</v>
      </c>
      <c r="AE9" s="208">
        <v>3363</v>
      </c>
      <c r="AF9" s="206">
        <v>3336</v>
      </c>
      <c r="AG9" s="16"/>
      <c r="AH9" s="186"/>
      <c r="AI9" s="200" t="s">
        <v>25</v>
      </c>
      <c r="AJ9" s="213" t="s">
        <v>7</v>
      </c>
      <c r="AK9" s="213" t="s">
        <v>7</v>
      </c>
      <c r="AL9" s="213" t="s">
        <v>7</v>
      </c>
      <c r="AM9" s="213" t="s">
        <v>7</v>
      </c>
      <c r="AN9" s="16"/>
      <c r="AO9" s="186"/>
      <c r="AP9" s="209">
        <v>3300</v>
      </c>
      <c r="AQ9" s="209">
        <v>3300</v>
      </c>
      <c r="AR9" s="208">
        <v>3363</v>
      </c>
      <c r="AS9" s="208">
        <v>3363</v>
      </c>
      <c r="AT9" s="213" t="s">
        <v>7</v>
      </c>
      <c r="AU9" s="16"/>
      <c r="AV9" s="186"/>
      <c r="AW9" s="209">
        <v>3300</v>
      </c>
      <c r="AX9" s="209">
        <v>3300</v>
      </c>
      <c r="AY9" s="209">
        <v>3300</v>
      </c>
      <c r="AZ9" s="213" t="s">
        <v>7</v>
      </c>
      <c r="BA9" s="213" t="s">
        <v>7</v>
      </c>
      <c r="BB9" s="16"/>
      <c r="BC9" s="186"/>
      <c r="BD9" s="209">
        <v>3300</v>
      </c>
      <c r="BE9" s="209">
        <v>3300</v>
      </c>
      <c r="BF9" s="213" t="s">
        <v>7</v>
      </c>
      <c r="BG9" s="213" t="s">
        <v>7</v>
      </c>
      <c r="BH9" s="213" t="s">
        <v>7</v>
      </c>
      <c r="BI9" s="16"/>
      <c r="BJ9" s="186"/>
      <c r="BK9" s="209">
        <v>3300</v>
      </c>
      <c r="BL9" s="209">
        <v>3300</v>
      </c>
      <c r="BM9" s="209">
        <v>3300</v>
      </c>
      <c r="BN9" s="213" t="s">
        <v>7</v>
      </c>
      <c r="BO9" s="213" t="s">
        <v>7</v>
      </c>
      <c r="BP9" s="16"/>
      <c r="BQ9" s="186"/>
      <c r="BR9" s="184"/>
      <c r="BW9" s="16"/>
      <c r="BX9" s="186"/>
      <c r="BY9" s="184"/>
      <c r="CD9" s="16"/>
      <c r="CE9" s="186"/>
      <c r="CF9" s="184"/>
      <c r="CK9" s="16"/>
      <c r="CL9" s="186"/>
      <c r="CM9" s="184"/>
      <c r="CR9" s="16"/>
      <c r="CS9" s="186"/>
      <c r="CT9" s="184"/>
      <c r="CY9" s="16"/>
      <c r="CZ9" s="186"/>
      <c r="DA9" s="184"/>
      <c r="DF9" s="16"/>
      <c r="DG9" s="186"/>
      <c r="DH9" s="184"/>
      <c r="DM9" s="16"/>
      <c r="DN9" s="186"/>
      <c r="DO9" s="184"/>
      <c r="DT9" s="16"/>
      <c r="DU9" s="186"/>
      <c r="DV9" s="184"/>
      <c r="EA9" s="16"/>
      <c r="EB9" s="186"/>
      <c r="EC9" s="184"/>
      <c r="EH9" s="16"/>
      <c r="EI9" s="186"/>
      <c r="EJ9" s="184"/>
      <c r="EO9" s="16"/>
      <c r="EP9" s="186"/>
      <c r="EQ9" s="184"/>
      <c r="EV9" s="16"/>
      <c r="EW9" s="186"/>
      <c r="EX9" s="184"/>
      <c r="FC9" s="16"/>
      <c r="FD9" s="186"/>
      <c r="FE9" s="184"/>
      <c r="FJ9" s="16"/>
      <c r="FK9" s="186"/>
      <c r="FL9" s="184"/>
      <c r="FQ9" s="16"/>
      <c r="FR9" s="186"/>
      <c r="FS9" s="184"/>
      <c r="FX9" s="16"/>
      <c r="FY9" s="186"/>
      <c r="FZ9" s="184"/>
      <c r="GE9" s="16"/>
      <c r="GF9" s="186"/>
      <c r="GG9" s="184"/>
      <c r="GL9" s="16"/>
      <c r="GM9" s="186"/>
      <c r="GN9" s="184"/>
      <c r="GS9" s="16"/>
      <c r="GT9" s="186"/>
      <c r="GU9" s="184"/>
      <c r="GZ9" s="16"/>
      <c r="HA9" s="186"/>
      <c r="HB9" s="184"/>
      <c r="HG9" s="16"/>
      <c r="HH9" s="186"/>
      <c r="HI9" s="184"/>
      <c r="HN9" s="16"/>
      <c r="HO9" s="186"/>
      <c r="HP9" s="184"/>
      <c r="HU9" s="16"/>
      <c r="HV9" s="186"/>
      <c r="HW9" s="184"/>
      <c r="IB9" s="16"/>
      <c r="IC9" s="186"/>
      <c r="ID9" s="184"/>
      <c r="II9" s="16"/>
      <c r="IJ9" s="186"/>
      <c r="IK9" s="184"/>
      <c r="IP9" s="16"/>
      <c r="IQ9" s="186"/>
      <c r="IR9" s="184"/>
      <c r="IW9" s="16"/>
      <c r="IX9" s="186"/>
      <c r="IY9" s="184"/>
      <c r="JD9" s="16"/>
      <c r="JE9" s="186"/>
      <c r="JF9" s="184"/>
      <c r="JK9" s="16"/>
      <c r="JL9" s="186"/>
      <c r="JM9" s="184"/>
      <c r="JR9" s="16"/>
      <c r="JS9" s="186"/>
      <c r="JT9" s="184"/>
      <c r="JY9" s="16"/>
      <c r="JZ9" s="186"/>
      <c r="KA9" s="184"/>
      <c r="KF9" s="16"/>
      <c r="KG9" s="186"/>
      <c r="KH9" s="184"/>
      <c r="KM9" s="16"/>
      <c r="KN9" s="186"/>
      <c r="KO9" s="184"/>
      <c r="KT9" s="16"/>
      <c r="KU9" s="186"/>
      <c r="KV9" s="184"/>
      <c r="LA9" s="16"/>
      <c r="LB9" s="186"/>
      <c r="LC9" s="184"/>
      <c r="LH9" s="16"/>
      <c r="LI9" s="186"/>
      <c r="LJ9" s="184"/>
      <c r="LO9" s="16"/>
      <c r="LP9" s="186"/>
      <c r="LQ9" s="184"/>
      <c r="LV9" s="16"/>
      <c r="LW9" s="186"/>
      <c r="LX9" s="184"/>
      <c r="MC9" s="16"/>
      <c r="MD9" s="186"/>
      <c r="ME9" s="184"/>
      <c r="MJ9" s="16"/>
      <c r="MK9" s="186"/>
      <c r="ML9" s="184"/>
      <c r="MQ9" s="16"/>
      <c r="MR9" s="186"/>
      <c r="MS9" s="184"/>
      <c r="MX9" s="16"/>
      <c r="MY9" s="186"/>
      <c r="MZ9" s="184"/>
      <c r="NC9" s="194"/>
    </row>
    <row r="10" spans="1:367" x14ac:dyDescent="0.3">
      <c r="A10" s="202">
        <v>3332</v>
      </c>
      <c r="B10" s="269"/>
      <c r="C10" s="200" t="s">
        <v>9</v>
      </c>
      <c r="D10" s="213" t="s">
        <v>7</v>
      </c>
      <c r="E10" s="16"/>
      <c r="F10" s="186"/>
      <c r="G10" s="184"/>
      <c r="L10" s="16"/>
      <c r="M10" s="186"/>
      <c r="N10" s="208">
        <v>3363</v>
      </c>
      <c r="O10" s="208">
        <v>3363</v>
      </c>
      <c r="P10" s="213" t="s">
        <v>7</v>
      </c>
      <c r="Q10" s="213" t="s">
        <v>7</v>
      </c>
      <c r="R10" s="213" t="s">
        <v>7</v>
      </c>
      <c r="S10" s="16"/>
      <c r="T10" s="186"/>
      <c r="U10" s="209">
        <v>3300</v>
      </c>
      <c r="V10" s="208">
        <v>3363</v>
      </c>
      <c r="W10" s="208">
        <v>3363</v>
      </c>
      <c r="X10" s="213" t="s">
        <v>7</v>
      </c>
      <c r="Y10" s="213" t="s">
        <v>7</v>
      </c>
      <c r="Z10" s="16"/>
      <c r="AA10" s="186"/>
      <c r="AB10" s="209">
        <v>3300</v>
      </c>
      <c r="AC10" s="209">
        <v>3300</v>
      </c>
      <c r="AD10" s="208">
        <v>3363</v>
      </c>
      <c r="AE10" s="206">
        <v>3336</v>
      </c>
      <c r="AF10" s="206">
        <v>3336</v>
      </c>
      <c r="AG10" s="16"/>
      <c r="AH10" s="186"/>
      <c r="AI10" s="200" t="s">
        <v>25</v>
      </c>
      <c r="AJ10" s="213" t="s">
        <v>7</v>
      </c>
      <c r="AK10" s="213" t="s">
        <v>7</v>
      </c>
      <c r="AL10" s="213" t="s">
        <v>7</v>
      </c>
      <c r="AM10" s="213" t="s">
        <v>7</v>
      </c>
      <c r="AN10" s="16"/>
      <c r="AO10" s="186"/>
      <c r="AP10" s="209">
        <v>3300</v>
      </c>
      <c r="AQ10" s="209">
        <v>3300</v>
      </c>
      <c r="AR10" s="208">
        <v>3363</v>
      </c>
      <c r="AS10" s="213" t="s">
        <v>7</v>
      </c>
      <c r="AT10" s="213" t="s">
        <v>7</v>
      </c>
      <c r="AU10" s="16"/>
      <c r="AV10" s="186"/>
      <c r="AW10" s="209">
        <v>3300</v>
      </c>
      <c r="AX10" s="209">
        <v>3300</v>
      </c>
      <c r="AY10" s="209">
        <v>3300</v>
      </c>
      <c r="AZ10" s="213" t="s">
        <v>7</v>
      </c>
      <c r="BA10" s="213" t="s">
        <v>7</v>
      </c>
      <c r="BB10" s="16"/>
      <c r="BC10" s="186"/>
      <c r="BD10" s="209">
        <v>3300</v>
      </c>
      <c r="BE10" s="209">
        <v>3300</v>
      </c>
      <c r="BF10" s="213" t="s">
        <v>7</v>
      </c>
      <c r="BG10" s="213" t="s">
        <v>7</v>
      </c>
      <c r="BH10" s="213" t="s">
        <v>7</v>
      </c>
      <c r="BI10" s="16"/>
      <c r="BJ10" s="186"/>
      <c r="BK10" s="209">
        <v>3300</v>
      </c>
      <c r="BL10" s="209">
        <v>3300</v>
      </c>
      <c r="BM10" s="209">
        <v>3300</v>
      </c>
      <c r="BN10" s="213" t="s">
        <v>7</v>
      </c>
      <c r="BO10" s="213" t="s">
        <v>7</v>
      </c>
      <c r="BP10" s="16"/>
      <c r="BQ10" s="186"/>
      <c r="BR10" s="184"/>
      <c r="BW10" s="16"/>
      <c r="BX10" s="186"/>
      <c r="BY10" s="184"/>
      <c r="CD10" s="16"/>
      <c r="CE10" s="186"/>
      <c r="CF10" s="184"/>
      <c r="CK10" s="16"/>
      <c r="CL10" s="186"/>
      <c r="CM10" s="184"/>
      <c r="CR10" s="16"/>
      <c r="CS10" s="186"/>
      <c r="CT10" s="184"/>
      <c r="CY10" s="16"/>
      <c r="CZ10" s="186"/>
      <c r="DA10" s="184"/>
      <c r="DF10" s="16"/>
      <c r="DG10" s="186"/>
      <c r="DH10" s="184"/>
      <c r="DM10" s="16"/>
      <c r="DN10" s="186"/>
      <c r="DO10" s="184"/>
      <c r="DT10" s="16"/>
      <c r="DU10" s="186"/>
      <c r="DV10" s="184"/>
      <c r="EA10" s="16"/>
      <c r="EB10" s="186"/>
      <c r="EC10" s="184"/>
      <c r="EH10" s="16"/>
      <c r="EI10" s="186"/>
      <c r="EJ10" s="184"/>
      <c r="EO10" s="16"/>
      <c r="EP10" s="186"/>
      <c r="EQ10" s="184"/>
      <c r="EV10" s="16"/>
      <c r="EW10" s="186"/>
      <c r="EX10" s="184"/>
      <c r="FC10" s="16"/>
      <c r="FD10" s="186"/>
      <c r="FE10" s="184"/>
      <c r="FJ10" s="16"/>
      <c r="FK10" s="186"/>
      <c r="FL10" s="184"/>
      <c r="FQ10" s="16"/>
      <c r="FR10" s="186"/>
      <c r="FS10" s="184"/>
      <c r="FX10" s="16"/>
      <c r="FY10" s="186"/>
      <c r="FZ10" s="184"/>
      <c r="GE10" s="16"/>
      <c r="GF10" s="186"/>
      <c r="GG10" s="184"/>
      <c r="GL10" s="16"/>
      <c r="GM10" s="186"/>
      <c r="GN10" s="184"/>
      <c r="GS10" s="16"/>
      <c r="GT10" s="186"/>
      <c r="GU10" s="184"/>
      <c r="GZ10" s="16"/>
      <c r="HA10" s="186"/>
      <c r="HB10" s="184"/>
      <c r="HG10" s="16"/>
      <c r="HH10" s="186"/>
      <c r="HI10" s="184"/>
      <c r="HN10" s="16"/>
      <c r="HO10" s="186"/>
      <c r="HP10" s="184"/>
      <c r="HU10" s="16"/>
      <c r="HV10" s="186"/>
      <c r="HW10" s="184"/>
      <c r="IB10" s="16"/>
      <c r="IC10" s="186"/>
      <c r="ID10" s="184"/>
      <c r="II10" s="16"/>
      <c r="IJ10" s="186"/>
      <c r="IK10" s="184"/>
      <c r="IP10" s="16"/>
      <c r="IQ10" s="186"/>
      <c r="IR10" s="184"/>
      <c r="IW10" s="16"/>
      <c r="IX10" s="186"/>
      <c r="IY10" s="184"/>
      <c r="JD10" s="16"/>
      <c r="JE10" s="186"/>
      <c r="JF10" s="184"/>
      <c r="JK10" s="16"/>
      <c r="JL10" s="186"/>
      <c r="JM10" s="184"/>
      <c r="JR10" s="16"/>
      <c r="JS10" s="186"/>
      <c r="JT10" s="184"/>
      <c r="JY10" s="16"/>
      <c r="JZ10" s="186"/>
      <c r="KA10" s="184"/>
      <c r="KF10" s="16"/>
      <c r="KG10" s="186"/>
      <c r="KH10" s="184"/>
      <c r="KM10" s="16"/>
      <c r="KN10" s="186"/>
      <c r="KO10" s="184"/>
      <c r="KT10" s="16"/>
      <c r="KU10" s="186"/>
      <c r="KV10" s="184"/>
      <c r="LA10" s="16"/>
      <c r="LB10" s="186"/>
      <c r="LC10" s="184"/>
      <c r="LH10" s="16"/>
      <c r="LI10" s="186"/>
      <c r="LJ10" s="184"/>
      <c r="LO10" s="16"/>
      <c r="LP10" s="186"/>
      <c r="LQ10" s="184"/>
      <c r="LV10" s="16"/>
      <c r="LW10" s="186"/>
      <c r="LX10" s="184"/>
      <c r="MC10" s="16"/>
      <c r="MD10" s="186"/>
      <c r="ME10" s="184"/>
      <c r="MJ10" s="16"/>
      <c r="MK10" s="186"/>
      <c r="ML10" s="184"/>
      <c r="MQ10" s="16"/>
      <c r="MR10" s="186"/>
      <c r="MS10" s="184"/>
      <c r="MX10" s="16"/>
      <c r="MY10" s="186"/>
      <c r="MZ10" s="184"/>
      <c r="NC10" s="194"/>
    </row>
    <row r="11" spans="1:367" x14ac:dyDescent="0.3">
      <c r="A11" s="223">
        <v>3328</v>
      </c>
      <c r="B11" s="269"/>
      <c r="C11" s="200" t="s">
        <v>9</v>
      </c>
      <c r="D11" s="213" t="s">
        <v>7</v>
      </c>
      <c r="E11" s="16"/>
      <c r="F11" s="186"/>
      <c r="G11" s="184"/>
      <c r="L11" s="16"/>
      <c r="M11" s="186"/>
      <c r="N11" s="208">
        <v>3363</v>
      </c>
      <c r="O11" s="208">
        <v>3363</v>
      </c>
      <c r="P11" s="213" t="s">
        <v>7</v>
      </c>
      <c r="Q11" s="213" t="s">
        <v>7</v>
      </c>
      <c r="R11" s="213" t="s">
        <v>7</v>
      </c>
      <c r="S11" s="16"/>
      <c r="T11" s="186"/>
      <c r="U11" s="209">
        <v>3300</v>
      </c>
      <c r="V11" s="208">
        <v>3363</v>
      </c>
      <c r="W11" s="208">
        <v>3363</v>
      </c>
      <c r="X11" s="213" t="s">
        <v>7</v>
      </c>
      <c r="Y11" s="213" t="s">
        <v>7</v>
      </c>
      <c r="Z11" s="16"/>
      <c r="AA11" s="186"/>
      <c r="AB11" s="209">
        <v>3300</v>
      </c>
      <c r="AC11" s="209">
        <v>3300</v>
      </c>
      <c r="AD11" s="208">
        <v>3363</v>
      </c>
      <c r="AE11" s="206">
        <v>3336</v>
      </c>
      <c r="AF11" s="206">
        <v>3336</v>
      </c>
      <c r="AG11" s="16"/>
      <c r="AH11" s="186"/>
      <c r="AI11" s="200" t="s">
        <v>25</v>
      </c>
      <c r="AJ11" s="213" t="s">
        <v>7</v>
      </c>
      <c r="AK11" s="213" t="s">
        <v>7</v>
      </c>
      <c r="AL11" s="213" t="s">
        <v>7</v>
      </c>
      <c r="AM11" s="213" t="s">
        <v>7</v>
      </c>
      <c r="AN11" s="16"/>
      <c r="AO11" s="186"/>
      <c r="AP11" s="209">
        <v>3300</v>
      </c>
      <c r="AQ11" s="209">
        <v>3300</v>
      </c>
      <c r="AR11" s="208">
        <v>3363</v>
      </c>
      <c r="AS11" s="213" t="s">
        <v>7</v>
      </c>
      <c r="AT11" s="213" t="s">
        <v>7</v>
      </c>
      <c r="AU11" s="16"/>
      <c r="AV11" s="186"/>
      <c r="AW11" s="209">
        <v>3300</v>
      </c>
      <c r="AX11" s="209">
        <v>3300</v>
      </c>
      <c r="AY11" s="209">
        <v>3300</v>
      </c>
      <c r="AZ11" s="213" t="s">
        <v>7</v>
      </c>
      <c r="BA11" s="213" t="s">
        <v>7</v>
      </c>
      <c r="BB11" s="16"/>
      <c r="BC11" s="186"/>
      <c r="BD11" s="209">
        <v>3300</v>
      </c>
      <c r="BE11" s="209">
        <v>3300</v>
      </c>
      <c r="BF11" s="213" t="s">
        <v>7</v>
      </c>
      <c r="BG11" s="213" t="s">
        <v>7</v>
      </c>
      <c r="BH11" s="213" t="s">
        <v>7</v>
      </c>
      <c r="BI11" s="16"/>
      <c r="BJ11" s="186"/>
      <c r="BK11" s="209">
        <v>3300</v>
      </c>
      <c r="BL11" s="209">
        <v>3300</v>
      </c>
      <c r="BM11" s="209">
        <v>3300</v>
      </c>
      <c r="BN11" s="213" t="s">
        <v>7</v>
      </c>
      <c r="BO11" s="213" t="s">
        <v>7</v>
      </c>
      <c r="BP11" s="16"/>
      <c r="BQ11" s="186"/>
      <c r="BR11" s="184"/>
      <c r="BW11" s="16"/>
      <c r="BX11" s="186"/>
      <c r="BY11" s="184"/>
      <c r="CD11" s="16"/>
      <c r="CE11" s="186"/>
      <c r="CF11" s="184"/>
      <c r="CK11" s="16"/>
      <c r="CL11" s="186"/>
      <c r="CM11" s="184"/>
      <c r="CR11" s="16"/>
      <c r="CS11" s="186"/>
      <c r="CT11" s="184"/>
      <c r="CY11" s="16"/>
      <c r="CZ11" s="186"/>
      <c r="DA11" s="184"/>
      <c r="DF11" s="16"/>
      <c r="DG11" s="186"/>
      <c r="DH11" s="184"/>
      <c r="DM11" s="16"/>
      <c r="DN11" s="186"/>
      <c r="DO11" s="184"/>
      <c r="DT11" s="16"/>
      <c r="DU11" s="186"/>
      <c r="DV11" s="184"/>
      <c r="EA11" s="16"/>
      <c r="EB11" s="186"/>
      <c r="EC11" s="184"/>
      <c r="EH11" s="16"/>
      <c r="EI11" s="186"/>
      <c r="EJ11" s="184"/>
      <c r="EO11" s="16"/>
      <c r="EP11" s="186"/>
      <c r="EQ11" s="184"/>
      <c r="EV11" s="16"/>
      <c r="EW11" s="186"/>
      <c r="EX11" s="184"/>
      <c r="FC11" s="16"/>
      <c r="FD11" s="186"/>
      <c r="FE11" s="184"/>
      <c r="FJ11" s="16"/>
      <c r="FK11" s="186"/>
      <c r="FL11" s="184"/>
      <c r="FQ11" s="16"/>
      <c r="FR11" s="186"/>
      <c r="FS11" s="184"/>
      <c r="FX11" s="16"/>
      <c r="FY11" s="186"/>
      <c r="FZ11" s="184"/>
      <c r="GE11" s="16"/>
      <c r="GF11" s="186"/>
      <c r="GG11" s="184"/>
      <c r="GL11" s="16"/>
      <c r="GM11" s="186"/>
      <c r="GN11" s="184"/>
      <c r="GS11" s="16"/>
      <c r="GT11" s="186"/>
      <c r="GU11" s="184"/>
      <c r="GZ11" s="16"/>
      <c r="HA11" s="186"/>
      <c r="HB11" s="184"/>
      <c r="HG11" s="16"/>
      <c r="HH11" s="186"/>
      <c r="HI11" s="184"/>
      <c r="HN11" s="16"/>
      <c r="HO11" s="186"/>
      <c r="HP11" s="184"/>
      <c r="HU11" s="16"/>
      <c r="HV11" s="186"/>
      <c r="HW11" s="184"/>
      <c r="IB11" s="16"/>
      <c r="IC11" s="186"/>
      <c r="ID11" s="184"/>
      <c r="II11" s="16"/>
      <c r="IJ11" s="186"/>
      <c r="IK11" s="184"/>
      <c r="IP11" s="16"/>
      <c r="IQ11" s="186"/>
      <c r="IR11" s="184"/>
      <c r="IW11" s="16"/>
      <c r="IX11" s="186"/>
      <c r="IY11" s="184"/>
      <c r="JD11" s="16"/>
      <c r="JE11" s="186"/>
      <c r="JF11" s="184"/>
      <c r="JK11" s="16"/>
      <c r="JL11" s="186"/>
      <c r="JM11" s="184"/>
      <c r="JR11" s="16"/>
      <c r="JS11" s="186"/>
      <c r="JT11" s="184"/>
      <c r="JY11" s="16"/>
      <c r="JZ11" s="186"/>
      <c r="KA11" s="184"/>
      <c r="KF11" s="16"/>
      <c r="KG11" s="186"/>
      <c r="KH11" s="184"/>
      <c r="KM11" s="16"/>
      <c r="KN11" s="186"/>
      <c r="KO11" s="184"/>
      <c r="KT11" s="16"/>
      <c r="KU11" s="186"/>
      <c r="KV11" s="184"/>
      <c r="LA11" s="16"/>
      <c r="LB11" s="186"/>
      <c r="LC11" s="184"/>
      <c r="LH11" s="16"/>
      <c r="LI11" s="186"/>
      <c r="LJ11" s="184"/>
      <c r="LO11" s="16"/>
      <c r="LP11" s="186"/>
      <c r="LQ11" s="184"/>
      <c r="LV11" s="16"/>
      <c r="LW11" s="186"/>
      <c r="LX11" s="184"/>
      <c r="MC11" s="16"/>
      <c r="MD11" s="186"/>
      <c r="ME11" s="184"/>
      <c r="MJ11" s="16"/>
      <c r="MK11" s="186"/>
      <c r="ML11" s="184"/>
      <c r="MQ11" s="16"/>
      <c r="MR11" s="186"/>
      <c r="MS11" s="184"/>
      <c r="MX11" s="16"/>
      <c r="MY11" s="186"/>
      <c r="MZ11" s="184"/>
      <c r="NC11" s="194"/>
    </row>
    <row r="12" spans="1:367" x14ac:dyDescent="0.3">
      <c r="A12" s="204">
        <v>3346</v>
      </c>
      <c r="B12" s="269"/>
      <c r="C12" s="200" t="s">
        <v>9</v>
      </c>
      <c r="D12" s="213" t="s">
        <v>7</v>
      </c>
      <c r="E12" s="16"/>
      <c r="F12" s="186"/>
      <c r="G12" s="184"/>
      <c r="L12" s="16"/>
      <c r="M12" s="186"/>
      <c r="N12" s="208">
        <v>3363</v>
      </c>
      <c r="O12" s="208">
        <v>3363</v>
      </c>
      <c r="P12" s="213" t="s">
        <v>7</v>
      </c>
      <c r="Q12" s="213" t="s">
        <v>7</v>
      </c>
      <c r="R12" s="213" t="s">
        <v>7</v>
      </c>
      <c r="S12" s="16"/>
      <c r="T12" s="186"/>
      <c r="U12" s="209">
        <v>3300</v>
      </c>
      <c r="V12" s="208">
        <v>3363</v>
      </c>
      <c r="W12" s="208">
        <v>3363</v>
      </c>
      <c r="X12" s="213" t="s">
        <v>7</v>
      </c>
      <c r="Y12" s="213" t="s">
        <v>7</v>
      </c>
      <c r="Z12" s="16"/>
      <c r="AA12" s="186"/>
      <c r="AB12" s="209">
        <v>3300</v>
      </c>
      <c r="AC12" s="209">
        <v>3300</v>
      </c>
      <c r="AD12" s="208">
        <v>3363</v>
      </c>
      <c r="AE12" s="206">
        <v>3336</v>
      </c>
      <c r="AF12" s="207">
        <v>3272</v>
      </c>
      <c r="AG12" s="16"/>
      <c r="AH12" s="186"/>
      <c r="AI12" s="200" t="s">
        <v>25</v>
      </c>
      <c r="AJ12" s="213" t="s">
        <v>7</v>
      </c>
      <c r="AK12" s="213" t="s">
        <v>7</v>
      </c>
      <c r="AL12" s="213" t="s">
        <v>7</v>
      </c>
      <c r="AM12" s="213" t="s">
        <v>7</v>
      </c>
      <c r="AN12" s="16"/>
      <c r="AO12" s="186"/>
      <c r="AP12" s="209">
        <v>3300</v>
      </c>
      <c r="AQ12" s="209">
        <v>3300</v>
      </c>
      <c r="AR12" s="208">
        <v>3363</v>
      </c>
      <c r="AS12" s="213" t="s">
        <v>7</v>
      </c>
      <c r="AT12" s="207">
        <v>3272</v>
      </c>
      <c r="AU12" s="16"/>
      <c r="AV12" s="186"/>
      <c r="AW12" s="209">
        <v>3300</v>
      </c>
      <c r="AX12" s="209">
        <v>3300</v>
      </c>
      <c r="AY12" s="209">
        <v>3300</v>
      </c>
      <c r="AZ12" s="213" t="s">
        <v>7</v>
      </c>
      <c r="BA12" s="213" t="s">
        <v>7</v>
      </c>
      <c r="BB12" s="16"/>
      <c r="BC12" s="186"/>
      <c r="BD12" s="209">
        <v>3300</v>
      </c>
      <c r="BE12" s="209">
        <v>3300</v>
      </c>
      <c r="BF12" s="213" t="s">
        <v>7</v>
      </c>
      <c r="BG12" s="213" t="s">
        <v>7</v>
      </c>
      <c r="BH12" s="213" t="s">
        <v>7</v>
      </c>
      <c r="BI12" s="16"/>
      <c r="BJ12" s="186"/>
      <c r="BK12" s="209">
        <v>3300</v>
      </c>
      <c r="BL12" s="209">
        <v>3300</v>
      </c>
      <c r="BM12" s="209">
        <v>3300</v>
      </c>
      <c r="BN12" s="213" t="s">
        <v>7</v>
      </c>
      <c r="BO12" s="213" t="s">
        <v>7</v>
      </c>
      <c r="BP12" s="16"/>
      <c r="BQ12" s="186"/>
      <c r="BR12" s="184"/>
      <c r="BW12" s="16"/>
      <c r="BX12" s="186"/>
      <c r="BY12" s="184"/>
      <c r="CD12" s="16"/>
      <c r="CE12" s="186"/>
      <c r="CF12" s="184"/>
      <c r="CK12" s="16"/>
      <c r="CL12" s="186"/>
      <c r="CM12" s="184"/>
      <c r="CR12" s="16"/>
      <c r="CS12" s="186"/>
      <c r="CT12" s="184"/>
      <c r="CY12" s="16"/>
      <c r="CZ12" s="186"/>
      <c r="DA12" s="184"/>
      <c r="DF12" s="16"/>
      <c r="DG12" s="186"/>
      <c r="DH12" s="184"/>
      <c r="DM12" s="16"/>
      <c r="DN12" s="186"/>
      <c r="DO12" s="184"/>
      <c r="DT12" s="16"/>
      <c r="DU12" s="186"/>
      <c r="DV12" s="184"/>
      <c r="EA12" s="16"/>
      <c r="EB12" s="186"/>
      <c r="EC12" s="184"/>
      <c r="EH12" s="16"/>
      <c r="EI12" s="186"/>
      <c r="EJ12" s="184"/>
      <c r="EO12" s="16"/>
      <c r="EP12" s="186"/>
      <c r="EQ12" s="184"/>
      <c r="EV12" s="16"/>
      <c r="EW12" s="186"/>
      <c r="EX12" s="184"/>
      <c r="FC12" s="16"/>
      <c r="FD12" s="186"/>
      <c r="FE12" s="184"/>
      <c r="FJ12" s="16"/>
      <c r="FK12" s="186"/>
      <c r="FL12" s="184"/>
      <c r="FQ12" s="16"/>
      <c r="FR12" s="186"/>
      <c r="FS12" s="184"/>
      <c r="FX12" s="16"/>
      <c r="FY12" s="186"/>
      <c r="FZ12" s="184"/>
      <c r="GE12" s="16"/>
      <c r="GF12" s="186"/>
      <c r="GG12" s="184"/>
      <c r="GL12" s="16"/>
      <c r="GM12" s="186"/>
      <c r="GN12" s="184"/>
      <c r="GS12" s="16"/>
      <c r="GT12" s="186"/>
      <c r="GU12" s="184"/>
      <c r="GZ12" s="16"/>
      <c r="HA12" s="186"/>
      <c r="HB12" s="184"/>
      <c r="HG12" s="16"/>
      <c r="HH12" s="186"/>
      <c r="HI12" s="184"/>
      <c r="HN12" s="16"/>
      <c r="HO12" s="186"/>
      <c r="HP12" s="184"/>
      <c r="HU12" s="16"/>
      <c r="HV12" s="186"/>
      <c r="HW12" s="184"/>
      <c r="IB12" s="16"/>
      <c r="IC12" s="186"/>
      <c r="ID12" s="184"/>
      <c r="II12" s="16"/>
      <c r="IJ12" s="186"/>
      <c r="IK12" s="184"/>
      <c r="IP12" s="16"/>
      <c r="IQ12" s="186"/>
      <c r="IR12" s="184"/>
      <c r="IW12" s="16"/>
      <c r="IX12" s="186"/>
      <c r="IY12" s="184"/>
      <c r="JD12" s="16"/>
      <c r="JE12" s="186"/>
      <c r="JF12" s="184"/>
      <c r="JK12" s="16"/>
      <c r="JL12" s="186"/>
      <c r="JM12" s="184"/>
      <c r="JR12" s="16"/>
      <c r="JS12" s="186"/>
      <c r="JT12" s="184"/>
      <c r="JY12" s="16"/>
      <c r="JZ12" s="186"/>
      <c r="KA12" s="184"/>
      <c r="KF12" s="16"/>
      <c r="KG12" s="186"/>
      <c r="KH12" s="184"/>
      <c r="KM12" s="16"/>
      <c r="KN12" s="186"/>
      <c r="KO12" s="184"/>
      <c r="KT12" s="16"/>
      <c r="KU12" s="186"/>
      <c r="KV12" s="184"/>
      <c r="LA12" s="16"/>
      <c r="LB12" s="186"/>
      <c r="LC12" s="184"/>
      <c r="LH12" s="16"/>
      <c r="LI12" s="186"/>
      <c r="LJ12" s="184"/>
      <c r="LO12" s="16"/>
      <c r="LP12" s="186"/>
      <c r="LQ12" s="184"/>
      <c r="LV12" s="16"/>
      <c r="LW12" s="186"/>
      <c r="LX12" s="184"/>
      <c r="MC12" s="16"/>
      <c r="MD12" s="186"/>
      <c r="ME12" s="184"/>
      <c r="MJ12" s="16"/>
      <c r="MK12" s="186"/>
      <c r="ML12" s="184"/>
      <c r="MQ12" s="16"/>
      <c r="MR12" s="186"/>
      <c r="MS12" s="184"/>
      <c r="MX12" s="16"/>
      <c r="MY12" s="186"/>
      <c r="MZ12" s="184"/>
      <c r="NC12" s="194"/>
    </row>
    <row r="13" spans="1:367" x14ac:dyDescent="0.3">
      <c r="A13" s="223">
        <v>3334</v>
      </c>
      <c r="B13" s="269"/>
      <c r="C13" s="187"/>
      <c r="D13" s="16"/>
      <c r="E13" s="178"/>
      <c r="F13" s="186"/>
      <c r="G13" s="187"/>
      <c r="H13" s="16"/>
      <c r="I13" s="16"/>
      <c r="J13" s="16"/>
      <c r="K13" s="16"/>
      <c r="L13" s="178"/>
      <c r="M13" s="186"/>
      <c r="N13" s="187"/>
      <c r="O13" s="16"/>
      <c r="P13" s="16"/>
      <c r="Q13" s="16"/>
      <c r="R13" s="16"/>
      <c r="S13" s="178"/>
      <c r="T13" s="186"/>
      <c r="U13" s="187"/>
      <c r="V13" s="16"/>
      <c r="W13" s="16"/>
      <c r="X13" s="16"/>
      <c r="Y13" s="16"/>
      <c r="Z13" s="178"/>
      <c r="AA13" s="186"/>
      <c r="AB13" s="187"/>
      <c r="AC13" s="16"/>
      <c r="AD13" s="16"/>
      <c r="AE13" s="16"/>
      <c r="AF13" s="16"/>
      <c r="AG13" s="178"/>
      <c r="AH13" s="186"/>
      <c r="AI13" s="187"/>
      <c r="AJ13" s="16"/>
      <c r="AK13" s="16"/>
      <c r="AL13" s="16"/>
      <c r="AM13" s="16"/>
      <c r="AN13" s="178"/>
      <c r="AO13" s="186"/>
      <c r="AP13" s="187"/>
      <c r="AQ13" s="16"/>
      <c r="AR13" s="16"/>
      <c r="AS13" s="16"/>
      <c r="AT13" s="16"/>
      <c r="AU13" s="178"/>
      <c r="AV13" s="186"/>
      <c r="AW13" s="187"/>
      <c r="AX13" s="16"/>
      <c r="AY13" s="16"/>
      <c r="AZ13" s="16"/>
      <c r="BA13" s="16"/>
      <c r="BB13" s="178"/>
      <c r="BC13" s="186"/>
      <c r="BD13" s="187"/>
      <c r="BE13" s="16"/>
      <c r="BF13" s="16"/>
      <c r="BG13" s="16"/>
      <c r="BH13" s="16"/>
      <c r="BI13" s="178"/>
      <c r="BJ13" s="186"/>
      <c r="BK13" s="187"/>
      <c r="BL13" s="16"/>
      <c r="BM13" s="16"/>
      <c r="BN13" s="16"/>
      <c r="BO13" s="16"/>
      <c r="BP13" s="178"/>
      <c r="BQ13" s="186"/>
      <c r="BR13" s="187"/>
      <c r="BS13" s="16"/>
      <c r="BT13" s="16"/>
      <c r="BU13" s="16"/>
      <c r="BV13" s="16"/>
      <c r="BW13" s="178"/>
      <c r="BX13" s="186"/>
      <c r="BY13" s="187"/>
      <c r="BZ13" s="16"/>
      <c r="CA13" s="16"/>
      <c r="CB13" s="16"/>
      <c r="CC13" s="16"/>
      <c r="CD13" s="178"/>
      <c r="CE13" s="186"/>
      <c r="CF13" s="187"/>
      <c r="CG13" s="16"/>
      <c r="CH13" s="16"/>
      <c r="CI13" s="16"/>
      <c r="CJ13" s="16"/>
      <c r="CK13" s="178"/>
      <c r="CL13" s="186"/>
      <c r="CM13" s="187"/>
      <c r="CN13" s="16"/>
      <c r="CO13" s="16"/>
      <c r="CP13" s="16"/>
      <c r="CQ13" s="16"/>
      <c r="CR13" s="178"/>
      <c r="CS13" s="186"/>
      <c r="CT13" s="187"/>
      <c r="CU13" s="16"/>
      <c r="CV13" s="16"/>
      <c r="CW13" s="16"/>
      <c r="CX13" s="16"/>
      <c r="CY13" s="178"/>
      <c r="CZ13" s="186"/>
      <c r="DA13" s="187"/>
      <c r="DB13" s="16"/>
      <c r="DC13" s="16"/>
      <c r="DD13" s="16"/>
      <c r="DE13" s="16"/>
      <c r="DF13" s="178"/>
      <c r="DG13" s="186"/>
      <c r="DH13" s="187"/>
      <c r="DI13" s="16"/>
      <c r="DJ13" s="16"/>
      <c r="DK13" s="16"/>
      <c r="DL13" s="16"/>
      <c r="DM13" s="178"/>
      <c r="DN13" s="186"/>
      <c r="DO13" s="187"/>
      <c r="DP13" s="16"/>
      <c r="DQ13" s="16"/>
      <c r="DR13" s="16"/>
      <c r="DS13" s="16"/>
      <c r="DT13" s="178"/>
      <c r="DU13" s="186"/>
      <c r="DV13" s="187"/>
      <c r="DW13" s="16"/>
      <c r="DX13" s="16"/>
      <c r="DY13" s="16"/>
      <c r="DZ13" s="16"/>
      <c r="EA13" s="178"/>
      <c r="EB13" s="186"/>
      <c r="EC13" s="187"/>
      <c r="ED13" s="16"/>
      <c r="EE13" s="16"/>
      <c r="EF13" s="16"/>
      <c r="EG13" s="16"/>
      <c r="EH13" s="178"/>
      <c r="EI13" s="186"/>
      <c r="EJ13" s="187"/>
      <c r="EK13" s="16"/>
      <c r="EL13" s="16"/>
      <c r="EM13" s="16"/>
      <c r="EN13" s="16"/>
      <c r="EO13" s="178"/>
      <c r="EP13" s="186"/>
      <c r="EQ13" s="187"/>
      <c r="ER13" s="16"/>
      <c r="ES13" s="16"/>
      <c r="ET13" s="16"/>
      <c r="EU13" s="16"/>
      <c r="EV13" s="178"/>
      <c r="EW13" s="186"/>
      <c r="EX13" s="187"/>
      <c r="EY13" s="16"/>
      <c r="EZ13" s="16"/>
      <c r="FA13" s="16"/>
      <c r="FB13" s="16"/>
      <c r="FC13" s="178"/>
      <c r="FD13" s="186"/>
      <c r="FE13" s="187"/>
      <c r="FF13" s="16"/>
      <c r="FG13" s="16"/>
      <c r="FH13" s="16"/>
      <c r="FI13" s="16"/>
      <c r="FJ13" s="178"/>
      <c r="FK13" s="186"/>
      <c r="FL13" s="187"/>
      <c r="FM13" s="16"/>
      <c r="FN13" s="16"/>
      <c r="FO13" s="16"/>
      <c r="FP13" s="16"/>
      <c r="FQ13" s="178"/>
      <c r="FR13" s="186"/>
      <c r="FS13" s="187"/>
      <c r="FT13" s="16"/>
      <c r="FU13" s="16"/>
      <c r="FV13" s="16"/>
      <c r="FW13" s="16"/>
      <c r="FX13" s="178"/>
      <c r="FY13" s="186"/>
      <c r="FZ13" s="187"/>
      <c r="GA13" s="16"/>
      <c r="GB13" s="16"/>
      <c r="GC13" s="16"/>
      <c r="GD13" s="16"/>
      <c r="GE13" s="178"/>
      <c r="GF13" s="186"/>
      <c r="GG13" s="187"/>
      <c r="GH13" s="16"/>
      <c r="GI13" s="16"/>
      <c r="GJ13" s="16"/>
      <c r="GK13" s="16"/>
      <c r="GL13" s="178"/>
      <c r="GM13" s="186"/>
      <c r="GN13" s="187"/>
      <c r="GO13" s="16"/>
      <c r="GP13" s="16"/>
      <c r="GQ13" s="16"/>
      <c r="GR13" s="16"/>
      <c r="GS13" s="178"/>
      <c r="GT13" s="186"/>
      <c r="GU13" s="187"/>
      <c r="GV13" s="16"/>
      <c r="GW13" s="16"/>
      <c r="GX13" s="16"/>
      <c r="GY13" s="16"/>
      <c r="GZ13" s="178"/>
      <c r="HA13" s="186"/>
      <c r="HB13" s="187"/>
      <c r="HC13" s="16"/>
      <c r="HD13" s="16"/>
      <c r="HE13" s="16"/>
      <c r="HF13" s="16"/>
      <c r="HG13" s="178"/>
      <c r="HH13" s="186"/>
      <c r="HI13" s="187"/>
      <c r="HJ13" s="16"/>
      <c r="HK13" s="16"/>
      <c r="HL13" s="16"/>
      <c r="HM13" s="16"/>
      <c r="HN13" s="178"/>
      <c r="HO13" s="186"/>
      <c r="HP13" s="187"/>
      <c r="HQ13" s="16"/>
      <c r="HR13" s="16"/>
      <c r="HS13" s="16"/>
      <c r="HT13" s="16"/>
      <c r="HU13" s="178"/>
      <c r="HV13" s="186"/>
      <c r="HW13" s="187"/>
      <c r="HX13" s="16"/>
      <c r="HY13" s="16"/>
      <c r="HZ13" s="16"/>
      <c r="IA13" s="16"/>
      <c r="IB13" s="178"/>
      <c r="IC13" s="186"/>
      <c r="ID13" s="187"/>
      <c r="IE13" s="16"/>
      <c r="IF13" s="16"/>
      <c r="IG13" s="16"/>
      <c r="IH13" s="16"/>
      <c r="II13" s="178"/>
      <c r="IJ13" s="186"/>
      <c r="IK13" s="187"/>
      <c r="IL13" s="16"/>
      <c r="IM13" s="16"/>
      <c r="IN13" s="16"/>
      <c r="IO13" s="16"/>
      <c r="IP13" s="178"/>
      <c r="IQ13" s="186"/>
      <c r="IR13" s="187"/>
      <c r="IS13" s="16"/>
      <c r="IT13" s="16"/>
      <c r="IU13" s="16"/>
      <c r="IV13" s="16"/>
      <c r="IW13" s="178"/>
      <c r="IX13" s="186"/>
      <c r="IY13" s="187"/>
      <c r="IZ13" s="16"/>
      <c r="JA13" s="16"/>
      <c r="JB13" s="16"/>
      <c r="JC13" s="16"/>
      <c r="JD13" s="178"/>
      <c r="JE13" s="186"/>
      <c r="JF13" s="187"/>
      <c r="JG13" s="16"/>
      <c r="JH13" s="16"/>
      <c r="JI13" s="16"/>
      <c r="JJ13" s="16"/>
      <c r="JK13" s="178"/>
      <c r="JL13" s="186"/>
      <c r="JM13" s="187"/>
      <c r="JN13" s="16"/>
      <c r="JO13" s="16"/>
      <c r="JP13" s="16"/>
      <c r="JQ13" s="16"/>
      <c r="JR13" s="178"/>
      <c r="JS13" s="186"/>
      <c r="JT13" s="187"/>
      <c r="JU13" s="16"/>
      <c r="JV13" s="16"/>
      <c r="JW13" s="16"/>
      <c r="JX13" s="16"/>
      <c r="JY13" s="178"/>
      <c r="JZ13" s="186"/>
      <c r="KA13" s="187"/>
      <c r="KB13" s="16"/>
      <c r="KC13" s="16"/>
      <c r="KD13" s="16"/>
      <c r="KE13" s="16"/>
      <c r="KF13" s="178"/>
      <c r="KG13" s="186"/>
      <c r="KH13" s="187"/>
      <c r="KI13" s="16"/>
      <c r="KJ13" s="16"/>
      <c r="KK13" s="16"/>
      <c r="KL13" s="16"/>
      <c r="KM13" s="178"/>
      <c r="KN13" s="186"/>
      <c r="KO13" s="187"/>
      <c r="KP13" s="16"/>
      <c r="KQ13" s="16"/>
      <c r="KR13" s="16"/>
      <c r="KS13" s="16"/>
      <c r="KT13" s="178"/>
      <c r="KU13" s="186"/>
      <c r="KV13" s="187"/>
      <c r="KW13" s="16"/>
      <c r="KX13" s="16"/>
      <c r="KY13" s="16"/>
      <c r="KZ13" s="16"/>
      <c r="LA13" s="178"/>
      <c r="LB13" s="186"/>
      <c r="LC13" s="187"/>
      <c r="LD13" s="16"/>
      <c r="LE13" s="16"/>
      <c r="LF13" s="16"/>
      <c r="LG13" s="16"/>
      <c r="LH13" s="178"/>
      <c r="LI13" s="186"/>
      <c r="LJ13" s="187"/>
      <c r="LK13" s="16"/>
      <c r="LL13" s="16"/>
      <c r="LM13" s="16"/>
      <c r="LN13" s="16"/>
      <c r="LO13" s="178"/>
      <c r="LP13" s="186"/>
      <c r="LQ13" s="187"/>
      <c r="LR13" s="16"/>
      <c r="LS13" s="16"/>
      <c r="LT13" s="16"/>
      <c r="LU13" s="16"/>
      <c r="LV13" s="178"/>
      <c r="LW13" s="186"/>
      <c r="LX13" s="187"/>
      <c r="LY13" s="16"/>
      <c r="LZ13" s="16"/>
      <c r="MA13" s="16"/>
      <c r="MB13" s="16"/>
      <c r="MC13" s="178"/>
      <c r="MD13" s="186"/>
      <c r="ME13" s="187"/>
      <c r="MF13" s="16"/>
      <c r="MG13" s="16"/>
      <c r="MH13" s="16"/>
      <c r="MI13" s="16"/>
      <c r="MJ13" s="178"/>
      <c r="MK13" s="186"/>
      <c r="ML13" s="187"/>
      <c r="MM13" s="16"/>
      <c r="MN13" s="16"/>
      <c r="MO13" s="16"/>
      <c r="MP13" s="16"/>
      <c r="MQ13" s="178"/>
      <c r="MR13" s="186"/>
      <c r="MS13" s="187"/>
      <c r="MT13" s="16"/>
      <c r="MU13" s="16"/>
      <c r="MV13" s="16"/>
      <c r="MW13" s="16"/>
      <c r="MX13" s="178"/>
      <c r="MY13" s="186"/>
      <c r="MZ13" s="184"/>
      <c r="NC13" s="194"/>
    </row>
    <row r="14" spans="1:367" ht="15" thickBot="1" x14ac:dyDescent="0.35">
      <c r="A14" s="206">
        <v>3336</v>
      </c>
      <c r="B14" s="269"/>
      <c r="C14" s="187"/>
      <c r="D14" s="16"/>
      <c r="E14" s="178"/>
      <c r="F14" s="186"/>
      <c r="G14" s="187"/>
      <c r="H14" s="16"/>
      <c r="I14" s="16"/>
      <c r="J14" s="16"/>
      <c r="K14" s="16"/>
      <c r="L14" s="178"/>
      <c r="M14" s="186"/>
      <c r="N14" s="187"/>
      <c r="O14" s="16"/>
      <c r="P14" s="16"/>
      <c r="Q14" s="16"/>
      <c r="R14" s="16"/>
      <c r="S14" s="178"/>
      <c r="T14" s="186"/>
      <c r="U14" s="187"/>
      <c r="V14" s="16"/>
      <c r="W14" s="16"/>
      <c r="X14" s="16"/>
      <c r="Y14" s="16"/>
      <c r="Z14" s="178"/>
      <c r="AA14" s="186"/>
      <c r="AB14" s="187"/>
      <c r="AC14" s="16"/>
      <c r="AD14" s="16"/>
      <c r="AE14" s="16"/>
      <c r="AF14" s="16"/>
      <c r="AG14" s="178"/>
      <c r="AH14" s="186"/>
      <c r="AI14" s="187"/>
      <c r="AJ14" s="16"/>
      <c r="AK14" s="16"/>
      <c r="AL14" s="16"/>
      <c r="AM14" s="16"/>
      <c r="AN14" s="178"/>
      <c r="AO14" s="186"/>
      <c r="AP14" s="187"/>
      <c r="AQ14" s="16"/>
      <c r="AR14" s="16"/>
      <c r="AS14" s="16"/>
      <c r="AT14" s="16"/>
      <c r="AU14" s="178"/>
      <c r="AV14" s="186"/>
      <c r="AW14" s="187"/>
      <c r="AX14" s="16"/>
      <c r="AY14" s="16"/>
      <c r="AZ14" s="16"/>
      <c r="BA14" s="16"/>
      <c r="BB14" s="178"/>
      <c r="BC14" s="186"/>
      <c r="BD14" s="187"/>
      <c r="BE14" s="16"/>
      <c r="BF14" s="16"/>
      <c r="BG14" s="16"/>
      <c r="BH14" s="16"/>
      <c r="BI14" s="178"/>
      <c r="BJ14" s="186"/>
      <c r="BK14" s="187"/>
      <c r="BL14" s="16"/>
      <c r="BM14" s="16"/>
      <c r="BN14" s="16"/>
      <c r="BO14" s="16"/>
      <c r="BP14" s="178"/>
      <c r="BQ14" s="186"/>
      <c r="BR14" s="187"/>
      <c r="BS14" s="16"/>
      <c r="BT14" s="16"/>
      <c r="BU14" s="16"/>
      <c r="BV14" s="16"/>
      <c r="BW14" s="178"/>
      <c r="BX14" s="186"/>
      <c r="BY14" s="187"/>
      <c r="BZ14" s="16"/>
      <c r="CA14" s="16"/>
      <c r="CB14" s="16"/>
      <c r="CC14" s="16"/>
      <c r="CD14" s="178"/>
      <c r="CE14" s="186"/>
      <c r="CF14" s="187"/>
      <c r="CG14" s="16"/>
      <c r="CH14" s="16"/>
      <c r="CI14" s="16"/>
      <c r="CJ14" s="16"/>
      <c r="CK14" s="178"/>
      <c r="CL14" s="186"/>
      <c r="CM14" s="187"/>
      <c r="CN14" s="16"/>
      <c r="CO14" s="16"/>
      <c r="CP14" s="16"/>
      <c r="CQ14" s="16"/>
      <c r="CR14" s="178"/>
      <c r="CS14" s="186"/>
      <c r="CT14" s="187"/>
      <c r="CU14" s="16"/>
      <c r="CV14" s="16"/>
      <c r="CW14" s="16"/>
      <c r="CX14" s="16"/>
      <c r="CY14" s="178"/>
      <c r="CZ14" s="186"/>
      <c r="DA14" s="187"/>
      <c r="DB14" s="16"/>
      <c r="DC14" s="16"/>
      <c r="DD14" s="16"/>
      <c r="DE14" s="16"/>
      <c r="DF14" s="178"/>
      <c r="DG14" s="186"/>
      <c r="DH14" s="187"/>
      <c r="DI14" s="16"/>
      <c r="DJ14" s="16"/>
      <c r="DK14" s="16"/>
      <c r="DL14" s="16"/>
      <c r="DM14" s="178"/>
      <c r="DN14" s="186"/>
      <c r="DO14" s="187"/>
      <c r="DP14" s="16"/>
      <c r="DQ14" s="16"/>
      <c r="DR14" s="16"/>
      <c r="DS14" s="16"/>
      <c r="DT14" s="178"/>
      <c r="DU14" s="186"/>
      <c r="DV14" s="187"/>
      <c r="DW14" s="16"/>
      <c r="DX14" s="16"/>
      <c r="DY14" s="16"/>
      <c r="DZ14" s="16"/>
      <c r="EA14" s="178"/>
      <c r="EB14" s="186"/>
      <c r="EC14" s="187"/>
      <c r="ED14" s="16"/>
      <c r="EE14" s="16"/>
      <c r="EF14" s="16"/>
      <c r="EG14" s="16"/>
      <c r="EH14" s="178"/>
      <c r="EI14" s="186"/>
      <c r="EJ14" s="187"/>
      <c r="EK14" s="16"/>
      <c r="EL14" s="16"/>
      <c r="EM14" s="16"/>
      <c r="EN14" s="16"/>
      <c r="EO14" s="178"/>
      <c r="EP14" s="186"/>
      <c r="EQ14" s="187"/>
      <c r="ER14" s="16"/>
      <c r="ES14" s="16"/>
      <c r="ET14" s="16"/>
      <c r="EU14" s="16"/>
      <c r="EV14" s="178"/>
      <c r="EW14" s="186"/>
      <c r="EX14" s="187"/>
      <c r="EY14" s="16"/>
      <c r="EZ14" s="16"/>
      <c r="FA14" s="16"/>
      <c r="FB14" s="16"/>
      <c r="FC14" s="178"/>
      <c r="FD14" s="186"/>
      <c r="FE14" s="187"/>
      <c r="FF14" s="16"/>
      <c r="FG14" s="16"/>
      <c r="FH14" s="16"/>
      <c r="FI14" s="16"/>
      <c r="FJ14" s="178"/>
      <c r="FK14" s="186"/>
      <c r="FL14" s="187"/>
      <c r="FM14" s="16"/>
      <c r="FN14" s="16"/>
      <c r="FO14" s="16"/>
      <c r="FP14" s="16"/>
      <c r="FQ14" s="178"/>
      <c r="FR14" s="186"/>
      <c r="FS14" s="187"/>
      <c r="FT14" s="16"/>
      <c r="FU14" s="16"/>
      <c r="FV14" s="16"/>
      <c r="FW14" s="16"/>
      <c r="FX14" s="178"/>
      <c r="FY14" s="186"/>
      <c r="FZ14" s="187"/>
      <c r="GA14" s="16"/>
      <c r="GB14" s="16"/>
      <c r="GC14" s="16"/>
      <c r="GD14" s="16"/>
      <c r="GE14" s="178"/>
      <c r="GF14" s="186"/>
      <c r="GG14" s="187"/>
      <c r="GH14" s="16"/>
      <c r="GI14" s="16"/>
      <c r="GJ14" s="16"/>
      <c r="GK14" s="16"/>
      <c r="GL14" s="178"/>
      <c r="GM14" s="186"/>
      <c r="GN14" s="187"/>
      <c r="GO14" s="16"/>
      <c r="GP14" s="16"/>
      <c r="GQ14" s="16"/>
      <c r="GR14" s="16"/>
      <c r="GS14" s="178"/>
      <c r="GT14" s="186"/>
      <c r="GU14" s="187"/>
      <c r="GV14" s="16"/>
      <c r="GW14" s="16"/>
      <c r="GX14" s="16"/>
      <c r="GY14" s="16"/>
      <c r="GZ14" s="178"/>
      <c r="HA14" s="186"/>
      <c r="HB14" s="187"/>
      <c r="HC14" s="16"/>
      <c r="HD14" s="16"/>
      <c r="HE14" s="16"/>
      <c r="HF14" s="16"/>
      <c r="HG14" s="178"/>
      <c r="HH14" s="186"/>
      <c r="HI14" s="187"/>
      <c r="HJ14" s="16"/>
      <c r="HK14" s="16"/>
      <c r="HL14" s="16"/>
      <c r="HM14" s="16"/>
      <c r="HN14" s="178"/>
      <c r="HO14" s="186"/>
      <c r="HP14" s="187"/>
      <c r="HQ14" s="16"/>
      <c r="HR14" s="16"/>
      <c r="HS14" s="16"/>
      <c r="HT14" s="16"/>
      <c r="HU14" s="178"/>
      <c r="HV14" s="186"/>
      <c r="HW14" s="187"/>
      <c r="HX14" s="16"/>
      <c r="HY14" s="16"/>
      <c r="HZ14" s="16"/>
      <c r="IA14" s="16"/>
      <c r="IB14" s="178"/>
      <c r="IC14" s="186"/>
      <c r="ID14" s="187"/>
      <c r="IE14" s="16"/>
      <c r="IF14" s="16"/>
      <c r="IG14" s="16"/>
      <c r="IH14" s="16"/>
      <c r="II14" s="178"/>
      <c r="IJ14" s="186"/>
      <c r="IK14" s="187"/>
      <c r="IL14" s="16"/>
      <c r="IM14" s="16"/>
      <c r="IN14" s="16"/>
      <c r="IO14" s="16"/>
      <c r="IP14" s="178"/>
      <c r="IQ14" s="186"/>
      <c r="IR14" s="187"/>
      <c r="IS14" s="16"/>
      <c r="IT14" s="16"/>
      <c r="IU14" s="16"/>
      <c r="IV14" s="16"/>
      <c r="IW14" s="178"/>
      <c r="IX14" s="186"/>
      <c r="IY14" s="187"/>
      <c r="IZ14" s="16"/>
      <c r="JA14" s="16"/>
      <c r="JB14" s="16"/>
      <c r="JC14" s="16"/>
      <c r="JD14" s="178"/>
      <c r="JE14" s="186"/>
      <c r="JF14" s="187"/>
      <c r="JG14" s="16"/>
      <c r="JH14" s="16"/>
      <c r="JI14" s="16"/>
      <c r="JJ14" s="16"/>
      <c r="JK14" s="178"/>
      <c r="JL14" s="186"/>
      <c r="JM14" s="187"/>
      <c r="JN14" s="16"/>
      <c r="JO14" s="16"/>
      <c r="JP14" s="16"/>
      <c r="JQ14" s="16"/>
      <c r="JR14" s="178"/>
      <c r="JS14" s="186"/>
      <c r="JT14" s="187"/>
      <c r="JU14" s="16"/>
      <c r="JV14" s="16"/>
      <c r="JW14" s="16"/>
      <c r="JX14" s="16"/>
      <c r="JY14" s="178"/>
      <c r="JZ14" s="186"/>
      <c r="KA14" s="187"/>
      <c r="KB14" s="16"/>
      <c r="KC14" s="16"/>
      <c r="KD14" s="16"/>
      <c r="KE14" s="16"/>
      <c r="KF14" s="178"/>
      <c r="KG14" s="186"/>
      <c r="KH14" s="187"/>
      <c r="KI14" s="16"/>
      <c r="KJ14" s="16"/>
      <c r="KK14" s="16"/>
      <c r="KL14" s="16"/>
      <c r="KM14" s="178"/>
      <c r="KN14" s="186"/>
      <c r="KO14" s="187"/>
      <c r="KP14" s="16"/>
      <c r="KQ14" s="16"/>
      <c r="KR14" s="16"/>
      <c r="KS14" s="16"/>
      <c r="KT14" s="178"/>
      <c r="KU14" s="186"/>
      <c r="KV14" s="187"/>
      <c r="KW14" s="16"/>
      <c r="KX14" s="16"/>
      <c r="KY14" s="16"/>
      <c r="KZ14" s="16"/>
      <c r="LA14" s="178"/>
      <c r="LB14" s="186"/>
      <c r="LC14" s="187"/>
      <c r="LD14" s="16"/>
      <c r="LE14" s="16"/>
      <c r="LF14" s="16"/>
      <c r="LG14" s="16"/>
      <c r="LH14" s="178"/>
      <c r="LI14" s="186"/>
      <c r="LJ14" s="187"/>
      <c r="LK14" s="16"/>
      <c r="LL14" s="16"/>
      <c r="LM14" s="16"/>
      <c r="LN14" s="16"/>
      <c r="LO14" s="178"/>
      <c r="LP14" s="186"/>
      <c r="LQ14" s="187"/>
      <c r="LR14" s="16"/>
      <c r="LS14" s="16"/>
      <c r="LT14" s="16"/>
      <c r="LU14" s="16"/>
      <c r="LV14" s="178"/>
      <c r="LW14" s="186"/>
      <c r="LX14" s="187"/>
      <c r="LY14" s="16"/>
      <c r="LZ14" s="16"/>
      <c r="MA14" s="16"/>
      <c r="MB14" s="16"/>
      <c r="MC14" s="178"/>
      <c r="MD14" s="186"/>
      <c r="ME14" s="187"/>
      <c r="MF14" s="16"/>
      <c r="MG14" s="16"/>
      <c r="MH14" s="16"/>
      <c r="MI14" s="16"/>
      <c r="MJ14" s="178"/>
      <c r="MK14" s="186"/>
      <c r="ML14" s="187"/>
      <c r="MM14" s="16"/>
      <c r="MN14" s="16"/>
      <c r="MO14" s="16"/>
      <c r="MP14" s="16"/>
      <c r="MQ14" s="178"/>
      <c r="MR14" s="186"/>
      <c r="MS14" s="187"/>
      <c r="MT14" s="16"/>
      <c r="MU14" s="16"/>
      <c r="MV14" s="16"/>
      <c r="MW14" s="16"/>
      <c r="MX14" s="178"/>
      <c r="MY14" s="186"/>
      <c r="MZ14" s="184"/>
      <c r="NC14" s="194"/>
    </row>
    <row r="15" spans="1:367" x14ac:dyDescent="0.3">
      <c r="A15" s="207">
        <v>3272</v>
      </c>
      <c r="B15" s="269"/>
      <c r="C15" s="192"/>
      <c r="D15" s="182"/>
      <c r="E15" s="183"/>
      <c r="F15" s="193"/>
      <c r="G15" s="192"/>
      <c r="H15" s="182"/>
      <c r="I15" s="182"/>
      <c r="J15" s="182"/>
      <c r="K15" s="182"/>
      <c r="L15" s="183"/>
      <c r="M15" s="193"/>
      <c r="N15" s="192"/>
      <c r="O15" s="182"/>
      <c r="P15" s="182"/>
      <c r="Q15" s="182"/>
      <c r="R15" s="182"/>
      <c r="S15" s="183"/>
      <c r="T15" s="193"/>
      <c r="U15" s="192"/>
      <c r="V15" s="182"/>
      <c r="W15" s="182"/>
      <c r="X15" s="182"/>
      <c r="Y15" s="182"/>
      <c r="Z15" s="183"/>
      <c r="AA15" s="193"/>
      <c r="AB15" s="192"/>
      <c r="AC15" s="182"/>
      <c r="AD15" s="182"/>
      <c r="AE15" s="182"/>
      <c r="AF15" s="182"/>
      <c r="AG15" s="183"/>
      <c r="AH15" s="193"/>
      <c r="AI15" s="192"/>
      <c r="AJ15" s="182"/>
      <c r="AK15" s="182"/>
      <c r="AL15" s="182"/>
      <c r="AM15" s="182"/>
      <c r="AN15" s="183"/>
      <c r="AO15" s="193"/>
      <c r="AP15" s="192"/>
      <c r="AQ15" s="182"/>
      <c r="AR15" s="182"/>
      <c r="AS15" s="182"/>
      <c r="AT15" s="182"/>
      <c r="AU15" s="183"/>
      <c r="AV15" s="193"/>
      <c r="AW15" s="192"/>
      <c r="AX15" s="182"/>
      <c r="AY15" s="182"/>
      <c r="AZ15" s="182"/>
      <c r="BA15" s="182"/>
      <c r="BB15" s="183"/>
      <c r="BC15" s="193"/>
      <c r="BD15" s="192"/>
      <c r="BE15" s="182"/>
      <c r="BF15" s="182"/>
      <c r="BG15" s="182"/>
      <c r="BH15" s="182"/>
      <c r="BI15" s="183"/>
      <c r="BJ15" s="193"/>
      <c r="BK15" s="192"/>
      <c r="BL15" s="182"/>
      <c r="BM15" s="182"/>
      <c r="BN15" s="182"/>
      <c r="BO15" s="182"/>
      <c r="BP15" s="183"/>
      <c r="BQ15" s="193"/>
      <c r="BR15" s="192"/>
      <c r="BS15" s="182"/>
      <c r="BT15" s="182"/>
      <c r="BU15" s="182"/>
      <c r="BV15" s="182"/>
      <c r="BW15" s="183"/>
      <c r="BX15" s="193"/>
      <c r="BY15" s="192"/>
      <c r="BZ15" s="182"/>
      <c r="CA15" s="182"/>
      <c r="CB15" s="182"/>
      <c r="CC15" s="182"/>
      <c r="CD15" s="183"/>
      <c r="CE15" s="193"/>
      <c r="CF15" s="192"/>
      <c r="CG15" s="182"/>
      <c r="CH15" s="182"/>
      <c r="CI15" s="182"/>
      <c r="CJ15" s="182"/>
      <c r="CK15" s="183"/>
      <c r="CL15" s="193"/>
      <c r="CM15" s="192"/>
      <c r="CN15" s="182"/>
      <c r="CO15" s="182"/>
      <c r="CP15" s="182"/>
      <c r="CQ15" s="182"/>
      <c r="CR15" s="183"/>
      <c r="CS15" s="193"/>
      <c r="CT15" s="192"/>
      <c r="CU15" s="182"/>
      <c r="CV15" s="182"/>
      <c r="CW15" s="182"/>
      <c r="CX15" s="182"/>
      <c r="CY15" s="183"/>
      <c r="CZ15" s="193"/>
      <c r="DA15" s="192"/>
      <c r="DB15" s="182"/>
      <c r="DC15" s="182"/>
      <c r="DD15" s="182"/>
      <c r="DE15" s="182"/>
      <c r="DF15" s="183"/>
      <c r="DG15" s="193"/>
      <c r="DH15" s="192"/>
      <c r="DI15" s="182"/>
      <c r="DJ15" s="182"/>
      <c r="DK15" s="182"/>
      <c r="DL15" s="182"/>
      <c r="DM15" s="183"/>
      <c r="DN15" s="193"/>
      <c r="DO15" s="192"/>
      <c r="DP15" s="182"/>
      <c r="DQ15" s="182"/>
      <c r="DR15" s="182"/>
      <c r="DS15" s="182"/>
      <c r="DT15" s="183"/>
      <c r="DU15" s="193"/>
      <c r="DV15" s="192"/>
      <c r="DW15" s="182"/>
      <c r="DX15" s="182"/>
      <c r="DY15" s="182"/>
      <c r="DZ15" s="182"/>
      <c r="EA15" s="183"/>
      <c r="EB15" s="193"/>
      <c r="EC15" s="192"/>
      <c r="ED15" s="182"/>
      <c r="EE15" s="182"/>
      <c r="EF15" s="182"/>
      <c r="EG15" s="182"/>
      <c r="EH15" s="183"/>
      <c r="EI15" s="193"/>
      <c r="EJ15" s="192"/>
      <c r="EK15" s="182"/>
      <c r="EL15" s="182"/>
      <c r="EM15" s="182"/>
      <c r="EN15" s="182"/>
      <c r="EO15" s="183"/>
      <c r="EP15" s="193"/>
      <c r="EQ15" s="192"/>
      <c r="ER15" s="182"/>
      <c r="ES15" s="182"/>
      <c r="ET15" s="182"/>
      <c r="EU15" s="182"/>
      <c r="EV15" s="183"/>
      <c r="EW15" s="193"/>
      <c r="EX15" s="192"/>
      <c r="EY15" s="182"/>
      <c r="EZ15" s="182"/>
      <c r="FA15" s="182"/>
      <c r="FB15" s="182"/>
      <c r="FC15" s="183"/>
      <c r="FD15" s="193"/>
      <c r="FE15" s="192"/>
      <c r="FF15" s="182"/>
      <c r="FG15" s="182"/>
      <c r="FH15" s="182"/>
      <c r="FI15" s="182"/>
      <c r="FJ15" s="183"/>
      <c r="FK15" s="193"/>
      <c r="FL15" s="192"/>
      <c r="FM15" s="182"/>
      <c r="FN15" s="182"/>
      <c r="FO15" s="182"/>
      <c r="FP15" s="182"/>
      <c r="FQ15" s="183"/>
      <c r="FR15" s="193"/>
      <c r="FS15" s="192"/>
      <c r="FT15" s="182"/>
      <c r="FU15" s="182"/>
      <c r="FV15" s="182"/>
      <c r="FW15" s="182"/>
      <c r="FX15" s="183"/>
      <c r="FY15" s="193"/>
      <c r="FZ15" s="192"/>
      <c r="GA15" s="182"/>
      <c r="GB15" s="182"/>
      <c r="GC15" s="182"/>
      <c r="GD15" s="182"/>
      <c r="GE15" s="183"/>
      <c r="GF15" s="193"/>
      <c r="GG15" s="192"/>
      <c r="GH15" s="182"/>
      <c r="GI15" s="182"/>
      <c r="GJ15" s="182"/>
      <c r="GK15" s="182"/>
      <c r="GL15" s="183"/>
      <c r="GM15" s="193"/>
      <c r="GN15" s="192"/>
      <c r="GO15" s="182"/>
      <c r="GP15" s="182"/>
      <c r="GQ15" s="182"/>
      <c r="GR15" s="182"/>
      <c r="GS15" s="183"/>
      <c r="GT15" s="193"/>
      <c r="GU15" s="192"/>
      <c r="GV15" s="182"/>
      <c r="GW15" s="182"/>
      <c r="GX15" s="182"/>
      <c r="GY15" s="182"/>
      <c r="GZ15" s="183"/>
      <c r="HA15" s="193"/>
      <c r="HB15" s="192"/>
      <c r="HC15" s="182"/>
      <c r="HD15" s="182"/>
      <c r="HE15" s="182"/>
      <c r="HF15" s="182"/>
      <c r="HG15" s="183"/>
      <c r="HH15" s="193"/>
      <c r="HI15" s="192"/>
      <c r="HJ15" s="182"/>
      <c r="HK15" s="182"/>
      <c r="HL15" s="182"/>
      <c r="HM15" s="182"/>
      <c r="HN15" s="183"/>
      <c r="HO15" s="193"/>
      <c r="HP15" s="192"/>
      <c r="HQ15" s="182"/>
      <c r="HR15" s="182"/>
      <c r="HS15" s="182"/>
      <c r="HT15" s="182"/>
      <c r="HU15" s="183"/>
      <c r="HV15" s="193"/>
      <c r="HW15" s="192"/>
      <c r="HX15" s="182"/>
      <c r="HY15" s="182"/>
      <c r="HZ15" s="182"/>
      <c r="IA15" s="182"/>
      <c r="IB15" s="183"/>
      <c r="IC15" s="193"/>
      <c r="ID15" s="192"/>
      <c r="IE15" s="182"/>
      <c r="IF15" s="182"/>
      <c r="IG15" s="182"/>
      <c r="IH15" s="182"/>
      <c r="II15" s="183"/>
      <c r="IJ15" s="193"/>
      <c r="IK15" s="192"/>
      <c r="IL15" s="182"/>
      <c r="IM15" s="182"/>
      <c r="IN15" s="182"/>
      <c r="IO15" s="182"/>
      <c r="IP15" s="183"/>
      <c r="IQ15" s="193"/>
      <c r="IR15" s="192"/>
      <c r="IS15" s="182"/>
      <c r="IT15" s="182"/>
      <c r="IU15" s="182"/>
      <c r="IV15" s="182"/>
      <c r="IW15" s="183"/>
      <c r="IX15" s="193"/>
      <c r="IY15" s="192"/>
      <c r="IZ15" s="182"/>
      <c r="JA15" s="182"/>
      <c r="JB15" s="182"/>
      <c r="JC15" s="182"/>
      <c r="JD15" s="183"/>
      <c r="JE15" s="193"/>
      <c r="JF15" s="192"/>
      <c r="JG15" s="182"/>
      <c r="JH15" s="182"/>
      <c r="JI15" s="182"/>
      <c r="JJ15" s="182"/>
      <c r="JK15" s="183"/>
      <c r="JL15" s="193"/>
      <c r="JM15" s="192"/>
      <c r="JN15" s="182"/>
      <c r="JO15" s="182"/>
      <c r="JP15" s="182"/>
      <c r="JQ15" s="182"/>
      <c r="JR15" s="183"/>
      <c r="JS15" s="193"/>
      <c r="JT15" s="192"/>
      <c r="JU15" s="182"/>
      <c r="JV15" s="182"/>
      <c r="JW15" s="182"/>
      <c r="JX15" s="182"/>
      <c r="JY15" s="183"/>
      <c r="JZ15" s="193"/>
      <c r="KA15" s="192"/>
      <c r="KB15" s="182"/>
      <c r="KC15" s="182"/>
      <c r="KD15" s="182"/>
      <c r="KE15" s="182"/>
      <c r="KF15" s="183"/>
      <c r="KG15" s="193"/>
      <c r="KH15" s="192"/>
      <c r="KI15" s="182"/>
      <c r="KJ15" s="182"/>
      <c r="KK15" s="182"/>
      <c r="KL15" s="182"/>
      <c r="KM15" s="183"/>
      <c r="KN15" s="193"/>
      <c r="KO15" s="192"/>
      <c r="KP15" s="182"/>
      <c r="KQ15" s="182"/>
      <c r="KR15" s="182"/>
      <c r="KS15" s="182"/>
      <c r="KT15" s="183"/>
      <c r="KU15" s="193"/>
      <c r="KV15" s="192"/>
      <c r="KW15" s="182"/>
      <c r="KX15" s="182"/>
      <c r="KY15" s="182"/>
      <c r="KZ15" s="182"/>
      <c r="LA15" s="183"/>
      <c r="LB15" s="193"/>
      <c r="LC15" s="192"/>
      <c r="LD15" s="182"/>
      <c r="LE15" s="182"/>
      <c r="LF15" s="182"/>
      <c r="LG15" s="182"/>
      <c r="LH15" s="183"/>
      <c r="LI15" s="193"/>
      <c r="LJ15" s="192"/>
      <c r="LK15" s="182"/>
      <c r="LL15" s="182"/>
      <c r="LM15" s="182"/>
      <c r="LN15" s="182"/>
      <c r="LO15" s="183"/>
      <c r="LP15" s="193"/>
      <c r="LQ15" s="192"/>
      <c r="LR15" s="182"/>
      <c r="LS15" s="182"/>
      <c r="LT15" s="182"/>
      <c r="LU15" s="182"/>
      <c r="LV15" s="183"/>
      <c r="LW15" s="193"/>
      <c r="LX15" s="192"/>
      <c r="LY15" s="182"/>
      <c r="LZ15" s="182"/>
      <c r="MA15" s="182"/>
      <c r="MB15" s="182"/>
      <c r="MC15" s="183"/>
      <c r="MD15" s="193"/>
      <c r="ME15" s="192"/>
      <c r="MF15" s="182"/>
      <c r="MG15" s="182"/>
      <c r="MH15" s="182"/>
      <c r="MI15" s="182"/>
      <c r="MJ15" s="183"/>
      <c r="MK15" s="193"/>
      <c r="ML15" s="192"/>
      <c r="MM15" s="182"/>
      <c r="MN15" s="182"/>
      <c r="MO15" s="182"/>
      <c r="MP15" s="182"/>
      <c r="MQ15" s="183"/>
      <c r="MR15" s="193"/>
      <c r="MS15" s="192"/>
      <c r="MT15" s="182"/>
      <c r="MU15" s="182"/>
      <c r="MV15" s="182"/>
      <c r="MW15" s="182"/>
      <c r="MX15" s="183"/>
      <c r="MY15" s="193"/>
      <c r="MZ15" s="196"/>
      <c r="NA15" s="177"/>
      <c r="NB15" s="177"/>
      <c r="NC15" s="197"/>
    </row>
    <row r="16" spans="1:367" x14ac:dyDescent="0.3">
      <c r="A16" s="223">
        <v>3363</v>
      </c>
      <c r="B16" s="269" t="s">
        <v>12</v>
      </c>
      <c r="C16" s="200" t="s">
        <v>9</v>
      </c>
      <c r="D16" s="200" t="s">
        <v>9</v>
      </c>
      <c r="E16" s="181"/>
      <c r="F16" s="191"/>
      <c r="G16" s="213" t="s">
        <v>7</v>
      </c>
      <c r="H16" s="202">
        <v>3332</v>
      </c>
      <c r="I16" s="202">
        <v>3332</v>
      </c>
      <c r="J16" s="202">
        <v>3332</v>
      </c>
      <c r="K16" s="202">
        <v>3332</v>
      </c>
      <c r="L16" s="181"/>
      <c r="M16" s="191"/>
      <c r="N16" s="205">
        <v>3334</v>
      </c>
      <c r="O16" s="202">
        <v>3332</v>
      </c>
      <c r="P16" s="202">
        <v>3332</v>
      </c>
      <c r="Q16" s="202">
        <v>3332</v>
      </c>
      <c r="R16" s="202">
        <v>3332</v>
      </c>
      <c r="S16" s="181"/>
      <c r="T16" s="191"/>
      <c r="U16" s="225">
        <v>3297</v>
      </c>
      <c r="V16" s="201">
        <v>3335</v>
      </c>
      <c r="W16" s="213" t="s">
        <v>7</v>
      </c>
      <c r="X16" s="213" t="s">
        <v>7</v>
      </c>
      <c r="Y16" s="213" t="s">
        <v>7</v>
      </c>
      <c r="Z16" s="181"/>
      <c r="AA16" s="191"/>
      <c r="AB16" s="225">
        <v>3297</v>
      </c>
      <c r="AC16" s="225">
        <v>3297</v>
      </c>
      <c r="AD16" s="213" t="s">
        <v>7</v>
      </c>
      <c r="AE16" s="213" t="s">
        <v>7</v>
      </c>
      <c r="AF16" s="213" t="s">
        <v>7</v>
      </c>
      <c r="AG16" s="181"/>
      <c r="AH16" s="191"/>
      <c r="AI16" s="200" t="s">
        <v>25</v>
      </c>
      <c r="AJ16" s="225">
        <v>3297</v>
      </c>
      <c r="AK16" s="202">
        <v>3332</v>
      </c>
      <c r="AL16" s="202">
        <v>3332</v>
      </c>
      <c r="AM16" s="202">
        <v>3332</v>
      </c>
      <c r="AN16" s="181"/>
      <c r="AO16" s="191"/>
      <c r="AP16" s="202">
        <v>3332</v>
      </c>
      <c r="AQ16" s="202">
        <v>3332</v>
      </c>
      <c r="AR16" s="202">
        <v>3332</v>
      </c>
      <c r="AS16" s="202">
        <v>3332</v>
      </c>
      <c r="AT16" s="213" t="s">
        <v>7</v>
      </c>
      <c r="AU16" s="181"/>
      <c r="AV16" s="191"/>
      <c r="AW16" s="225">
        <v>3297</v>
      </c>
      <c r="AX16" s="225">
        <v>3297</v>
      </c>
      <c r="AY16" s="225">
        <v>3297</v>
      </c>
      <c r="AZ16" s="202">
        <v>3332</v>
      </c>
      <c r="BA16" s="202">
        <v>3332</v>
      </c>
      <c r="BB16" s="181"/>
      <c r="BC16" s="191"/>
      <c r="BD16" s="213" t="s">
        <v>7</v>
      </c>
      <c r="BE16" s="213" t="s">
        <v>7</v>
      </c>
      <c r="BF16" s="213" t="s">
        <v>7</v>
      </c>
      <c r="BG16" s="213" t="s">
        <v>7</v>
      </c>
      <c r="BH16" s="213" t="s">
        <v>7</v>
      </c>
      <c r="BI16" s="181"/>
      <c r="BJ16" s="191"/>
      <c r="BK16" s="202">
        <v>3332</v>
      </c>
      <c r="BL16" s="202">
        <v>3332</v>
      </c>
      <c r="BM16" s="202">
        <v>3332</v>
      </c>
      <c r="BN16" s="202">
        <v>3332</v>
      </c>
      <c r="BO16" s="213" t="s">
        <v>7</v>
      </c>
      <c r="BP16" s="181"/>
      <c r="BQ16" s="191"/>
      <c r="BR16" s="190"/>
      <c r="BS16" s="176"/>
      <c r="BT16" s="176"/>
      <c r="BU16" s="176"/>
      <c r="BV16" s="176"/>
      <c r="BW16" s="181"/>
      <c r="BX16" s="191"/>
      <c r="BY16" s="190"/>
      <c r="BZ16" s="176"/>
      <c r="CA16" s="176"/>
      <c r="CB16" s="176"/>
      <c r="CC16" s="176"/>
      <c r="CD16" s="181"/>
      <c r="CE16" s="191"/>
      <c r="CF16" s="190"/>
      <c r="CG16" s="176"/>
      <c r="CH16" s="176"/>
      <c r="CI16" s="176"/>
      <c r="CJ16" s="176"/>
      <c r="CK16" s="181"/>
      <c r="CL16" s="191"/>
      <c r="CM16" s="190"/>
      <c r="CN16" s="176"/>
      <c r="CO16" s="176"/>
      <c r="CP16" s="176"/>
      <c r="CQ16" s="176"/>
      <c r="CR16" s="181"/>
      <c r="CS16" s="191"/>
      <c r="CT16" s="190"/>
      <c r="CU16" s="176"/>
      <c r="CV16" s="176"/>
      <c r="CW16" s="176"/>
      <c r="CX16" s="176"/>
      <c r="CY16" s="181"/>
      <c r="CZ16" s="191"/>
      <c r="DA16" s="190"/>
      <c r="DB16" s="176"/>
      <c r="DC16" s="176"/>
      <c r="DD16" s="176"/>
      <c r="DE16" s="176"/>
      <c r="DF16" s="181"/>
      <c r="DG16" s="191"/>
      <c r="DH16" s="190"/>
      <c r="DI16" s="176"/>
      <c r="DJ16" s="176"/>
      <c r="DK16" s="176"/>
      <c r="DL16" s="176"/>
      <c r="DM16" s="181"/>
      <c r="DN16" s="191"/>
      <c r="DO16" s="190"/>
      <c r="DP16" s="176"/>
      <c r="DQ16" s="176"/>
      <c r="DR16" s="176"/>
      <c r="DS16" s="176"/>
      <c r="DT16" s="181"/>
      <c r="DU16" s="191"/>
      <c r="DV16" s="190"/>
      <c r="DW16" s="176"/>
      <c r="DX16" s="176"/>
      <c r="DY16" s="176"/>
      <c r="DZ16" s="176"/>
      <c r="EA16" s="181"/>
      <c r="EB16" s="191"/>
      <c r="EC16" s="190"/>
      <c r="ED16" s="176"/>
      <c r="EE16" s="176"/>
      <c r="EF16" s="176"/>
      <c r="EG16" s="176"/>
      <c r="EH16" s="181"/>
      <c r="EI16" s="191"/>
      <c r="EJ16" s="190"/>
      <c r="EK16" s="176"/>
      <c r="EL16" s="176"/>
      <c r="EM16" s="176"/>
      <c r="EN16" s="176"/>
      <c r="EO16" s="181"/>
      <c r="EP16" s="191"/>
      <c r="EQ16" s="190"/>
      <c r="ER16" s="176"/>
      <c r="ES16" s="176"/>
      <c r="ET16" s="176"/>
      <c r="EU16" s="176"/>
      <c r="EV16" s="181"/>
      <c r="EW16" s="191"/>
      <c r="EX16" s="190"/>
      <c r="EY16" s="176"/>
      <c r="EZ16" s="176"/>
      <c r="FA16" s="176"/>
      <c r="FB16" s="176"/>
      <c r="FC16" s="181"/>
      <c r="FD16" s="191"/>
      <c r="FE16" s="190"/>
      <c r="FF16" s="176"/>
      <c r="FG16" s="176"/>
      <c r="FH16" s="176"/>
      <c r="FI16" s="176"/>
      <c r="FJ16" s="181"/>
      <c r="FK16" s="191"/>
      <c r="FL16" s="190"/>
      <c r="FM16" s="176"/>
      <c r="FN16" s="176"/>
      <c r="FO16" s="176"/>
      <c r="FP16" s="176"/>
      <c r="FQ16" s="181"/>
      <c r="FR16" s="191"/>
      <c r="FS16" s="190"/>
      <c r="FT16" s="176"/>
      <c r="FU16" s="176"/>
      <c r="FV16" s="176"/>
      <c r="FW16" s="176"/>
      <c r="FX16" s="181"/>
      <c r="FY16" s="191"/>
      <c r="FZ16" s="190"/>
      <c r="GA16" s="176"/>
      <c r="GB16" s="176"/>
      <c r="GC16" s="176"/>
      <c r="GD16" s="176"/>
      <c r="GE16" s="181"/>
      <c r="GF16" s="191"/>
      <c r="GG16" s="190"/>
      <c r="GH16" s="176"/>
      <c r="GI16" s="176"/>
      <c r="GJ16" s="176"/>
      <c r="GK16" s="176"/>
      <c r="GL16" s="181"/>
      <c r="GM16" s="191"/>
      <c r="GN16" s="190"/>
      <c r="GO16" s="176"/>
      <c r="GP16" s="176"/>
      <c r="GQ16" s="176"/>
      <c r="GR16" s="176"/>
      <c r="GS16" s="181"/>
      <c r="GT16" s="191"/>
      <c r="GU16" s="190"/>
      <c r="GV16" s="176"/>
      <c r="GW16" s="176"/>
      <c r="GX16" s="176"/>
      <c r="GY16" s="176"/>
      <c r="GZ16" s="181"/>
      <c r="HA16" s="191"/>
      <c r="HB16" s="190"/>
      <c r="HC16" s="176"/>
      <c r="HD16" s="176"/>
      <c r="HE16" s="176"/>
      <c r="HF16" s="176"/>
      <c r="HG16" s="181"/>
      <c r="HH16" s="191"/>
      <c r="HI16" s="190"/>
      <c r="HJ16" s="176"/>
      <c r="HK16" s="176"/>
      <c r="HL16" s="176"/>
      <c r="HM16" s="176"/>
      <c r="HN16" s="181"/>
      <c r="HO16" s="191"/>
      <c r="HP16" s="190"/>
      <c r="HQ16" s="176"/>
      <c r="HR16" s="176"/>
      <c r="HS16" s="176"/>
      <c r="HT16" s="176"/>
      <c r="HU16" s="181"/>
      <c r="HV16" s="191"/>
      <c r="HW16" s="190"/>
      <c r="HX16" s="176"/>
      <c r="HY16" s="176"/>
      <c r="HZ16" s="176"/>
      <c r="IA16" s="176"/>
      <c r="IB16" s="181"/>
      <c r="IC16" s="191"/>
      <c r="ID16" s="190"/>
      <c r="IE16" s="176"/>
      <c r="IF16" s="176"/>
      <c r="IG16" s="176"/>
      <c r="IH16" s="176"/>
      <c r="II16" s="181"/>
      <c r="IJ16" s="191"/>
      <c r="IK16" s="190"/>
      <c r="IL16" s="176"/>
      <c r="IM16" s="176"/>
      <c r="IN16" s="176"/>
      <c r="IO16" s="176"/>
      <c r="IP16" s="181"/>
      <c r="IQ16" s="191"/>
      <c r="IR16" s="190"/>
      <c r="IS16" s="176"/>
      <c r="IT16" s="176"/>
      <c r="IU16" s="176"/>
      <c r="IV16" s="176"/>
      <c r="IW16" s="181"/>
      <c r="IX16" s="191"/>
      <c r="IY16" s="190"/>
      <c r="IZ16" s="176"/>
      <c r="JA16" s="176"/>
      <c r="JB16" s="176"/>
      <c r="JC16" s="176"/>
      <c r="JD16" s="181"/>
      <c r="JE16" s="191"/>
      <c r="JF16" s="190"/>
      <c r="JG16" s="176"/>
      <c r="JH16" s="176"/>
      <c r="JI16" s="176"/>
      <c r="JJ16" s="176"/>
      <c r="JK16" s="181"/>
      <c r="JL16" s="191"/>
      <c r="JM16" s="190"/>
      <c r="JN16" s="176"/>
      <c r="JO16" s="176"/>
      <c r="JP16" s="176"/>
      <c r="JQ16" s="176"/>
      <c r="JR16" s="181"/>
      <c r="JS16" s="191"/>
      <c r="JT16" s="190"/>
      <c r="JU16" s="176"/>
      <c r="JV16" s="176"/>
      <c r="JW16" s="176"/>
      <c r="JX16" s="176"/>
      <c r="JY16" s="181"/>
      <c r="JZ16" s="191"/>
      <c r="KA16" s="190"/>
      <c r="KB16" s="176"/>
      <c r="KC16" s="176"/>
      <c r="KD16" s="176"/>
      <c r="KE16" s="176"/>
      <c r="KF16" s="181"/>
      <c r="KG16" s="191"/>
      <c r="KH16" s="190"/>
      <c r="KI16" s="176"/>
      <c r="KJ16" s="176"/>
      <c r="KK16" s="176"/>
      <c r="KL16" s="176"/>
      <c r="KM16" s="181"/>
      <c r="KN16" s="191"/>
      <c r="KO16" s="190"/>
      <c r="KP16" s="176"/>
      <c r="KQ16" s="176"/>
      <c r="KR16" s="176"/>
      <c r="KS16" s="176"/>
      <c r="KT16" s="181"/>
      <c r="KU16" s="191"/>
      <c r="KV16" s="190"/>
      <c r="KW16" s="176"/>
      <c r="KX16" s="176"/>
      <c r="KY16" s="176"/>
      <c r="KZ16" s="176"/>
      <c r="LA16" s="181"/>
      <c r="LB16" s="191"/>
      <c r="LC16" s="190"/>
      <c r="LD16" s="176"/>
      <c r="LE16" s="176"/>
      <c r="LF16" s="176"/>
      <c r="LG16" s="176"/>
      <c r="LH16" s="181"/>
      <c r="LI16" s="191"/>
      <c r="LJ16" s="190"/>
      <c r="LK16" s="176"/>
      <c r="LL16" s="176"/>
      <c r="LM16" s="176"/>
      <c r="LN16" s="176"/>
      <c r="LO16" s="181"/>
      <c r="LP16" s="191"/>
      <c r="LQ16" s="190"/>
      <c r="LR16" s="176"/>
      <c r="LS16" s="176"/>
      <c r="LT16" s="176"/>
      <c r="LU16" s="176"/>
      <c r="LV16" s="181"/>
      <c r="LW16" s="191"/>
      <c r="LX16" s="190"/>
      <c r="LY16" s="176"/>
      <c r="LZ16" s="176"/>
      <c r="MA16" s="176"/>
      <c r="MB16" s="176"/>
      <c r="MC16" s="181"/>
      <c r="MD16" s="191"/>
      <c r="ME16" s="190"/>
      <c r="MF16" s="176"/>
      <c r="MG16" s="176"/>
      <c r="MH16" s="176"/>
      <c r="MI16" s="176"/>
      <c r="MJ16" s="181"/>
      <c r="MK16" s="191"/>
      <c r="ML16" s="190"/>
      <c r="MM16" s="176"/>
      <c r="MN16" s="176"/>
      <c r="MO16" s="176"/>
      <c r="MP16" s="176"/>
      <c r="MQ16" s="181"/>
      <c r="MR16" s="191"/>
      <c r="MS16" s="190"/>
      <c r="MT16" s="176"/>
      <c r="MU16" s="176"/>
      <c r="MV16" s="176"/>
      <c r="MW16" s="176"/>
      <c r="MX16" s="181"/>
      <c r="MY16" s="191"/>
      <c r="MZ16" s="190"/>
      <c r="NA16" s="176"/>
      <c r="NB16" s="176"/>
      <c r="NC16" s="195"/>
    </row>
    <row r="17" spans="1:367" x14ac:dyDescent="0.3">
      <c r="A17" s="209">
        <v>3300</v>
      </c>
      <c r="B17" s="269"/>
      <c r="C17" s="200" t="s">
        <v>9</v>
      </c>
      <c r="D17" s="200" t="s">
        <v>9</v>
      </c>
      <c r="E17" s="16"/>
      <c r="F17" s="186"/>
      <c r="G17" s="213" t="s">
        <v>7</v>
      </c>
      <c r="H17" s="202">
        <v>3332</v>
      </c>
      <c r="I17" s="202">
        <v>3332</v>
      </c>
      <c r="J17" s="202">
        <v>3332</v>
      </c>
      <c r="K17" s="202">
        <v>3332</v>
      </c>
      <c r="L17" s="16"/>
      <c r="M17" s="186"/>
      <c r="N17" s="201">
        <v>3335</v>
      </c>
      <c r="O17" s="202">
        <v>3332</v>
      </c>
      <c r="P17" s="202">
        <v>3332</v>
      </c>
      <c r="Q17" s="202">
        <v>3332</v>
      </c>
      <c r="R17" s="202">
        <v>3332</v>
      </c>
      <c r="S17" s="16"/>
      <c r="T17" s="186"/>
      <c r="U17" s="225">
        <v>3297</v>
      </c>
      <c r="V17" s="213" t="s">
        <v>7</v>
      </c>
      <c r="W17" s="213" t="s">
        <v>7</v>
      </c>
      <c r="X17" s="213" t="s">
        <v>7</v>
      </c>
      <c r="Y17" s="213" t="s">
        <v>7</v>
      </c>
      <c r="Z17" s="16"/>
      <c r="AA17" s="186"/>
      <c r="AB17" s="225">
        <v>3297</v>
      </c>
      <c r="AC17" s="225">
        <v>3297</v>
      </c>
      <c r="AD17" s="213" t="s">
        <v>7</v>
      </c>
      <c r="AE17" s="213" t="s">
        <v>7</v>
      </c>
      <c r="AF17" s="213" t="s">
        <v>7</v>
      </c>
      <c r="AG17" s="16"/>
      <c r="AH17" s="186"/>
      <c r="AI17" s="200" t="s">
        <v>25</v>
      </c>
      <c r="AJ17" s="225">
        <v>3297</v>
      </c>
      <c r="AK17" s="202">
        <v>3332</v>
      </c>
      <c r="AL17" s="202">
        <v>3332</v>
      </c>
      <c r="AM17" s="202">
        <v>3332</v>
      </c>
      <c r="AN17" s="16"/>
      <c r="AO17" s="186"/>
      <c r="AP17" s="202">
        <v>3332</v>
      </c>
      <c r="AQ17" s="202">
        <v>3332</v>
      </c>
      <c r="AR17" s="202">
        <v>3332</v>
      </c>
      <c r="AS17" s="213" t="s">
        <v>7</v>
      </c>
      <c r="AT17" s="213" t="s">
        <v>7</v>
      </c>
      <c r="AU17" s="16"/>
      <c r="AV17" s="186"/>
      <c r="AW17" s="225">
        <v>3297</v>
      </c>
      <c r="AX17" s="225">
        <v>3297</v>
      </c>
      <c r="AY17" s="225">
        <v>3297</v>
      </c>
      <c r="AZ17" s="202">
        <v>3332</v>
      </c>
      <c r="BA17" s="202">
        <v>3332</v>
      </c>
      <c r="BB17" s="16"/>
      <c r="BC17" s="186"/>
      <c r="BD17" s="213" t="s">
        <v>7</v>
      </c>
      <c r="BE17" s="213" t="s">
        <v>7</v>
      </c>
      <c r="BF17" s="213" t="s">
        <v>7</v>
      </c>
      <c r="BG17" s="213" t="s">
        <v>7</v>
      </c>
      <c r="BH17" s="213" t="s">
        <v>7</v>
      </c>
      <c r="BI17" s="16"/>
      <c r="BJ17" s="186"/>
      <c r="BK17" s="202">
        <v>3332</v>
      </c>
      <c r="BL17" s="202">
        <v>3332</v>
      </c>
      <c r="BM17" s="202">
        <v>3332</v>
      </c>
      <c r="BN17" s="202">
        <v>3332</v>
      </c>
      <c r="BO17" s="213" t="s">
        <v>7</v>
      </c>
      <c r="BP17" s="16"/>
      <c r="BQ17" s="186"/>
      <c r="BR17" s="184"/>
      <c r="BW17" s="16"/>
      <c r="BX17" s="186"/>
      <c r="BY17" s="184"/>
      <c r="CD17" s="16"/>
      <c r="CE17" s="186"/>
      <c r="CF17" s="184"/>
      <c r="CK17" s="16"/>
      <c r="CL17" s="186"/>
      <c r="CM17" s="184"/>
      <c r="CR17" s="16"/>
      <c r="CS17" s="186"/>
      <c r="CT17" s="184"/>
      <c r="CY17" s="16"/>
      <c r="CZ17" s="186"/>
      <c r="DA17" s="184"/>
      <c r="DF17" s="16"/>
      <c r="DG17" s="186"/>
      <c r="DH17" s="184"/>
      <c r="DM17" s="16"/>
      <c r="DN17" s="186"/>
      <c r="DO17" s="184"/>
      <c r="DT17" s="16"/>
      <c r="DU17" s="186"/>
      <c r="DV17" s="184"/>
      <c r="EA17" s="16"/>
      <c r="EB17" s="186"/>
      <c r="EC17" s="184"/>
      <c r="EH17" s="16"/>
      <c r="EI17" s="186"/>
      <c r="EJ17" s="184"/>
      <c r="EO17" s="16"/>
      <c r="EP17" s="186"/>
      <c r="EQ17" s="184"/>
      <c r="EV17" s="16"/>
      <c r="EW17" s="186"/>
      <c r="EX17" s="184"/>
      <c r="FC17" s="16"/>
      <c r="FD17" s="186"/>
      <c r="FE17" s="184"/>
      <c r="FJ17" s="16"/>
      <c r="FK17" s="186"/>
      <c r="FL17" s="184"/>
      <c r="FQ17" s="16"/>
      <c r="FR17" s="186"/>
      <c r="FS17" s="184"/>
      <c r="FX17" s="16"/>
      <c r="FY17" s="186"/>
      <c r="FZ17" s="184"/>
      <c r="GE17" s="16"/>
      <c r="GF17" s="186"/>
      <c r="GG17" s="184"/>
      <c r="GL17" s="16"/>
      <c r="GM17" s="186"/>
      <c r="GN17" s="184"/>
      <c r="GS17" s="16"/>
      <c r="GT17" s="186"/>
      <c r="GU17" s="184"/>
      <c r="GZ17" s="16"/>
      <c r="HA17" s="186"/>
      <c r="HB17" s="184"/>
      <c r="HG17" s="16"/>
      <c r="HH17" s="186"/>
      <c r="HI17" s="184"/>
      <c r="HN17" s="16"/>
      <c r="HO17" s="186"/>
      <c r="HP17" s="184"/>
      <c r="HU17" s="16"/>
      <c r="HV17" s="186"/>
      <c r="HW17" s="184"/>
      <c r="IB17" s="16"/>
      <c r="IC17" s="186"/>
      <c r="ID17" s="184"/>
      <c r="II17" s="16"/>
      <c r="IJ17" s="186"/>
      <c r="IK17" s="184"/>
      <c r="IP17" s="16"/>
      <c r="IQ17" s="186"/>
      <c r="IR17" s="184"/>
      <c r="IW17" s="16"/>
      <c r="IX17" s="186"/>
      <c r="IY17" s="184"/>
      <c r="JD17" s="16"/>
      <c r="JE17" s="186"/>
      <c r="JF17" s="184"/>
      <c r="JK17" s="16"/>
      <c r="JL17" s="186"/>
      <c r="JM17" s="184"/>
      <c r="JR17" s="16"/>
      <c r="JS17" s="186"/>
      <c r="JT17" s="184"/>
      <c r="JY17" s="16"/>
      <c r="JZ17" s="186"/>
      <c r="KA17" s="184"/>
      <c r="KF17" s="16"/>
      <c r="KG17" s="186"/>
      <c r="KH17" s="184"/>
      <c r="KM17" s="16"/>
      <c r="KN17" s="186"/>
      <c r="KO17" s="184"/>
      <c r="KT17" s="16"/>
      <c r="KU17" s="186"/>
      <c r="KV17" s="184"/>
      <c r="LA17" s="16"/>
      <c r="LB17" s="186"/>
      <c r="LC17" s="184"/>
      <c r="LH17" s="16"/>
      <c r="LI17" s="186"/>
      <c r="LJ17" s="184"/>
      <c r="LO17" s="16"/>
      <c r="LP17" s="186"/>
      <c r="LQ17" s="184"/>
      <c r="LV17" s="16"/>
      <c r="LW17" s="186"/>
      <c r="LX17" s="184"/>
      <c r="MC17" s="16"/>
      <c r="MD17" s="186"/>
      <c r="ME17" s="184"/>
      <c r="MJ17" s="16"/>
      <c r="MK17" s="186"/>
      <c r="ML17" s="184"/>
      <c r="MQ17" s="16"/>
      <c r="MR17" s="186"/>
      <c r="MS17" s="184"/>
      <c r="MX17" s="16"/>
      <c r="MY17" s="186"/>
      <c r="MZ17" s="184"/>
      <c r="NC17" s="194"/>
    </row>
    <row r="18" spans="1:367" x14ac:dyDescent="0.3">
      <c r="A18" s="223">
        <v>3364</v>
      </c>
      <c r="B18" s="269"/>
      <c r="C18" s="200" t="s">
        <v>9</v>
      </c>
      <c r="D18" s="200" t="s">
        <v>9</v>
      </c>
      <c r="E18" s="16"/>
      <c r="F18" s="186"/>
      <c r="G18" s="213" t="s">
        <v>7</v>
      </c>
      <c r="H18" s="202">
        <v>3332</v>
      </c>
      <c r="I18" s="202">
        <v>3332</v>
      </c>
      <c r="J18" s="202">
        <v>3332</v>
      </c>
      <c r="K18" s="202">
        <v>3332</v>
      </c>
      <c r="L18" s="16"/>
      <c r="M18" s="186"/>
      <c r="N18" s="202">
        <v>3332</v>
      </c>
      <c r="O18" s="202">
        <v>3332</v>
      </c>
      <c r="P18" s="202">
        <v>3332</v>
      </c>
      <c r="Q18" s="202">
        <v>3332</v>
      </c>
      <c r="R18" s="202">
        <v>3332</v>
      </c>
      <c r="S18" s="16"/>
      <c r="T18" s="186"/>
      <c r="U18" s="225">
        <v>3297</v>
      </c>
      <c r="V18" s="213" t="s">
        <v>7</v>
      </c>
      <c r="W18" s="213" t="s">
        <v>7</v>
      </c>
      <c r="X18" s="213" t="s">
        <v>7</v>
      </c>
      <c r="Y18" s="213" t="s">
        <v>7</v>
      </c>
      <c r="Z18" s="16"/>
      <c r="AA18" s="186"/>
      <c r="AB18" s="225">
        <v>3297</v>
      </c>
      <c r="AC18" s="225">
        <v>3297</v>
      </c>
      <c r="AD18" s="213" t="s">
        <v>7</v>
      </c>
      <c r="AE18" s="213" t="s">
        <v>7</v>
      </c>
      <c r="AF18" s="213" t="s">
        <v>7</v>
      </c>
      <c r="AG18" s="16"/>
      <c r="AH18" s="186"/>
      <c r="AI18" s="200" t="s">
        <v>25</v>
      </c>
      <c r="AJ18" s="225">
        <v>3297</v>
      </c>
      <c r="AK18" s="202">
        <v>3332</v>
      </c>
      <c r="AL18" s="202">
        <v>3332</v>
      </c>
      <c r="AM18" s="202">
        <v>3332</v>
      </c>
      <c r="AN18" s="16"/>
      <c r="AO18" s="186"/>
      <c r="AP18" s="202">
        <v>3332</v>
      </c>
      <c r="AQ18" s="202">
        <v>3332</v>
      </c>
      <c r="AR18" s="202">
        <v>3332</v>
      </c>
      <c r="AS18" s="213" t="s">
        <v>7</v>
      </c>
      <c r="AT18" s="213" t="s">
        <v>7</v>
      </c>
      <c r="AU18" s="16"/>
      <c r="AV18" s="186"/>
      <c r="AW18" s="225">
        <v>3297</v>
      </c>
      <c r="AX18" s="225">
        <v>3297</v>
      </c>
      <c r="AY18" s="225">
        <v>3297</v>
      </c>
      <c r="AZ18" s="202">
        <v>3332</v>
      </c>
      <c r="BA18" s="202">
        <v>3332</v>
      </c>
      <c r="BB18" s="16"/>
      <c r="BC18" s="186"/>
      <c r="BD18" s="213" t="s">
        <v>7</v>
      </c>
      <c r="BE18" s="213" t="s">
        <v>7</v>
      </c>
      <c r="BF18" s="213" t="s">
        <v>7</v>
      </c>
      <c r="BG18" s="213" t="s">
        <v>7</v>
      </c>
      <c r="BH18" s="213" t="s">
        <v>7</v>
      </c>
      <c r="BI18" s="16"/>
      <c r="BJ18" s="186"/>
      <c r="BK18" s="202">
        <v>3332</v>
      </c>
      <c r="BL18" s="202">
        <v>3332</v>
      </c>
      <c r="BM18" s="202">
        <v>3332</v>
      </c>
      <c r="BN18" s="202">
        <v>3332</v>
      </c>
      <c r="BO18" s="213" t="s">
        <v>7</v>
      </c>
      <c r="BP18" s="16"/>
      <c r="BQ18" s="186"/>
      <c r="BR18" s="184"/>
      <c r="BW18" s="16"/>
      <c r="BX18" s="186"/>
      <c r="BY18" s="184"/>
      <c r="CD18" s="16"/>
      <c r="CE18" s="186"/>
      <c r="CF18" s="184"/>
      <c r="CK18" s="16"/>
      <c r="CL18" s="186"/>
      <c r="CM18" s="184"/>
      <c r="CR18" s="16"/>
      <c r="CS18" s="186"/>
      <c r="CT18" s="184"/>
      <c r="CY18" s="16"/>
      <c r="CZ18" s="186"/>
      <c r="DA18" s="184"/>
      <c r="DF18" s="16"/>
      <c r="DG18" s="186"/>
      <c r="DH18" s="184"/>
      <c r="DM18" s="16"/>
      <c r="DN18" s="186"/>
      <c r="DO18" s="184"/>
      <c r="DT18" s="16"/>
      <c r="DU18" s="186"/>
      <c r="DV18" s="184"/>
      <c r="EA18" s="16"/>
      <c r="EB18" s="186"/>
      <c r="EC18" s="184"/>
      <c r="EH18" s="16"/>
      <c r="EI18" s="186"/>
      <c r="EJ18" s="184"/>
      <c r="EO18" s="16"/>
      <c r="EP18" s="186"/>
      <c r="EQ18" s="184"/>
      <c r="EV18" s="16"/>
      <c r="EW18" s="186"/>
      <c r="EX18" s="184"/>
      <c r="FC18" s="16"/>
      <c r="FD18" s="186"/>
      <c r="FE18" s="184"/>
      <c r="FJ18" s="16"/>
      <c r="FK18" s="186"/>
      <c r="FL18" s="184"/>
      <c r="FQ18" s="16"/>
      <c r="FR18" s="186"/>
      <c r="FS18" s="184"/>
      <c r="FX18" s="16"/>
      <c r="FY18" s="186"/>
      <c r="FZ18" s="184"/>
      <c r="GE18" s="16"/>
      <c r="GF18" s="186"/>
      <c r="GG18" s="184"/>
      <c r="GL18" s="16"/>
      <c r="GM18" s="186"/>
      <c r="GN18" s="184"/>
      <c r="GS18" s="16"/>
      <c r="GT18" s="186"/>
      <c r="GU18" s="184"/>
      <c r="GZ18" s="16"/>
      <c r="HA18" s="186"/>
      <c r="HB18" s="184"/>
      <c r="HG18" s="16"/>
      <c r="HH18" s="186"/>
      <c r="HI18" s="184"/>
      <c r="HN18" s="16"/>
      <c r="HO18" s="186"/>
      <c r="HP18" s="184"/>
      <c r="HU18" s="16"/>
      <c r="HV18" s="186"/>
      <c r="HW18" s="184"/>
      <c r="IB18" s="16"/>
      <c r="IC18" s="186"/>
      <c r="ID18" s="184"/>
      <c r="II18" s="16"/>
      <c r="IJ18" s="186"/>
      <c r="IK18" s="184"/>
      <c r="IP18" s="16"/>
      <c r="IQ18" s="186"/>
      <c r="IR18" s="184"/>
      <c r="IW18" s="16"/>
      <c r="IX18" s="186"/>
      <c r="IY18" s="184"/>
      <c r="JD18" s="16"/>
      <c r="JE18" s="186"/>
      <c r="JF18" s="184"/>
      <c r="JK18" s="16"/>
      <c r="JL18" s="186"/>
      <c r="JM18" s="184"/>
      <c r="JR18" s="16"/>
      <c r="JS18" s="186"/>
      <c r="JT18" s="184"/>
      <c r="JY18" s="16"/>
      <c r="JZ18" s="186"/>
      <c r="KA18" s="184"/>
      <c r="KF18" s="16"/>
      <c r="KG18" s="186"/>
      <c r="KH18" s="184"/>
      <c r="KM18" s="16"/>
      <c r="KN18" s="186"/>
      <c r="KO18" s="184"/>
      <c r="KT18" s="16"/>
      <c r="KU18" s="186"/>
      <c r="KV18" s="184"/>
      <c r="LA18" s="16"/>
      <c r="LB18" s="186"/>
      <c r="LC18" s="184"/>
      <c r="LH18" s="16"/>
      <c r="LI18" s="186"/>
      <c r="LJ18" s="184"/>
      <c r="LO18" s="16"/>
      <c r="LP18" s="186"/>
      <c r="LQ18" s="184"/>
      <c r="LV18" s="16"/>
      <c r="LW18" s="186"/>
      <c r="LX18" s="184"/>
      <c r="MC18" s="16"/>
      <c r="MD18" s="186"/>
      <c r="ME18" s="184"/>
      <c r="MJ18" s="16"/>
      <c r="MK18" s="186"/>
      <c r="ML18" s="184"/>
      <c r="MQ18" s="16"/>
      <c r="MR18" s="186"/>
      <c r="MS18" s="184"/>
      <c r="MX18" s="16"/>
      <c r="MY18" s="186"/>
      <c r="MZ18" s="184"/>
      <c r="NC18" s="194"/>
    </row>
    <row r="19" spans="1:367" x14ac:dyDescent="0.3">
      <c r="A19" s="210">
        <v>3341</v>
      </c>
      <c r="B19" s="269"/>
      <c r="C19" s="200" t="s">
        <v>9</v>
      </c>
      <c r="D19" s="200" t="s">
        <v>9</v>
      </c>
      <c r="E19" s="16"/>
      <c r="F19" s="186"/>
      <c r="G19" s="213" t="s">
        <v>7</v>
      </c>
      <c r="H19" s="213" t="s">
        <v>7</v>
      </c>
      <c r="I19" s="213" t="s">
        <v>7</v>
      </c>
      <c r="J19" s="213" t="s">
        <v>7</v>
      </c>
      <c r="K19" s="213" t="s">
        <v>7</v>
      </c>
      <c r="L19" s="16"/>
      <c r="M19" s="186"/>
      <c r="N19" s="202">
        <v>3332</v>
      </c>
      <c r="O19" s="202">
        <v>3332</v>
      </c>
      <c r="P19" s="202">
        <v>3332</v>
      </c>
      <c r="Q19" s="202">
        <v>3332</v>
      </c>
      <c r="R19" s="202">
        <v>3332</v>
      </c>
      <c r="S19" s="16"/>
      <c r="T19" s="186"/>
      <c r="U19" s="225">
        <v>3297</v>
      </c>
      <c r="V19" s="213" t="s">
        <v>7</v>
      </c>
      <c r="W19" s="213" t="s">
        <v>7</v>
      </c>
      <c r="X19" s="213" t="s">
        <v>7</v>
      </c>
      <c r="Y19" s="213" t="s">
        <v>7</v>
      </c>
      <c r="Z19" s="16"/>
      <c r="AA19" s="186"/>
      <c r="AB19" s="213" t="s">
        <v>7</v>
      </c>
      <c r="AC19" s="213" t="s">
        <v>7</v>
      </c>
      <c r="AD19" s="213" t="s">
        <v>7</v>
      </c>
      <c r="AE19" s="213" t="s">
        <v>7</v>
      </c>
      <c r="AF19" s="213" t="s">
        <v>7</v>
      </c>
      <c r="AG19" s="16"/>
      <c r="AH19" s="186"/>
      <c r="AI19" s="200" t="s">
        <v>25</v>
      </c>
      <c r="AJ19" s="225">
        <v>3297</v>
      </c>
      <c r="AK19" s="202">
        <v>3332</v>
      </c>
      <c r="AL19" s="202">
        <v>3332</v>
      </c>
      <c r="AM19" s="202">
        <v>3332</v>
      </c>
      <c r="AN19" s="16"/>
      <c r="AO19" s="186"/>
      <c r="AP19" s="202">
        <v>3332</v>
      </c>
      <c r="AQ19" s="202">
        <v>3332</v>
      </c>
      <c r="AR19" s="202">
        <v>3332</v>
      </c>
      <c r="AS19" s="213" t="s">
        <v>7</v>
      </c>
      <c r="AT19" s="213" t="s">
        <v>7</v>
      </c>
      <c r="AU19" s="16"/>
      <c r="AV19" s="186"/>
      <c r="AW19" s="225">
        <v>3297</v>
      </c>
      <c r="AX19" s="225">
        <v>3297</v>
      </c>
      <c r="AY19" s="225">
        <v>3297</v>
      </c>
      <c r="AZ19" s="202">
        <v>3332</v>
      </c>
      <c r="BA19" s="202">
        <v>3332</v>
      </c>
      <c r="BB19" s="16"/>
      <c r="BC19" s="186"/>
      <c r="BD19" s="213" t="s">
        <v>7</v>
      </c>
      <c r="BE19" s="213" t="s">
        <v>7</v>
      </c>
      <c r="BF19" s="213" t="s">
        <v>7</v>
      </c>
      <c r="BG19" s="213" t="s">
        <v>7</v>
      </c>
      <c r="BH19" s="213" t="s">
        <v>7</v>
      </c>
      <c r="BI19" s="16"/>
      <c r="BJ19" s="186"/>
      <c r="BK19" s="202">
        <v>3332</v>
      </c>
      <c r="BL19" s="202">
        <v>3332</v>
      </c>
      <c r="BM19" s="202">
        <v>3332</v>
      </c>
      <c r="BN19" s="202">
        <v>3332</v>
      </c>
      <c r="BO19" s="213" t="s">
        <v>7</v>
      </c>
      <c r="BP19" s="16"/>
      <c r="BQ19" s="186"/>
      <c r="BR19" s="184"/>
      <c r="BW19" s="16"/>
      <c r="BX19" s="186"/>
      <c r="BY19" s="184"/>
      <c r="CD19" s="16"/>
      <c r="CE19" s="186"/>
      <c r="CF19" s="184"/>
      <c r="CK19" s="16"/>
      <c r="CL19" s="186"/>
      <c r="CM19" s="184"/>
      <c r="CR19" s="16"/>
      <c r="CS19" s="186"/>
      <c r="CT19" s="184"/>
      <c r="CY19" s="16"/>
      <c r="CZ19" s="186"/>
      <c r="DA19" s="184"/>
      <c r="DF19" s="16"/>
      <c r="DG19" s="186"/>
      <c r="DH19" s="184"/>
      <c r="DM19" s="16"/>
      <c r="DN19" s="186"/>
      <c r="DO19" s="184"/>
      <c r="DT19" s="16"/>
      <c r="DU19" s="186"/>
      <c r="DV19" s="184"/>
      <c r="EA19" s="16"/>
      <c r="EB19" s="186"/>
      <c r="EC19" s="184"/>
      <c r="EH19" s="16"/>
      <c r="EI19" s="186"/>
      <c r="EJ19" s="184"/>
      <c r="EO19" s="16"/>
      <c r="EP19" s="186"/>
      <c r="EQ19" s="184"/>
      <c r="EV19" s="16"/>
      <c r="EW19" s="186"/>
      <c r="EX19" s="184"/>
      <c r="FC19" s="16"/>
      <c r="FD19" s="186"/>
      <c r="FE19" s="184"/>
      <c r="FJ19" s="16"/>
      <c r="FK19" s="186"/>
      <c r="FL19" s="184"/>
      <c r="FQ19" s="16"/>
      <c r="FR19" s="186"/>
      <c r="FS19" s="184"/>
      <c r="FX19" s="16"/>
      <c r="FY19" s="186"/>
      <c r="FZ19" s="184"/>
      <c r="GE19" s="16"/>
      <c r="GF19" s="186"/>
      <c r="GG19" s="184"/>
      <c r="GL19" s="16"/>
      <c r="GM19" s="186"/>
      <c r="GN19" s="184"/>
      <c r="GS19" s="16"/>
      <c r="GT19" s="186"/>
      <c r="GU19" s="184"/>
      <c r="GZ19" s="16"/>
      <c r="HA19" s="186"/>
      <c r="HB19" s="184"/>
      <c r="HG19" s="16"/>
      <c r="HH19" s="186"/>
      <c r="HI19" s="184"/>
      <c r="HN19" s="16"/>
      <c r="HO19" s="186"/>
      <c r="HP19" s="184"/>
      <c r="HU19" s="16"/>
      <c r="HV19" s="186"/>
      <c r="HW19" s="184"/>
      <c r="IB19" s="16"/>
      <c r="IC19" s="186"/>
      <c r="ID19" s="184"/>
      <c r="II19" s="16"/>
      <c r="IJ19" s="186"/>
      <c r="IK19" s="184"/>
      <c r="IP19" s="16"/>
      <c r="IQ19" s="186"/>
      <c r="IR19" s="184"/>
      <c r="IW19" s="16"/>
      <c r="IX19" s="186"/>
      <c r="IY19" s="184"/>
      <c r="JD19" s="16"/>
      <c r="JE19" s="186"/>
      <c r="JF19" s="184"/>
      <c r="JK19" s="16"/>
      <c r="JL19" s="186"/>
      <c r="JM19" s="184"/>
      <c r="JR19" s="16"/>
      <c r="JS19" s="186"/>
      <c r="JT19" s="184"/>
      <c r="JY19" s="16"/>
      <c r="JZ19" s="186"/>
      <c r="KA19" s="184"/>
      <c r="KF19" s="16"/>
      <c r="KG19" s="186"/>
      <c r="KH19" s="184"/>
      <c r="KM19" s="16"/>
      <c r="KN19" s="186"/>
      <c r="KO19" s="184"/>
      <c r="KT19" s="16"/>
      <c r="KU19" s="186"/>
      <c r="KV19" s="184"/>
      <c r="LA19" s="16"/>
      <c r="LB19" s="186"/>
      <c r="LC19" s="184"/>
      <c r="LH19" s="16"/>
      <c r="LI19" s="186"/>
      <c r="LJ19" s="184"/>
      <c r="LO19" s="16"/>
      <c r="LP19" s="186"/>
      <c r="LQ19" s="184"/>
      <c r="LV19" s="16"/>
      <c r="LW19" s="186"/>
      <c r="LX19" s="184"/>
      <c r="MC19" s="16"/>
      <c r="MD19" s="186"/>
      <c r="ME19" s="184"/>
      <c r="MJ19" s="16"/>
      <c r="MK19" s="186"/>
      <c r="ML19" s="184"/>
      <c r="MQ19" s="16"/>
      <c r="MR19" s="186"/>
      <c r="MS19" s="184"/>
      <c r="MX19" s="16"/>
      <c r="MY19" s="186"/>
      <c r="MZ19" s="184"/>
      <c r="NC19" s="194"/>
    </row>
    <row r="20" spans="1:367" x14ac:dyDescent="0.3">
      <c r="A20" s="211">
        <v>3351</v>
      </c>
      <c r="B20" s="269"/>
      <c r="C20" s="200" t="s">
        <v>9</v>
      </c>
      <c r="D20" s="200" t="s">
        <v>9</v>
      </c>
      <c r="E20" s="16"/>
      <c r="F20" s="186"/>
      <c r="G20" s="213" t="s">
        <v>7</v>
      </c>
      <c r="H20" s="213" t="s">
        <v>7</v>
      </c>
      <c r="I20" s="213" t="s">
        <v>7</v>
      </c>
      <c r="J20" s="213" t="s">
        <v>7</v>
      </c>
      <c r="K20" s="213" t="s">
        <v>7</v>
      </c>
      <c r="L20" s="16"/>
      <c r="M20" s="186"/>
      <c r="N20" s="202">
        <v>3332</v>
      </c>
      <c r="O20" s="202">
        <v>3332</v>
      </c>
      <c r="P20" s="202">
        <v>3332</v>
      </c>
      <c r="Q20" s="202">
        <v>3332</v>
      </c>
      <c r="R20" s="202">
        <v>3332</v>
      </c>
      <c r="S20" s="16"/>
      <c r="T20" s="186"/>
      <c r="U20" s="225">
        <v>3297</v>
      </c>
      <c r="V20" s="213" t="s">
        <v>7</v>
      </c>
      <c r="W20" s="213" t="s">
        <v>7</v>
      </c>
      <c r="X20" s="213" t="s">
        <v>7</v>
      </c>
      <c r="Y20" s="213" t="s">
        <v>7</v>
      </c>
      <c r="Z20" s="16"/>
      <c r="AA20" s="186"/>
      <c r="AB20" s="213" t="s">
        <v>7</v>
      </c>
      <c r="AC20" s="213" t="s">
        <v>7</v>
      </c>
      <c r="AD20" s="213" t="s">
        <v>7</v>
      </c>
      <c r="AE20" s="213" t="s">
        <v>7</v>
      </c>
      <c r="AF20" s="213" t="s">
        <v>7</v>
      </c>
      <c r="AG20" s="16"/>
      <c r="AH20" s="186"/>
      <c r="AI20" s="200" t="s">
        <v>25</v>
      </c>
      <c r="AJ20" s="225">
        <v>3297</v>
      </c>
      <c r="AK20" s="202">
        <v>3332</v>
      </c>
      <c r="AL20" s="202">
        <v>3332</v>
      </c>
      <c r="AM20" s="202">
        <v>3332</v>
      </c>
      <c r="AN20" s="16"/>
      <c r="AO20" s="186"/>
      <c r="AP20" s="202">
        <v>3332</v>
      </c>
      <c r="AQ20" s="202">
        <v>3332</v>
      </c>
      <c r="AR20" s="202">
        <v>3332</v>
      </c>
      <c r="AS20" s="213" t="s">
        <v>7</v>
      </c>
      <c r="AT20" s="213" t="s">
        <v>7</v>
      </c>
      <c r="AU20" s="16"/>
      <c r="AV20" s="186"/>
      <c r="AW20" s="225">
        <v>3297</v>
      </c>
      <c r="AX20" s="225">
        <v>3297</v>
      </c>
      <c r="AY20" s="225">
        <v>3297</v>
      </c>
      <c r="AZ20" s="202">
        <v>3332</v>
      </c>
      <c r="BA20" s="202">
        <v>3332</v>
      </c>
      <c r="BB20" s="16"/>
      <c r="BC20" s="186"/>
      <c r="BD20" s="213" t="s">
        <v>7</v>
      </c>
      <c r="BE20" s="213" t="s">
        <v>7</v>
      </c>
      <c r="BF20" s="213" t="s">
        <v>7</v>
      </c>
      <c r="BG20" s="213" t="s">
        <v>7</v>
      </c>
      <c r="BH20" s="213" t="s">
        <v>7</v>
      </c>
      <c r="BI20" s="16"/>
      <c r="BJ20" s="186"/>
      <c r="BK20" s="202">
        <v>3332</v>
      </c>
      <c r="BL20" s="202">
        <v>3332</v>
      </c>
      <c r="BM20" s="202">
        <v>3332</v>
      </c>
      <c r="BN20" s="202">
        <v>3332</v>
      </c>
      <c r="BO20" s="213" t="s">
        <v>7</v>
      </c>
      <c r="BP20" s="16"/>
      <c r="BQ20" s="186"/>
      <c r="BR20" s="184"/>
      <c r="BW20" s="16"/>
      <c r="BX20" s="186"/>
      <c r="BY20" s="184"/>
      <c r="CD20" s="16"/>
      <c r="CE20" s="186"/>
      <c r="CF20" s="184"/>
      <c r="CK20" s="16"/>
      <c r="CL20" s="186"/>
      <c r="CM20" s="184"/>
      <c r="CR20" s="16"/>
      <c r="CS20" s="186"/>
      <c r="CT20" s="184"/>
      <c r="CY20" s="16"/>
      <c r="CZ20" s="186"/>
      <c r="DA20" s="184"/>
      <c r="DF20" s="16"/>
      <c r="DG20" s="186"/>
      <c r="DH20" s="184"/>
      <c r="DM20" s="16"/>
      <c r="DN20" s="186"/>
      <c r="DO20" s="184"/>
      <c r="DT20" s="16"/>
      <c r="DU20" s="186"/>
      <c r="DV20" s="184"/>
      <c r="EA20" s="16"/>
      <c r="EB20" s="186"/>
      <c r="EC20" s="184"/>
      <c r="EH20" s="16"/>
      <c r="EI20" s="186"/>
      <c r="EJ20" s="184"/>
      <c r="EO20" s="16"/>
      <c r="EP20" s="186"/>
      <c r="EQ20" s="184"/>
      <c r="EV20" s="16"/>
      <c r="EW20" s="186"/>
      <c r="EX20" s="184"/>
      <c r="FC20" s="16"/>
      <c r="FD20" s="186"/>
      <c r="FE20" s="184"/>
      <c r="FJ20" s="16"/>
      <c r="FK20" s="186"/>
      <c r="FL20" s="184"/>
      <c r="FQ20" s="16"/>
      <c r="FR20" s="186"/>
      <c r="FS20" s="184"/>
      <c r="FX20" s="16"/>
      <c r="FY20" s="186"/>
      <c r="FZ20" s="184"/>
      <c r="GE20" s="16"/>
      <c r="GF20" s="186"/>
      <c r="GG20" s="184"/>
      <c r="GL20" s="16"/>
      <c r="GM20" s="186"/>
      <c r="GN20" s="184"/>
      <c r="GS20" s="16"/>
      <c r="GT20" s="186"/>
      <c r="GU20" s="184"/>
      <c r="GZ20" s="16"/>
      <c r="HA20" s="186"/>
      <c r="HB20" s="184"/>
      <c r="HG20" s="16"/>
      <c r="HH20" s="186"/>
      <c r="HI20" s="184"/>
      <c r="HN20" s="16"/>
      <c r="HO20" s="186"/>
      <c r="HP20" s="184"/>
      <c r="HU20" s="16"/>
      <c r="HV20" s="186"/>
      <c r="HW20" s="184"/>
      <c r="IB20" s="16"/>
      <c r="IC20" s="186"/>
      <c r="ID20" s="184"/>
      <c r="II20" s="16"/>
      <c r="IJ20" s="186"/>
      <c r="IK20" s="184"/>
      <c r="IP20" s="16"/>
      <c r="IQ20" s="186"/>
      <c r="IR20" s="184"/>
      <c r="IW20" s="16"/>
      <c r="IX20" s="186"/>
      <c r="IY20" s="184"/>
      <c r="JD20" s="16"/>
      <c r="JE20" s="186"/>
      <c r="JF20" s="184"/>
      <c r="JK20" s="16"/>
      <c r="JL20" s="186"/>
      <c r="JM20" s="184"/>
      <c r="JR20" s="16"/>
      <c r="JS20" s="186"/>
      <c r="JT20" s="184"/>
      <c r="JY20" s="16"/>
      <c r="JZ20" s="186"/>
      <c r="KA20" s="184"/>
      <c r="KF20" s="16"/>
      <c r="KG20" s="186"/>
      <c r="KH20" s="184"/>
      <c r="KM20" s="16"/>
      <c r="KN20" s="186"/>
      <c r="KO20" s="184"/>
      <c r="KT20" s="16"/>
      <c r="KU20" s="186"/>
      <c r="KV20" s="184"/>
      <c r="LA20" s="16"/>
      <c r="LB20" s="186"/>
      <c r="LC20" s="184"/>
      <c r="LH20" s="16"/>
      <c r="LI20" s="186"/>
      <c r="LJ20" s="184"/>
      <c r="LO20" s="16"/>
      <c r="LP20" s="186"/>
      <c r="LQ20" s="184"/>
      <c r="LV20" s="16"/>
      <c r="LW20" s="186"/>
      <c r="LX20" s="184"/>
      <c r="MC20" s="16"/>
      <c r="MD20" s="186"/>
      <c r="ME20" s="184"/>
      <c r="MJ20" s="16"/>
      <c r="MK20" s="186"/>
      <c r="ML20" s="184"/>
      <c r="MQ20" s="16"/>
      <c r="MR20" s="186"/>
      <c r="MS20" s="184"/>
      <c r="MX20" s="16"/>
      <c r="MY20" s="186"/>
      <c r="MZ20" s="184"/>
      <c r="NC20" s="194"/>
    </row>
    <row r="21" spans="1:367" x14ac:dyDescent="0.3">
      <c r="A21" s="212">
        <v>3321</v>
      </c>
      <c r="B21" s="269"/>
      <c r="C21" s="200" t="s">
        <v>9</v>
      </c>
      <c r="D21" s="200" t="s">
        <v>9</v>
      </c>
      <c r="E21" s="16"/>
      <c r="F21" s="186"/>
      <c r="G21" s="213" t="s">
        <v>7</v>
      </c>
      <c r="H21" s="213" t="s">
        <v>7</v>
      </c>
      <c r="I21" s="213" t="s">
        <v>7</v>
      </c>
      <c r="J21" s="213" t="s">
        <v>7</v>
      </c>
      <c r="K21" s="213" t="s">
        <v>7</v>
      </c>
      <c r="L21" s="16"/>
      <c r="M21" s="186"/>
      <c r="N21" s="202">
        <v>3332</v>
      </c>
      <c r="O21" s="202">
        <v>3332</v>
      </c>
      <c r="P21" s="202">
        <v>3332</v>
      </c>
      <c r="Q21" s="202">
        <v>3332</v>
      </c>
      <c r="R21" s="202">
        <v>3332</v>
      </c>
      <c r="S21" s="16"/>
      <c r="T21" s="186"/>
      <c r="U21" s="225">
        <v>3297</v>
      </c>
      <c r="V21" s="213" t="s">
        <v>7</v>
      </c>
      <c r="W21" s="213" t="s">
        <v>7</v>
      </c>
      <c r="X21" s="213" t="s">
        <v>7</v>
      </c>
      <c r="Y21" s="213" t="s">
        <v>7</v>
      </c>
      <c r="Z21" s="16"/>
      <c r="AA21" s="186"/>
      <c r="AB21" s="213" t="s">
        <v>7</v>
      </c>
      <c r="AC21" s="213" t="s">
        <v>7</v>
      </c>
      <c r="AD21" s="213" t="s">
        <v>7</v>
      </c>
      <c r="AE21" s="213" t="s">
        <v>7</v>
      </c>
      <c r="AF21" s="213" t="s">
        <v>7</v>
      </c>
      <c r="AG21" s="16"/>
      <c r="AH21" s="186"/>
      <c r="AI21" s="200" t="s">
        <v>25</v>
      </c>
      <c r="AJ21" s="225">
        <v>3297</v>
      </c>
      <c r="AK21" s="202">
        <v>3332</v>
      </c>
      <c r="AL21" s="202">
        <v>3332</v>
      </c>
      <c r="AM21" s="202">
        <v>3332</v>
      </c>
      <c r="AN21" s="16"/>
      <c r="AO21" s="186"/>
      <c r="AP21" s="202">
        <v>3332</v>
      </c>
      <c r="AQ21" s="202">
        <v>3332</v>
      </c>
      <c r="AR21" s="202">
        <v>3332</v>
      </c>
      <c r="AS21" s="213" t="s">
        <v>7</v>
      </c>
      <c r="AT21" s="213" t="s">
        <v>7</v>
      </c>
      <c r="AU21" s="16"/>
      <c r="AV21" s="186"/>
      <c r="AW21" s="225">
        <v>3297</v>
      </c>
      <c r="AX21" s="225">
        <v>3297</v>
      </c>
      <c r="AY21" s="225">
        <v>3297</v>
      </c>
      <c r="AZ21" s="202">
        <v>3332</v>
      </c>
      <c r="BA21" s="202">
        <v>3332</v>
      </c>
      <c r="BB21" s="16"/>
      <c r="BC21" s="186"/>
      <c r="BD21" s="213" t="s">
        <v>7</v>
      </c>
      <c r="BE21" s="213" t="s">
        <v>7</v>
      </c>
      <c r="BF21" s="213" t="s">
        <v>7</v>
      </c>
      <c r="BG21" s="213" t="s">
        <v>7</v>
      </c>
      <c r="BH21" s="213" t="s">
        <v>7</v>
      </c>
      <c r="BI21" s="16"/>
      <c r="BJ21" s="186"/>
      <c r="BK21" s="202">
        <v>3332</v>
      </c>
      <c r="BL21" s="202">
        <v>3332</v>
      </c>
      <c r="BM21" s="202">
        <v>3332</v>
      </c>
      <c r="BN21" s="213" t="s">
        <v>7</v>
      </c>
      <c r="BO21" s="213" t="s">
        <v>7</v>
      </c>
      <c r="BP21" s="16"/>
      <c r="BQ21" s="186"/>
      <c r="BR21" s="184"/>
      <c r="BW21" s="16"/>
      <c r="BX21" s="186"/>
      <c r="BY21" s="184"/>
      <c r="CD21" s="16"/>
      <c r="CE21" s="186"/>
      <c r="CF21" s="184"/>
      <c r="CK21" s="16"/>
      <c r="CL21" s="186"/>
      <c r="CM21" s="184"/>
      <c r="CR21" s="16"/>
      <c r="CS21" s="186"/>
      <c r="CT21" s="184"/>
      <c r="CY21" s="16"/>
      <c r="CZ21" s="186"/>
      <c r="DA21" s="184"/>
      <c r="DF21" s="16"/>
      <c r="DG21" s="186"/>
      <c r="DH21" s="184"/>
      <c r="DM21" s="16"/>
      <c r="DN21" s="186"/>
      <c r="DO21" s="184"/>
      <c r="DT21" s="16"/>
      <c r="DU21" s="186"/>
      <c r="DV21" s="184"/>
      <c r="EA21" s="16"/>
      <c r="EB21" s="186"/>
      <c r="EC21" s="184"/>
      <c r="EH21" s="16"/>
      <c r="EI21" s="186"/>
      <c r="EJ21" s="184"/>
      <c r="EO21" s="16"/>
      <c r="EP21" s="186"/>
      <c r="EQ21" s="184"/>
      <c r="EV21" s="16"/>
      <c r="EW21" s="186"/>
      <c r="EX21" s="184"/>
      <c r="FC21" s="16"/>
      <c r="FD21" s="186"/>
      <c r="FE21" s="184"/>
      <c r="FJ21" s="16"/>
      <c r="FK21" s="186"/>
      <c r="FL21" s="184"/>
      <c r="FQ21" s="16"/>
      <c r="FR21" s="186"/>
      <c r="FS21" s="184"/>
      <c r="FX21" s="16"/>
      <c r="FY21" s="186"/>
      <c r="FZ21" s="184"/>
      <c r="GE21" s="16"/>
      <c r="GF21" s="186"/>
      <c r="GG21" s="184"/>
      <c r="GL21" s="16"/>
      <c r="GM21" s="186"/>
      <c r="GN21" s="184"/>
      <c r="GS21" s="16"/>
      <c r="GT21" s="186"/>
      <c r="GU21" s="184"/>
      <c r="GZ21" s="16"/>
      <c r="HA21" s="186"/>
      <c r="HB21" s="184"/>
      <c r="HG21" s="16"/>
      <c r="HH21" s="186"/>
      <c r="HI21" s="184"/>
      <c r="HN21" s="16"/>
      <c r="HO21" s="186"/>
      <c r="HP21" s="184"/>
      <c r="HU21" s="16"/>
      <c r="HV21" s="186"/>
      <c r="HW21" s="184"/>
      <c r="IB21" s="16"/>
      <c r="IC21" s="186"/>
      <c r="ID21" s="184"/>
      <c r="II21" s="16"/>
      <c r="IJ21" s="186"/>
      <c r="IK21" s="184"/>
      <c r="IP21" s="16"/>
      <c r="IQ21" s="186"/>
      <c r="IR21" s="184"/>
      <c r="IW21" s="16"/>
      <c r="IX21" s="186"/>
      <c r="IY21" s="184"/>
      <c r="JD21" s="16"/>
      <c r="JE21" s="186"/>
      <c r="JF21" s="184"/>
      <c r="JK21" s="16"/>
      <c r="JL21" s="186"/>
      <c r="JM21" s="184"/>
      <c r="JR21" s="16"/>
      <c r="JS21" s="186"/>
      <c r="JT21" s="184"/>
      <c r="JY21" s="16"/>
      <c r="JZ21" s="186"/>
      <c r="KA21" s="184"/>
      <c r="KF21" s="16"/>
      <c r="KG21" s="186"/>
      <c r="KH21" s="184"/>
      <c r="KM21" s="16"/>
      <c r="KN21" s="186"/>
      <c r="KO21" s="184"/>
      <c r="KT21" s="16"/>
      <c r="KU21" s="186"/>
      <c r="KV21" s="184"/>
      <c r="LA21" s="16"/>
      <c r="LB21" s="186"/>
      <c r="LC21" s="184"/>
      <c r="LH21" s="16"/>
      <c r="LI21" s="186"/>
      <c r="LJ21" s="184"/>
      <c r="LO21" s="16"/>
      <c r="LP21" s="186"/>
      <c r="LQ21" s="184"/>
      <c r="LV21" s="16"/>
      <c r="LW21" s="186"/>
      <c r="LX21" s="184"/>
      <c r="MC21" s="16"/>
      <c r="MD21" s="186"/>
      <c r="ME21" s="184"/>
      <c r="MJ21" s="16"/>
      <c r="MK21" s="186"/>
      <c r="ML21" s="184"/>
      <c r="MQ21" s="16"/>
      <c r="MR21" s="186"/>
      <c r="MS21" s="184"/>
      <c r="MX21" s="16"/>
      <c r="MY21" s="186"/>
      <c r="MZ21" s="184"/>
      <c r="NC21" s="194"/>
    </row>
    <row r="22" spans="1:367" x14ac:dyDescent="0.3">
      <c r="A22" s="225">
        <v>3297</v>
      </c>
      <c r="B22" s="269"/>
      <c r="C22" s="200" t="s">
        <v>9</v>
      </c>
      <c r="D22" s="200" t="s">
        <v>9</v>
      </c>
      <c r="E22" s="16"/>
      <c r="F22" s="186"/>
      <c r="G22" s="213" t="s">
        <v>7</v>
      </c>
      <c r="H22" s="213" t="s">
        <v>7</v>
      </c>
      <c r="I22" s="213" t="s">
        <v>7</v>
      </c>
      <c r="J22" s="213" t="s">
        <v>7</v>
      </c>
      <c r="K22" s="213" t="s">
        <v>7</v>
      </c>
      <c r="L22" s="16"/>
      <c r="M22" s="186"/>
      <c r="N22" s="202">
        <v>3332</v>
      </c>
      <c r="O22" s="202">
        <v>3332</v>
      </c>
      <c r="P22" s="202">
        <v>3332</v>
      </c>
      <c r="Q22" s="202">
        <v>3332</v>
      </c>
      <c r="R22" s="202">
        <v>3332</v>
      </c>
      <c r="S22" s="16"/>
      <c r="T22" s="186"/>
      <c r="U22" s="225">
        <v>3297</v>
      </c>
      <c r="V22" s="213" t="s">
        <v>7</v>
      </c>
      <c r="W22" s="213" t="s">
        <v>7</v>
      </c>
      <c r="X22" s="213" t="s">
        <v>7</v>
      </c>
      <c r="Y22" s="213" t="s">
        <v>7</v>
      </c>
      <c r="Z22" s="16"/>
      <c r="AA22" s="186"/>
      <c r="AB22" s="213" t="s">
        <v>7</v>
      </c>
      <c r="AC22" s="213" t="s">
        <v>7</v>
      </c>
      <c r="AD22" s="213" t="s">
        <v>7</v>
      </c>
      <c r="AE22" s="213" t="s">
        <v>7</v>
      </c>
      <c r="AF22" s="213" t="s">
        <v>7</v>
      </c>
      <c r="AG22" s="16"/>
      <c r="AH22" s="186"/>
      <c r="AI22" s="200" t="s">
        <v>25</v>
      </c>
      <c r="AJ22" s="225">
        <v>3297</v>
      </c>
      <c r="AK22" s="202">
        <v>3332</v>
      </c>
      <c r="AL22" s="202">
        <v>3332</v>
      </c>
      <c r="AM22" s="202">
        <v>3332</v>
      </c>
      <c r="AN22" s="16"/>
      <c r="AO22" s="186"/>
      <c r="AP22" s="202">
        <v>3332</v>
      </c>
      <c r="AQ22" s="202">
        <v>3332</v>
      </c>
      <c r="AR22" s="202">
        <v>3332</v>
      </c>
      <c r="AS22" s="213" t="s">
        <v>7</v>
      </c>
      <c r="AT22" s="213" t="s">
        <v>7</v>
      </c>
      <c r="AU22" s="16"/>
      <c r="AV22" s="186"/>
      <c r="AW22" s="225">
        <v>3297</v>
      </c>
      <c r="AX22" s="225">
        <v>3297</v>
      </c>
      <c r="AY22" s="225">
        <v>3297</v>
      </c>
      <c r="AZ22" s="202">
        <v>3332</v>
      </c>
      <c r="BA22" s="202">
        <v>3332</v>
      </c>
      <c r="BB22" s="16"/>
      <c r="BC22" s="186"/>
      <c r="BD22" s="213" t="s">
        <v>7</v>
      </c>
      <c r="BE22" s="213" t="s">
        <v>7</v>
      </c>
      <c r="BF22" s="213" t="s">
        <v>7</v>
      </c>
      <c r="BG22" s="213" t="s">
        <v>7</v>
      </c>
      <c r="BH22" s="213" t="s">
        <v>7</v>
      </c>
      <c r="BI22" s="16"/>
      <c r="BJ22" s="186"/>
      <c r="BK22" s="202">
        <v>3332</v>
      </c>
      <c r="BL22" s="202">
        <v>3332</v>
      </c>
      <c r="BM22" s="202">
        <v>3332</v>
      </c>
      <c r="BN22" s="213" t="s">
        <v>7</v>
      </c>
      <c r="BO22" s="213" t="s">
        <v>7</v>
      </c>
      <c r="BP22" s="16"/>
      <c r="BQ22" s="186"/>
      <c r="BR22" s="184"/>
      <c r="BW22" s="16"/>
      <c r="BX22" s="186"/>
      <c r="BY22" s="184"/>
      <c r="CD22" s="16"/>
      <c r="CE22" s="186"/>
      <c r="CF22" s="184"/>
      <c r="CK22" s="16"/>
      <c r="CL22" s="186"/>
      <c r="CM22" s="184"/>
      <c r="CR22" s="16"/>
      <c r="CS22" s="186"/>
      <c r="CT22" s="184"/>
      <c r="CY22" s="16"/>
      <c r="CZ22" s="186"/>
      <c r="DA22" s="184"/>
      <c r="DF22" s="16"/>
      <c r="DG22" s="186"/>
      <c r="DH22" s="184"/>
      <c r="DM22" s="16"/>
      <c r="DN22" s="186"/>
      <c r="DO22" s="184"/>
      <c r="DT22" s="16"/>
      <c r="DU22" s="186"/>
      <c r="DV22" s="184"/>
      <c r="EA22" s="16"/>
      <c r="EB22" s="186"/>
      <c r="EC22" s="184"/>
      <c r="EH22" s="16"/>
      <c r="EI22" s="186"/>
      <c r="EJ22" s="184"/>
      <c r="EO22" s="16"/>
      <c r="EP22" s="186"/>
      <c r="EQ22" s="184"/>
      <c r="EV22" s="16"/>
      <c r="EW22" s="186"/>
      <c r="EX22" s="184"/>
      <c r="FC22" s="16"/>
      <c r="FD22" s="186"/>
      <c r="FE22" s="184"/>
      <c r="FJ22" s="16"/>
      <c r="FK22" s="186"/>
      <c r="FL22" s="184"/>
      <c r="FQ22" s="16"/>
      <c r="FR22" s="186"/>
      <c r="FS22" s="184"/>
      <c r="FX22" s="16"/>
      <c r="FY22" s="186"/>
      <c r="FZ22" s="184"/>
      <c r="GE22" s="16"/>
      <c r="GF22" s="186"/>
      <c r="GG22" s="184"/>
      <c r="GL22" s="16"/>
      <c r="GM22" s="186"/>
      <c r="GN22" s="184"/>
      <c r="GS22" s="16"/>
      <c r="GT22" s="186"/>
      <c r="GU22" s="184"/>
      <c r="GZ22" s="16"/>
      <c r="HA22" s="186"/>
      <c r="HB22" s="184"/>
      <c r="HG22" s="16"/>
      <c r="HH22" s="186"/>
      <c r="HI22" s="184"/>
      <c r="HN22" s="16"/>
      <c r="HO22" s="186"/>
      <c r="HP22" s="184"/>
      <c r="HU22" s="16"/>
      <c r="HV22" s="186"/>
      <c r="HW22" s="184"/>
      <c r="IB22" s="16"/>
      <c r="IC22" s="186"/>
      <c r="ID22" s="184"/>
      <c r="II22" s="16"/>
      <c r="IJ22" s="186"/>
      <c r="IK22" s="184"/>
      <c r="IP22" s="16"/>
      <c r="IQ22" s="186"/>
      <c r="IR22" s="184"/>
      <c r="IW22" s="16"/>
      <c r="IX22" s="186"/>
      <c r="IY22" s="184"/>
      <c r="JD22" s="16"/>
      <c r="JE22" s="186"/>
      <c r="JF22" s="184"/>
      <c r="JK22" s="16"/>
      <c r="JL22" s="186"/>
      <c r="JM22" s="184"/>
      <c r="JR22" s="16"/>
      <c r="JS22" s="186"/>
      <c r="JT22" s="184"/>
      <c r="JY22" s="16"/>
      <c r="JZ22" s="186"/>
      <c r="KA22" s="184"/>
      <c r="KF22" s="16"/>
      <c r="KG22" s="186"/>
      <c r="KH22" s="184"/>
      <c r="KM22" s="16"/>
      <c r="KN22" s="186"/>
      <c r="KO22" s="184"/>
      <c r="KT22" s="16"/>
      <c r="KU22" s="186"/>
      <c r="KV22" s="184"/>
      <c r="LA22" s="16"/>
      <c r="LB22" s="186"/>
      <c r="LC22" s="184"/>
      <c r="LH22" s="16"/>
      <c r="LI22" s="186"/>
      <c r="LJ22" s="184"/>
      <c r="LO22" s="16"/>
      <c r="LP22" s="186"/>
      <c r="LQ22" s="184"/>
      <c r="LV22" s="16"/>
      <c r="LW22" s="186"/>
      <c r="LX22" s="184"/>
      <c r="MC22" s="16"/>
      <c r="MD22" s="186"/>
      <c r="ME22" s="184"/>
      <c r="MJ22" s="16"/>
      <c r="MK22" s="186"/>
      <c r="ML22" s="184"/>
      <c r="MQ22" s="16"/>
      <c r="MR22" s="186"/>
      <c r="MS22" s="184"/>
      <c r="MX22" s="16"/>
      <c r="MY22" s="186"/>
      <c r="MZ22" s="184"/>
      <c r="NC22" s="194"/>
    </row>
    <row r="23" spans="1:367" x14ac:dyDescent="0.3">
      <c r="A23" s="236">
        <v>3365</v>
      </c>
      <c r="B23" s="269"/>
      <c r="C23" s="200" t="s">
        <v>9</v>
      </c>
      <c r="D23" s="200" t="s">
        <v>9</v>
      </c>
      <c r="E23" s="16"/>
      <c r="F23" s="186"/>
      <c r="G23" s="213" t="s">
        <v>7</v>
      </c>
      <c r="H23" s="213" t="s">
        <v>7</v>
      </c>
      <c r="I23" s="213" t="s">
        <v>7</v>
      </c>
      <c r="J23" s="213" t="s">
        <v>7</v>
      </c>
      <c r="K23" s="213" t="s">
        <v>7</v>
      </c>
      <c r="L23" s="16"/>
      <c r="M23" s="186"/>
      <c r="N23" s="202">
        <v>3332</v>
      </c>
      <c r="O23" s="202">
        <v>3332</v>
      </c>
      <c r="P23" s="202">
        <v>3332</v>
      </c>
      <c r="Q23" s="202">
        <v>3332</v>
      </c>
      <c r="R23" s="202">
        <v>3332</v>
      </c>
      <c r="S23" s="16"/>
      <c r="T23" s="186"/>
      <c r="U23" s="225">
        <v>3297</v>
      </c>
      <c r="V23" s="213" t="s">
        <v>7</v>
      </c>
      <c r="W23" s="213" t="s">
        <v>7</v>
      </c>
      <c r="X23" s="213" t="s">
        <v>7</v>
      </c>
      <c r="Y23" s="213" t="s">
        <v>7</v>
      </c>
      <c r="Z23" s="16"/>
      <c r="AA23" s="186"/>
      <c r="AB23" s="213" t="s">
        <v>7</v>
      </c>
      <c r="AC23" s="213" t="s">
        <v>7</v>
      </c>
      <c r="AD23" s="213" t="s">
        <v>7</v>
      </c>
      <c r="AE23" s="213" t="s">
        <v>7</v>
      </c>
      <c r="AF23" s="213" t="s">
        <v>7</v>
      </c>
      <c r="AG23" s="16"/>
      <c r="AH23" s="186"/>
      <c r="AI23" s="200" t="s">
        <v>25</v>
      </c>
      <c r="AJ23" s="225">
        <v>3297</v>
      </c>
      <c r="AK23" s="202">
        <v>3332</v>
      </c>
      <c r="AL23" s="202">
        <v>3332</v>
      </c>
      <c r="AM23" s="202">
        <v>3332</v>
      </c>
      <c r="AN23" s="16"/>
      <c r="AO23" s="186"/>
      <c r="AP23" s="202">
        <v>3332</v>
      </c>
      <c r="AQ23" s="202">
        <v>3332</v>
      </c>
      <c r="AR23" s="202">
        <v>3332</v>
      </c>
      <c r="AS23" s="213" t="s">
        <v>7</v>
      </c>
      <c r="AT23" s="213" t="s">
        <v>7</v>
      </c>
      <c r="AU23" s="16"/>
      <c r="AV23" s="186"/>
      <c r="AW23" s="225">
        <v>3297</v>
      </c>
      <c r="AX23" s="225">
        <v>3297</v>
      </c>
      <c r="AY23" s="202">
        <v>3332</v>
      </c>
      <c r="AZ23" s="202">
        <v>3332</v>
      </c>
      <c r="BA23" s="202">
        <v>3332</v>
      </c>
      <c r="BB23" s="16"/>
      <c r="BC23" s="186"/>
      <c r="BD23" s="213" t="s">
        <v>7</v>
      </c>
      <c r="BE23" s="213" t="s">
        <v>7</v>
      </c>
      <c r="BF23" s="213" t="s">
        <v>7</v>
      </c>
      <c r="BG23" s="213" t="s">
        <v>7</v>
      </c>
      <c r="BH23" s="213" t="s">
        <v>7</v>
      </c>
      <c r="BI23" s="16"/>
      <c r="BJ23" s="186"/>
      <c r="BK23" s="202">
        <v>3332</v>
      </c>
      <c r="BL23" s="202">
        <v>3332</v>
      </c>
      <c r="BM23" s="202">
        <v>3332</v>
      </c>
      <c r="BN23" s="213" t="s">
        <v>7</v>
      </c>
      <c r="BO23" s="213" t="s">
        <v>7</v>
      </c>
      <c r="BP23" s="16"/>
      <c r="BQ23" s="186"/>
      <c r="BR23" s="184"/>
      <c r="BW23" s="16"/>
      <c r="BX23" s="186"/>
      <c r="BY23" s="184"/>
      <c r="CD23" s="16"/>
      <c r="CE23" s="186"/>
      <c r="CF23" s="184"/>
      <c r="CK23" s="16"/>
      <c r="CL23" s="186"/>
      <c r="CM23" s="184"/>
      <c r="CR23" s="16"/>
      <c r="CS23" s="186"/>
      <c r="CT23" s="184"/>
      <c r="CY23" s="16"/>
      <c r="CZ23" s="186"/>
      <c r="DA23" s="184"/>
      <c r="DF23" s="16"/>
      <c r="DG23" s="186"/>
      <c r="DH23" s="184"/>
      <c r="DM23" s="16"/>
      <c r="DN23" s="186"/>
      <c r="DO23" s="184"/>
      <c r="DT23" s="16"/>
      <c r="DU23" s="186"/>
      <c r="DV23" s="184"/>
      <c r="EA23" s="16"/>
      <c r="EB23" s="186"/>
      <c r="EC23" s="184"/>
      <c r="EH23" s="16"/>
      <c r="EI23" s="186"/>
      <c r="EJ23" s="184"/>
      <c r="EO23" s="16"/>
      <c r="EP23" s="186"/>
      <c r="EQ23" s="184"/>
      <c r="EV23" s="16"/>
      <c r="EW23" s="186"/>
      <c r="EX23" s="184"/>
      <c r="FC23" s="16"/>
      <c r="FD23" s="186"/>
      <c r="FE23" s="184"/>
      <c r="FJ23" s="16"/>
      <c r="FK23" s="186"/>
      <c r="FL23" s="184"/>
      <c r="FQ23" s="16"/>
      <c r="FR23" s="186"/>
      <c r="FS23" s="184"/>
      <c r="FX23" s="16"/>
      <c r="FY23" s="186"/>
      <c r="FZ23" s="184"/>
      <c r="GE23" s="16"/>
      <c r="GF23" s="186"/>
      <c r="GG23" s="184"/>
      <c r="GL23" s="16"/>
      <c r="GM23" s="186"/>
      <c r="GN23" s="184"/>
      <c r="GS23" s="16"/>
      <c r="GT23" s="186"/>
      <c r="GU23" s="184"/>
      <c r="GZ23" s="16"/>
      <c r="HA23" s="186"/>
      <c r="HB23" s="184"/>
      <c r="HG23" s="16"/>
      <c r="HH23" s="186"/>
      <c r="HI23" s="184"/>
      <c r="HN23" s="16"/>
      <c r="HO23" s="186"/>
      <c r="HP23" s="184"/>
      <c r="HU23" s="16"/>
      <c r="HV23" s="186"/>
      <c r="HW23" s="184"/>
      <c r="IB23" s="16"/>
      <c r="IC23" s="186"/>
      <c r="ID23" s="184"/>
      <c r="II23" s="16"/>
      <c r="IJ23" s="186"/>
      <c r="IK23" s="184"/>
      <c r="IP23" s="16"/>
      <c r="IQ23" s="186"/>
      <c r="IR23" s="184"/>
      <c r="IW23" s="16"/>
      <c r="IX23" s="186"/>
      <c r="IY23" s="184"/>
      <c r="JD23" s="16"/>
      <c r="JE23" s="186"/>
      <c r="JF23" s="184"/>
      <c r="JK23" s="16"/>
      <c r="JL23" s="186"/>
      <c r="JM23" s="184"/>
      <c r="JR23" s="16"/>
      <c r="JS23" s="186"/>
      <c r="JT23" s="184"/>
      <c r="JY23" s="16"/>
      <c r="JZ23" s="186"/>
      <c r="KA23" s="184"/>
      <c r="KF23" s="16"/>
      <c r="KG23" s="186"/>
      <c r="KH23" s="184"/>
      <c r="KM23" s="16"/>
      <c r="KN23" s="186"/>
      <c r="KO23" s="184"/>
      <c r="KT23" s="16"/>
      <c r="KU23" s="186"/>
      <c r="KV23" s="184"/>
      <c r="LA23" s="16"/>
      <c r="LB23" s="186"/>
      <c r="LC23" s="184"/>
      <c r="LH23" s="16"/>
      <c r="LI23" s="186"/>
      <c r="LJ23" s="184"/>
      <c r="LO23" s="16"/>
      <c r="LP23" s="186"/>
      <c r="LQ23" s="184"/>
      <c r="LV23" s="16"/>
      <c r="LW23" s="186"/>
      <c r="LX23" s="184"/>
      <c r="MC23" s="16"/>
      <c r="MD23" s="186"/>
      <c r="ME23" s="184"/>
      <c r="MJ23" s="16"/>
      <c r="MK23" s="186"/>
      <c r="ML23" s="184"/>
      <c r="MQ23" s="16"/>
      <c r="MR23" s="186"/>
      <c r="MS23" s="184"/>
      <c r="MX23" s="16"/>
      <c r="MY23" s="186"/>
      <c r="MZ23" s="184"/>
      <c r="NC23" s="194"/>
    </row>
    <row r="24" spans="1:367" x14ac:dyDescent="0.3">
      <c r="A24" s="218"/>
      <c r="B24" s="269"/>
      <c r="C24" s="200" t="s">
        <v>9</v>
      </c>
      <c r="D24" s="200" t="s">
        <v>9</v>
      </c>
      <c r="E24" s="16"/>
      <c r="F24" s="186"/>
      <c r="G24" s="213" t="s">
        <v>7</v>
      </c>
      <c r="H24" s="213" t="s">
        <v>7</v>
      </c>
      <c r="I24" s="213" t="s">
        <v>7</v>
      </c>
      <c r="J24" s="213" t="s">
        <v>7</v>
      </c>
      <c r="K24" s="213" t="s">
        <v>7</v>
      </c>
      <c r="L24" s="16"/>
      <c r="M24" s="186"/>
      <c r="N24" s="202">
        <v>3332</v>
      </c>
      <c r="O24" s="202">
        <v>3332</v>
      </c>
      <c r="P24" s="202">
        <v>3332</v>
      </c>
      <c r="Q24" s="202">
        <v>3332</v>
      </c>
      <c r="R24" s="202">
        <v>3332</v>
      </c>
      <c r="S24" s="16"/>
      <c r="T24" s="186"/>
      <c r="U24" s="225">
        <v>3297</v>
      </c>
      <c r="V24" s="213" t="s">
        <v>7</v>
      </c>
      <c r="W24" s="213" t="s">
        <v>7</v>
      </c>
      <c r="X24" s="213" t="s">
        <v>7</v>
      </c>
      <c r="Y24" s="213" t="s">
        <v>7</v>
      </c>
      <c r="Z24" s="16"/>
      <c r="AA24" s="186"/>
      <c r="AB24" s="213" t="s">
        <v>7</v>
      </c>
      <c r="AC24" s="213" t="s">
        <v>7</v>
      </c>
      <c r="AD24" s="213" t="s">
        <v>7</v>
      </c>
      <c r="AE24" s="213" t="s">
        <v>7</v>
      </c>
      <c r="AF24" s="213" t="s">
        <v>7</v>
      </c>
      <c r="AG24" s="16"/>
      <c r="AH24" s="186"/>
      <c r="AI24" s="200" t="s">
        <v>25</v>
      </c>
      <c r="AJ24" s="202">
        <v>3332</v>
      </c>
      <c r="AK24" s="202">
        <v>3332</v>
      </c>
      <c r="AL24" s="202">
        <v>3332</v>
      </c>
      <c r="AM24" s="202">
        <v>3332</v>
      </c>
      <c r="AN24" s="16"/>
      <c r="AO24" s="186"/>
      <c r="AP24" s="202">
        <v>3332</v>
      </c>
      <c r="AQ24" s="202">
        <v>3332</v>
      </c>
      <c r="AR24" s="202">
        <v>3332</v>
      </c>
      <c r="AS24" s="213" t="s">
        <v>7</v>
      </c>
      <c r="AT24" s="213" t="s">
        <v>7</v>
      </c>
      <c r="AU24" s="16"/>
      <c r="AV24" s="186"/>
      <c r="AW24" s="225">
        <v>3297</v>
      </c>
      <c r="AX24" s="225">
        <v>3297</v>
      </c>
      <c r="AY24" s="202">
        <v>3332</v>
      </c>
      <c r="AZ24" s="202">
        <v>3332</v>
      </c>
      <c r="BA24" s="202">
        <v>3332</v>
      </c>
      <c r="BB24" s="16"/>
      <c r="BC24" s="186"/>
      <c r="BD24" s="213" t="s">
        <v>7</v>
      </c>
      <c r="BE24" s="213" t="s">
        <v>7</v>
      </c>
      <c r="BF24" s="213" t="s">
        <v>7</v>
      </c>
      <c r="BG24" s="213" t="s">
        <v>7</v>
      </c>
      <c r="BH24" s="213" t="s">
        <v>7</v>
      </c>
      <c r="BI24" s="16"/>
      <c r="BJ24" s="186"/>
      <c r="BK24" s="202">
        <v>3332</v>
      </c>
      <c r="BL24" s="202">
        <v>3332</v>
      </c>
      <c r="BM24" s="202">
        <v>3332</v>
      </c>
      <c r="BN24" s="213" t="s">
        <v>7</v>
      </c>
      <c r="BO24" s="213" t="s">
        <v>7</v>
      </c>
      <c r="BP24" s="16"/>
      <c r="BQ24" s="186"/>
      <c r="BR24" s="184"/>
      <c r="BW24" s="16"/>
      <c r="BX24" s="186"/>
      <c r="BY24" s="184"/>
      <c r="CD24" s="16"/>
      <c r="CE24" s="186"/>
      <c r="CF24" s="184"/>
      <c r="CK24" s="16"/>
      <c r="CL24" s="186"/>
      <c r="CM24" s="184"/>
      <c r="CR24" s="16"/>
      <c r="CS24" s="186"/>
      <c r="CT24" s="184"/>
      <c r="CY24" s="16"/>
      <c r="CZ24" s="186"/>
      <c r="DA24" s="184"/>
      <c r="DF24" s="16"/>
      <c r="DG24" s="186"/>
      <c r="DH24" s="184"/>
      <c r="DM24" s="16"/>
      <c r="DN24" s="186"/>
      <c r="DO24" s="184"/>
      <c r="DT24" s="16"/>
      <c r="DU24" s="186"/>
      <c r="DV24" s="184"/>
      <c r="EA24" s="16"/>
      <c r="EB24" s="186"/>
      <c r="EC24" s="184"/>
      <c r="EH24" s="16"/>
      <c r="EI24" s="186"/>
      <c r="EJ24" s="184"/>
      <c r="EO24" s="16"/>
      <c r="EP24" s="186"/>
      <c r="EQ24" s="184"/>
      <c r="EV24" s="16"/>
      <c r="EW24" s="186"/>
      <c r="EX24" s="184"/>
      <c r="FC24" s="16"/>
      <c r="FD24" s="186"/>
      <c r="FE24" s="184"/>
      <c r="FJ24" s="16"/>
      <c r="FK24" s="186"/>
      <c r="FL24" s="184"/>
      <c r="FQ24" s="16"/>
      <c r="FR24" s="186"/>
      <c r="FS24" s="184"/>
      <c r="FX24" s="16"/>
      <c r="FY24" s="186"/>
      <c r="FZ24" s="184"/>
      <c r="GE24" s="16"/>
      <c r="GF24" s="186"/>
      <c r="GG24" s="184"/>
      <c r="GL24" s="16"/>
      <c r="GM24" s="186"/>
      <c r="GN24" s="184"/>
      <c r="GS24" s="16"/>
      <c r="GT24" s="186"/>
      <c r="GU24" s="184"/>
      <c r="GZ24" s="16"/>
      <c r="HA24" s="186"/>
      <c r="HB24" s="184"/>
      <c r="HG24" s="16"/>
      <c r="HH24" s="186"/>
      <c r="HI24" s="184"/>
      <c r="HN24" s="16"/>
      <c r="HO24" s="186"/>
      <c r="HP24" s="184"/>
      <c r="HU24" s="16"/>
      <c r="HV24" s="186"/>
      <c r="HW24" s="184"/>
      <c r="IB24" s="16"/>
      <c r="IC24" s="186"/>
      <c r="ID24" s="184"/>
      <c r="II24" s="16"/>
      <c r="IJ24" s="186"/>
      <c r="IK24" s="184"/>
      <c r="IP24" s="16"/>
      <c r="IQ24" s="186"/>
      <c r="IR24" s="184"/>
      <c r="IW24" s="16"/>
      <c r="IX24" s="186"/>
      <c r="IY24" s="184"/>
      <c r="JD24" s="16"/>
      <c r="JE24" s="186"/>
      <c r="JF24" s="184"/>
      <c r="JK24" s="16"/>
      <c r="JL24" s="186"/>
      <c r="JM24" s="184"/>
      <c r="JR24" s="16"/>
      <c r="JS24" s="186"/>
      <c r="JT24" s="184"/>
      <c r="JY24" s="16"/>
      <c r="JZ24" s="186"/>
      <c r="KA24" s="184"/>
      <c r="KF24" s="16"/>
      <c r="KG24" s="186"/>
      <c r="KH24" s="184"/>
      <c r="KM24" s="16"/>
      <c r="KN24" s="186"/>
      <c r="KO24" s="184"/>
      <c r="KT24" s="16"/>
      <c r="KU24" s="186"/>
      <c r="KV24" s="184"/>
      <c r="LA24" s="16"/>
      <c r="LB24" s="186"/>
      <c r="LC24" s="184"/>
      <c r="LH24" s="16"/>
      <c r="LI24" s="186"/>
      <c r="LJ24" s="184"/>
      <c r="LO24" s="16"/>
      <c r="LP24" s="186"/>
      <c r="LQ24" s="184"/>
      <c r="LV24" s="16"/>
      <c r="LW24" s="186"/>
      <c r="LX24" s="184"/>
      <c r="MC24" s="16"/>
      <c r="MD24" s="186"/>
      <c r="ME24" s="184"/>
      <c r="MJ24" s="16"/>
      <c r="MK24" s="186"/>
      <c r="ML24" s="184"/>
      <c r="MQ24" s="16"/>
      <c r="MR24" s="186"/>
      <c r="MS24" s="184"/>
      <c r="MX24" s="16"/>
      <c r="MY24" s="186"/>
      <c r="MZ24" s="184"/>
      <c r="NC24" s="194"/>
    </row>
    <row r="25" spans="1:367" x14ac:dyDescent="0.3">
      <c r="A25" s="218"/>
      <c r="B25" s="269"/>
      <c r="C25" s="187"/>
      <c r="D25" s="16"/>
      <c r="E25" s="178"/>
      <c r="F25" s="186"/>
      <c r="G25" s="187"/>
      <c r="H25" s="16"/>
      <c r="I25" s="16"/>
      <c r="J25" s="16"/>
      <c r="K25" s="16"/>
      <c r="L25" s="178"/>
      <c r="M25" s="186"/>
      <c r="N25" s="187"/>
      <c r="O25" s="16"/>
      <c r="P25" s="16"/>
      <c r="Q25" s="16"/>
      <c r="R25" s="16"/>
      <c r="S25" s="178"/>
      <c r="T25" s="186"/>
      <c r="U25" s="187"/>
      <c r="V25" s="16"/>
      <c r="W25" s="16"/>
      <c r="X25" s="16"/>
      <c r="Y25" s="16"/>
      <c r="Z25" s="178"/>
      <c r="AA25" s="186"/>
      <c r="AB25" s="187"/>
      <c r="AC25" s="16"/>
      <c r="AD25" s="16"/>
      <c r="AE25" s="16"/>
      <c r="AF25" s="16"/>
      <c r="AG25" s="178"/>
      <c r="AH25" s="186"/>
      <c r="AI25" s="187"/>
      <c r="AJ25" s="16"/>
      <c r="AK25" s="16"/>
      <c r="AL25" s="16"/>
      <c r="AM25" s="16"/>
      <c r="AN25" s="178"/>
      <c r="AO25" s="186"/>
      <c r="AP25" s="187"/>
      <c r="AQ25" s="16"/>
      <c r="AR25" s="16"/>
      <c r="AS25" s="16"/>
      <c r="AT25" s="16"/>
      <c r="AU25" s="178"/>
      <c r="AV25" s="186"/>
      <c r="AW25" s="187"/>
      <c r="AX25" s="16"/>
      <c r="AY25" s="16"/>
      <c r="AZ25" s="16"/>
      <c r="BA25" s="16"/>
      <c r="BB25" s="178"/>
      <c r="BC25" s="186"/>
      <c r="BD25" s="187"/>
      <c r="BE25" s="16"/>
      <c r="BF25" s="16"/>
      <c r="BG25" s="16"/>
      <c r="BH25" s="16"/>
      <c r="BI25" s="178"/>
      <c r="BJ25" s="186"/>
      <c r="BK25" s="187"/>
      <c r="BL25" s="16"/>
      <c r="BM25" s="16"/>
      <c r="BN25" s="16"/>
      <c r="BO25" s="16"/>
      <c r="BP25" s="178"/>
      <c r="BQ25" s="186"/>
      <c r="BR25" s="187"/>
      <c r="BS25" s="16"/>
      <c r="BT25" s="16"/>
      <c r="BU25" s="16"/>
      <c r="BV25" s="16"/>
      <c r="BW25" s="178"/>
      <c r="BX25" s="186"/>
      <c r="BY25" s="187"/>
      <c r="BZ25" s="16"/>
      <c r="CA25" s="16"/>
      <c r="CB25" s="16"/>
      <c r="CC25" s="16"/>
      <c r="CD25" s="178"/>
      <c r="CE25" s="186"/>
      <c r="CF25" s="187"/>
      <c r="CG25" s="16"/>
      <c r="CH25" s="16"/>
      <c r="CI25" s="16"/>
      <c r="CJ25" s="16"/>
      <c r="CK25" s="178"/>
      <c r="CL25" s="186"/>
      <c r="CM25" s="187"/>
      <c r="CN25" s="16"/>
      <c r="CO25" s="16"/>
      <c r="CP25" s="16"/>
      <c r="CQ25" s="16"/>
      <c r="CR25" s="178"/>
      <c r="CS25" s="186"/>
      <c r="CT25" s="187"/>
      <c r="CU25" s="16"/>
      <c r="CV25" s="16"/>
      <c r="CW25" s="16"/>
      <c r="CX25" s="16"/>
      <c r="CY25" s="178"/>
      <c r="CZ25" s="186"/>
      <c r="DA25" s="187"/>
      <c r="DB25" s="16"/>
      <c r="DC25" s="16"/>
      <c r="DD25" s="16"/>
      <c r="DE25" s="16"/>
      <c r="DF25" s="178"/>
      <c r="DG25" s="186"/>
      <c r="DH25" s="187"/>
      <c r="DI25" s="16"/>
      <c r="DJ25" s="16"/>
      <c r="DK25" s="16"/>
      <c r="DL25" s="16"/>
      <c r="DM25" s="178"/>
      <c r="DN25" s="186"/>
      <c r="DO25" s="187"/>
      <c r="DP25" s="16"/>
      <c r="DQ25" s="16"/>
      <c r="DR25" s="16"/>
      <c r="DS25" s="16"/>
      <c r="DT25" s="178"/>
      <c r="DU25" s="186"/>
      <c r="DV25" s="187"/>
      <c r="DW25" s="16"/>
      <c r="DX25" s="16"/>
      <c r="DY25" s="16"/>
      <c r="DZ25" s="16"/>
      <c r="EA25" s="178"/>
      <c r="EB25" s="186"/>
      <c r="EC25" s="187"/>
      <c r="ED25" s="16"/>
      <c r="EE25" s="16"/>
      <c r="EF25" s="16"/>
      <c r="EG25" s="16"/>
      <c r="EH25" s="178"/>
      <c r="EI25" s="186"/>
      <c r="EJ25" s="187"/>
      <c r="EK25" s="16"/>
      <c r="EL25" s="16"/>
      <c r="EM25" s="16"/>
      <c r="EN25" s="16"/>
      <c r="EO25" s="178"/>
      <c r="EP25" s="186"/>
      <c r="EQ25" s="187"/>
      <c r="ER25" s="16"/>
      <c r="ES25" s="16"/>
      <c r="ET25" s="16"/>
      <c r="EU25" s="16"/>
      <c r="EV25" s="178"/>
      <c r="EW25" s="186"/>
      <c r="EX25" s="187"/>
      <c r="EY25" s="16"/>
      <c r="EZ25" s="16"/>
      <c r="FA25" s="16"/>
      <c r="FB25" s="16"/>
      <c r="FC25" s="178"/>
      <c r="FD25" s="186"/>
      <c r="FE25" s="187"/>
      <c r="FF25" s="16"/>
      <c r="FG25" s="16"/>
      <c r="FH25" s="16"/>
      <c r="FI25" s="16"/>
      <c r="FJ25" s="178"/>
      <c r="FK25" s="186"/>
      <c r="FL25" s="187"/>
      <c r="FM25" s="16"/>
      <c r="FN25" s="16"/>
      <c r="FO25" s="16"/>
      <c r="FP25" s="16"/>
      <c r="FQ25" s="178"/>
      <c r="FR25" s="186"/>
      <c r="FS25" s="187"/>
      <c r="FT25" s="16"/>
      <c r="FU25" s="16"/>
      <c r="FV25" s="16"/>
      <c r="FW25" s="16"/>
      <c r="FX25" s="178"/>
      <c r="FY25" s="186"/>
      <c r="FZ25" s="187"/>
      <c r="GA25" s="16"/>
      <c r="GB25" s="16"/>
      <c r="GC25" s="16"/>
      <c r="GD25" s="16"/>
      <c r="GE25" s="178"/>
      <c r="GF25" s="186"/>
      <c r="GG25" s="187"/>
      <c r="GH25" s="16"/>
      <c r="GI25" s="16"/>
      <c r="GJ25" s="16"/>
      <c r="GK25" s="16"/>
      <c r="GL25" s="178"/>
      <c r="GM25" s="186"/>
      <c r="GN25" s="187"/>
      <c r="GO25" s="16"/>
      <c r="GP25" s="16"/>
      <c r="GQ25" s="16"/>
      <c r="GR25" s="16"/>
      <c r="GS25" s="178"/>
      <c r="GT25" s="186"/>
      <c r="GU25" s="187"/>
      <c r="GV25" s="16"/>
      <c r="GW25" s="16"/>
      <c r="GX25" s="16"/>
      <c r="GY25" s="16"/>
      <c r="GZ25" s="178"/>
      <c r="HA25" s="186"/>
      <c r="HB25" s="187"/>
      <c r="HC25" s="16"/>
      <c r="HD25" s="16"/>
      <c r="HE25" s="16"/>
      <c r="HF25" s="16"/>
      <c r="HG25" s="178"/>
      <c r="HH25" s="186"/>
      <c r="HI25" s="187"/>
      <c r="HJ25" s="16"/>
      <c r="HK25" s="16"/>
      <c r="HL25" s="16"/>
      <c r="HM25" s="16"/>
      <c r="HN25" s="178"/>
      <c r="HO25" s="186"/>
      <c r="HP25" s="187"/>
      <c r="HQ25" s="16"/>
      <c r="HR25" s="16"/>
      <c r="HS25" s="16"/>
      <c r="HT25" s="16"/>
      <c r="HU25" s="178"/>
      <c r="HV25" s="186"/>
      <c r="HW25" s="187"/>
      <c r="HX25" s="16"/>
      <c r="HY25" s="16"/>
      <c r="HZ25" s="16"/>
      <c r="IA25" s="16"/>
      <c r="IB25" s="178"/>
      <c r="IC25" s="186"/>
      <c r="ID25" s="187"/>
      <c r="IE25" s="16"/>
      <c r="IF25" s="16"/>
      <c r="IG25" s="16"/>
      <c r="IH25" s="16"/>
      <c r="II25" s="178"/>
      <c r="IJ25" s="186"/>
      <c r="IK25" s="187"/>
      <c r="IL25" s="16"/>
      <c r="IM25" s="16"/>
      <c r="IN25" s="16"/>
      <c r="IO25" s="16"/>
      <c r="IP25" s="178"/>
      <c r="IQ25" s="186"/>
      <c r="IR25" s="187"/>
      <c r="IS25" s="16"/>
      <c r="IT25" s="16"/>
      <c r="IU25" s="16"/>
      <c r="IV25" s="16"/>
      <c r="IW25" s="178"/>
      <c r="IX25" s="186"/>
      <c r="IY25" s="187"/>
      <c r="IZ25" s="16"/>
      <c r="JA25" s="16"/>
      <c r="JB25" s="16"/>
      <c r="JC25" s="16"/>
      <c r="JD25" s="178"/>
      <c r="JE25" s="186"/>
      <c r="JF25" s="187"/>
      <c r="JG25" s="16"/>
      <c r="JH25" s="16"/>
      <c r="JI25" s="16"/>
      <c r="JJ25" s="16"/>
      <c r="JK25" s="178"/>
      <c r="JL25" s="186"/>
      <c r="JM25" s="187"/>
      <c r="JN25" s="16"/>
      <c r="JO25" s="16"/>
      <c r="JP25" s="16"/>
      <c r="JQ25" s="16"/>
      <c r="JR25" s="178"/>
      <c r="JS25" s="186"/>
      <c r="JT25" s="187"/>
      <c r="JU25" s="16"/>
      <c r="JV25" s="16"/>
      <c r="JW25" s="16"/>
      <c r="JX25" s="16"/>
      <c r="JY25" s="178"/>
      <c r="JZ25" s="186"/>
      <c r="KA25" s="187"/>
      <c r="KB25" s="16"/>
      <c r="KC25" s="16"/>
      <c r="KD25" s="16"/>
      <c r="KE25" s="16"/>
      <c r="KF25" s="178"/>
      <c r="KG25" s="186"/>
      <c r="KH25" s="187"/>
      <c r="KI25" s="16"/>
      <c r="KJ25" s="16"/>
      <c r="KK25" s="16"/>
      <c r="KL25" s="16"/>
      <c r="KM25" s="178"/>
      <c r="KN25" s="186"/>
      <c r="KO25" s="187"/>
      <c r="KP25" s="16"/>
      <c r="KQ25" s="16"/>
      <c r="KR25" s="16"/>
      <c r="KS25" s="16"/>
      <c r="KT25" s="178"/>
      <c r="KU25" s="186"/>
      <c r="KV25" s="187"/>
      <c r="KW25" s="16"/>
      <c r="KX25" s="16"/>
      <c r="KY25" s="16"/>
      <c r="KZ25" s="16"/>
      <c r="LA25" s="178"/>
      <c r="LB25" s="186"/>
      <c r="LC25" s="187"/>
      <c r="LD25" s="16"/>
      <c r="LE25" s="16"/>
      <c r="LF25" s="16"/>
      <c r="LG25" s="16"/>
      <c r="LH25" s="178"/>
      <c r="LI25" s="186"/>
      <c r="LJ25" s="187"/>
      <c r="LK25" s="16"/>
      <c r="LL25" s="16"/>
      <c r="LM25" s="16"/>
      <c r="LN25" s="16"/>
      <c r="LO25" s="178"/>
      <c r="LP25" s="186"/>
      <c r="LQ25" s="187"/>
      <c r="LR25" s="16"/>
      <c r="LS25" s="16"/>
      <c r="LT25" s="16"/>
      <c r="LU25" s="16"/>
      <c r="LV25" s="178"/>
      <c r="LW25" s="186"/>
      <c r="LX25" s="187"/>
      <c r="LY25" s="16"/>
      <c r="LZ25" s="16"/>
      <c r="MA25" s="16"/>
      <c r="MB25" s="16"/>
      <c r="MC25" s="178"/>
      <c r="MD25" s="186"/>
      <c r="ME25" s="187"/>
      <c r="MF25" s="16"/>
      <c r="MG25" s="16"/>
      <c r="MH25" s="16"/>
      <c r="MI25" s="16"/>
      <c r="MJ25" s="178"/>
      <c r="MK25" s="186"/>
      <c r="ML25" s="187"/>
      <c r="MM25" s="16"/>
      <c r="MN25" s="16"/>
      <c r="MO25" s="16"/>
      <c r="MP25" s="16"/>
      <c r="MQ25" s="178"/>
      <c r="MR25" s="186"/>
      <c r="MS25" s="187"/>
      <c r="MT25" s="16"/>
      <c r="MU25" s="16"/>
      <c r="MV25" s="16"/>
      <c r="MW25" s="16"/>
      <c r="MX25" s="178"/>
      <c r="MY25" s="186"/>
      <c r="MZ25" s="184"/>
      <c r="NC25" s="194"/>
    </row>
    <row r="26" spans="1:367" x14ac:dyDescent="0.3">
      <c r="A26" s="218"/>
      <c r="B26" s="269"/>
      <c r="C26" s="187"/>
      <c r="D26" s="16"/>
      <c r="E26" s="178"/>
      <c r="F26" s="186"/>
      <c r="G26" s="187"/>
      <c r="H26" s="16"/>
      <c r="I26" s="16"/>
      <c r="J26" s="16"/>
      <c r="K26" s="16"/>
      <c r="L26" s="178"/>
      <c r="M26" s="186"/>
      <c r="N26" s="187"/>
      <c r="O26" s="16"/>
      <c r="P26" s="16"/>
      <c r="Q26" s="16"/>
      <c r="R26" s="16"/>
      <c r="S26" s="178"/>
      <c r="T26" s="186"/>
      <c r="U26" s="187"/>
      <c r="V26" s="16"/>
      <c r="W26" s="16"/>
      <c r="X26" s="16"/>
      <c r="Y26" s="16"/>
      <c r="Z26" s="178"/>
      <c r="AA26" s="186"/>
      <c r="AB26" s="187"/>
      <c r="AC26" s="16"/>
      <c r="AD26" s="16"/>
      <c r="AE26" s="16"/>
      <c r="AF26" s="16"/>
      <c r="AG26" s="178"/>
      <c r="AH26" s="186"/>
      <c r="AI26" s="187"/>
      <c r="AJ26" s="16"/>
      <c r="AK26" s="16"/>
      <c r="AL26" s="16"/>
      <c r="AM26" s="16"/>
      <c r="AN26" s="178"/>
      <c r="AO26" s="186"/>
      <c r="AP26" s="187"/>
      <c r="AQ26" s="16"/>
      <c r="AR26" s="16"/>
      <c r="AS26" s="16"/>
      <c r="AT26" s="16"/>
      <c r="AU26" s="178"/>
      <c r="AV26" s="186"/>
      <c r="AW26" s="187"/>
      <c r="AX26" s="16"/>
      <c r="AY26" s="16"/>
      <c r="AZ26" s="16"/>
      <c r="BA26" s="16"/>
      <c r="BB26" s="178"/>
      <c r="BC26" s="186"/>
      <c r="BD26" s="187"/>
      <c r="BE26" s="16"/>
      <c r="BF26" s="16"/>
      <c r="BG26" s="16"/>
      <c r="BH26" s="16"/>
      <c r="BI26" s="178"/>
      <c r="BJ26" s="186"/>
      <c r="BK26" s="187"/>
      <c r="BL26" s="16"/>
      <c r="BM26" s="16"/>
      <c r="BN26" s="16"/>
      <c r="BO26" s="16"/>
      <c r="BP26" s="178"/>
      <c r="BQ26" s="186"/>
      <c r="BR26" s="187"/>
      <c r="BS26" s="16"/>
      <c r="BT26" s="16"/>
      <c r="BU26" s="16"/>
      <c r="BV26" s="16"/>
      <c r="BW26" s="178"/>
      <c r="BX26" s="186"/>
      <c r="BY26" s="187"/>
      <c r="BZ26" s="16"/>
      <c r="CA26" s="16"/>
      <c r="CB26" s="16"/>
      <c r="CC26" s="16"/>
      <c r="CD26" s="178"/>
      <c r="CE26" s="186"/>
      <c r="CF26" s="187"/>
      <c r="CG26" s="16"/>
      <c r="CH26" s="16"/>
      <c r="CI26" s="16"/>
      <c r="CJ26" s="16"/>
      <c r="CK26" s="178"/>
      <c r="CL26" s="186"/>
      <c r="CM26" s="187"/>
      <c r="CN26" s="16"/>
      <c r="CO26" s="16"/>
      <c r="CP26" s="16"/>
      <c r="CQ26" s="16"/>
      <c r="CR26" s="178"/>
      <c r="CS26" s="186"/>
      <c r="CT26" s="187"/>
      <c r="CU26" s="16"/>
      <c r="CV26" s="16"/>
      <c r="CW26" s="16"/>
      <c r="CX26" s="16"/>
      <c r="CY26" s="178"/>
      <c r="CZ26" s="186"/>
      <c r="DA26" s="187"/>
      <c r="DB26" s="16"/>
      <c r="DC26" s="16"/>
      <c r="DD26" s="16"/>
      <c r="DE26" s="16"/>
      <c r="DF26" s="178"/>
      <c r="DG26" s="186"/>
      <c r="DH26" s="187"/>
      <c r="DI26" s="16"/>
      <c r="DJ26" s="16"/>
      <c r="DK26" s="16"/>
      <c r="DL26" s="16"/>
      <c r="DM26" s="178"/>
      <c r="DN26" s="186"/>
      <c r="DO26" s="187"/>
      <c r="DP26" s="16"/>
      <c r="DQ26" s="16"/>
      <c r="DR26" s="16"/>
      <c r="DS26" s="16"/>
      <c r="DT26" s="178"/>
      <c r="DU26" s="186"/>
      <c r="DV26" s="187"/>
      <c r="DW26" s="16"/>
      <c r="DX26" s="16"/>
      <c r="DY26" s="16"/>
      <c r="DZ26" s="16"/>
      <c r="EA26" s="178"/>
      <c r="EB26" s="186"/>
      <c r="EC26" s="187"/>
      <c r="ED26" s="16"/>
      <c r="EE26" s="16"/>
      <c r="EF26" s="16"/>
      <c r="EG26" s="16"/>
      <c r="EH26" s="178"/>
      <c r="EI26" s="186"/>
      <c r="EJ26" s="187"/>
      <c r="EK26" s="16"/>
      <c r="EL26" s="16"/>
      <c r="EM26" s="16"/>
      <c r="EN26" s="16"/>
      <c r="EO26" s="178"/>
      <c r="EP26" s="186"/>
      <c r="EQ26" s="187"/>
      <c r="ER26" s="16"/>
      <c r="ES26" s="16"/>
      <c r="ET26" s="16"/>
      <c r="EU26" s="16"/>
      <c r="EV26" s="178"/>
      <c r="EW26" s="186"/>
      <c r="EX26" s="187"/>
      <c r="EY26" s="16"/>
      <c r="EZ26" s="16"/>
      <c r="FA26" s="16"/>
      <c r="FB26" s="16"/>
      <c r="FC26" s="178"/>
      <c r="FD26" s="186"/>
      <c r="FE26" s="187"/>
      <c r="FF26" s="16"/>
      <c r="FG26" s="16"/>
      <c r="FH26" s="16"/>
      <c r="FI26" s="16"/>
      <c r="FJ26" s="178"/>
      <c r="FK26" s="186"/>
      <c r="FL26" s="187"/>
      <c r="FM26" s="16"/>
      <c r="FN26" s="16"/>
      <c r="FO26" s="16"/>
      <c r="FP26" s="16"/>
      <c r="FQ26" s="178"/>
      <c r="FR26" s="186"/>
      <c r="FS26" s="187"/>
      <c r="FT26" s="16"/>
      <c r="FU26" s="16"/>
      <c r="FV26" s="16"/>
      <c r="FW26" s="16"/>
      <c r="FX26" s="178"/>
      <c r="FY26" s="186"/>
      <c r="FZ26" s="187"/>
      <c r="GA26" s="16"/>
      <c r="GB26" s="16"/>
      <c r="GC26" s="16"/>
      <c r="GD26" s="16"/>
      <c r="GE26" s="178"/>
      <c r="GF26" s="186"/>
      <c r="GG26" s="187"/>
      <c r="GH26" s="16"/>
      <c r="GI26" s="16"/>
      <c r="GJ26" s="16"/>
      <c r="GK26" s="16"/>
      <c r="GL26" s="178"/>
      <c r="GM26" s="186"/>
      <c r="GN26" s="187"/>
      <c r="GO26" s="16"/>
      <c r="GP26" s="16"/>
      <c r="GQ26" s="16"/>
      <c r="GR26" s="16"/>
      <c r="GS26" s="178"/>
      <c r="GT26" s="186"/>
      <c r="GU26" s="187"/>
      <c r="GV26" s="16"/>
      <c r="GW26" s="16"/>
      <c r="GX26" s="16"/>
      <c r="GY26" s="16"/>
      <c r="GZ26" s="178"/>
      <c r="HA26" s="186"/>
      <c r="HB26" s="187"/>
      <c r="HC26" s="16"/>
      <c r="HD26" s="16"/>
      <c r="HE26" s="16"/>
      <c r="HF26" s="16"/>
      <c r="HG26" s="178"/>
      <c r="HH26" s="186"/>
      <c r="HI26" s="187"/>
      <c r="HJ26" s="16"/>
      <c r="HK26" s="16"/>
      <c r="HL26" s="16"/>
      <c r="HM26" s="16"/>
      <c r="HN26" s="178"/>
      <c r="HO26" s="186"/>
      <c r="HP26" s="187"/>
      <c r="HQ26" s="16"/>
      <c r="HR26" s="16"/>
      <c r="HS26" s="16"/>
      <c r="HT26" s="16"/>
      <c r="HU26" s="178"/>
      <c r="HV26" s="186"/>
      <c r="HW26" s="187"/>
      <c r="HX26" s="16"/>
      <c r="HY26" s="16"/>
      <c r="HZ26" s="16"/>
      <c r="IA26" s="16"/>
      <c r="IB26" s="178"/>
      <c r="IC26" s="186"/>
      <c r="ID26" s="187"/>
      <c r="IE26" s="16"/>
      <c r="IF26" s="16"/>
      <c r="IG26" s="16"/>
      <c r="IH26" s="16"/>
      <c r="II26" s="178"/>
      <c r="IJ26" s="186"/>
      <c r="IK26" s="187"/>
      <c r="IL26" s="16"/>
      <c r="IM26" s="16"/>
      <c r="IN26" s="16"/>
      <c r="IO26" s="16"/>
      <c r="IP26" s="178"/>
      <c r="IQ26" s="186"/>
      <c r="IR26" s="187"/>
      <c r="IS26" s="16"/>
      <c r="IT26" s="16"/>
      <c r="IU26" s="16"/>
      <c r="IV26" s="16"/>
      <c r="IW26" s="178"/>
      <c r="IX26" s="186"/>
      <c r="IY26" s="187"/>
      <c r="IZ26" s="16"/>
      <c r="JA26" s="16"/>
      <c r="JB26" s="16"/>
      <c r="JC26" s="16"/>
      <c r="JD26" s="178"/>
      <c r="JE26" s="186"/>
      <c r="JF26" s="187"/>
      <c r="JG26" s="16"/>
      <c r="JH26" s="16"/>
      <c r="JI26" s="16"/>
      <c r="JJ26" s="16"/>
      <c r="JK26" s="178"/>
      <c r="JL26" s="186"/>
      <c r="JM26" s="187"/>
      <c r="JN26" s="16"/>
      <c r="JO26" s="16"/>
      <c r="JP26" s="16"/>
      <c r="JQ26" s="16"/>
      <c r="JR26" s="178"/>
      <c r="JS26" s="186"/>
      <c r="JT26" s="187"/>
      <c r="JU26" s="16"/>
      <c r="JV26" s="16"/>
      <c r="JW26" s="16"/>
      <c r="JX26" s="16"/>
      <c r="JY26" s="178"/>
      <c r="JZ26" s="186"/>
      <c r="KA26" s="187"/>
      <c r="KB26" s="16"/>
      <c r="KC26" s="16"/>
      <c r="KD26" s="16"/>
      <c r="KE26" s="16"/>
      <c r="KF26" s="178"/>
      <c r="KG26" s="186"/>
      <c r="KH26" s="187"/>
      <c r="KI26" s="16"/>
      <c r="KJ26" s="16"/>
      <c r="KK26" s="16"/>
      <c r="KL26" s="16"/>
      <c r="KM26" s="178"/>
      <c r="KN26" s="186"/>
      <c r="KO26" s="187"/>
      <c r="KP26" s="16"/>
      <c r="KQ26" s="16"/>
      <c r="KR26" s="16"/>
      <c r="KS26" s="16"/>
      <c r="KT26" s="178"/>
      <c r="KU26" s="186"/>
      <c r="KV26" s="187"/>
      <c r="KW26" s="16"/>
      <c r="KX26" s="16"/>
      <c r="KY26" s="16"/>
      <c r="KZ26" s="16"/>
      <c r="LA26" s="178"/>
      <c r="LB26" s="186"/>
      <c r="LC26" s="187"/>
      <c r="LD26" s="16"/>
      <c r="LE26" s="16"/>
      <c r="LF26" s="16"/>
      <c r="LG26" s="16"/>
      <c r="LH26" s="178"/>
      <c r="LI26" s="186"/>
      <c r="LJ26" s="187"/>
      <c r="LK26" s="16"/>
      <c r="LL26" s="16"/>
      <c r="LM26" s="16"/>
      <c r="LN26" s="16"/>
      <c r="LO26" s="178"/>
      <c r="LP26" s="186"/>
      <c r="LQ26" s="187"/>
      <c r="LR26" s="16"/>
      <c r="LS26" s="16"/>
      <c r="LT26" s="16"/>
      <c r="LU26" s="16"/>
      <c r="LV26" s="178"/>
      <c r="LW26" s="186"/>
      <c r="LX26" s="187"/>
      <c r="LY26" s="16"/>
      <c r="LZ26" s="16"/>
      <c r="MA26" s="16"/>
      <c r="MB26" s="16"/>
      <c r="MC26" s="178"/>
      <c r="MD26" s="186"/>
      <c r="ME26" s="187"/>
      <c r="MF26" s="16"/>
      <c r="MG26" s="16"/>
      <c r="MH26" s="16"/>
      <c r="MI26" s="16"/>
      <c r="MJ26" s="178"/>
      <c r="MK26" s="186"/>
      <c r="ML26" s="187"/>
      <c r="MM26" s="16"/>
      <c r="MN26" s="16"/>
      <c r="MO26" s="16"/>
      <c r="MP26" s="16"/>
      <c r="MQ26" s="178"/>
      <c r="MR26" s="186"/>
      <c r="MS26" s="187"/>
      <c r="MT26" s="16"/>
      <c r="MU26" s="16"/>
      <c r="MV26" s="16"/>
      <c r="MW26" s="16"/>
      <c r="MX26" s="178"/>
      <c r="MY26" s="186"/>
      <c r="MZ26" s="184"/>
      <c r="NC26" s="194"/>
    </row>
    <row r="27" spans="1:367" x14ac:dyDescent="0.3">
      <c r="A27" s="218"/>
      <c r="B27" s="269"/>
      <c r="C27" s="192"/>
      <c r="D27" s="182"/>
      <c r="E27" s="183"/>
      <c r="F27" s="193"/>
      <c r="G27" s="192"/>
      <c r="H27" s="182"/>
      <c r="I27" s="182"/>
      <c r="J27" s="182"/>
      <c r="K27" s="182"/>
      <c r="L27" s="183"/>
      <c r="M27" s="193"/>
      <c r="N27" s="192"/>
      <c r="O27" s="182"/>
      <c r="P27" s="182"/>
      <c r="Q27" s="182"/>
      <c r="R27" s="182"/>
      <c r="S27" s="183"/>
      <c r="T27" s="193"/>
      <c r="U27" s="192"/>
      <c r="V27" s="182"/>
      <c r="W27" s="182"/>
      <c r="X27" s="182"/>
      <c r="Y27" s="182"/>
      <c r="Z27" s="183"/>
      <c r="AA27" s="193"/>
      <c r="AB27" s="192"/>
      <c r="AC27" s="182"/>
      <c r="AD27" s="182"/>
      <c r="AE27" s="182"/>
      <c r="AF27" s="182"/>
      <c r="AG27" s="183"/>
      <c r="AH27" s="193"/>
      <c r="AI27" s="192"/>
      <c r="AJ27" s="182"/>
      <c r="AK27" s="182"/>
      <c r="AL27" s="182"/>
      <c r="AM27" s="182"/>
      <c r="AN27" s="183"/>
      <c r="AO27" s="193"/>
      <c r="AP27" s="192"/>
      <c r="AQ27" s="182"/>
      <c r="AR27" s="182"/>
      <c r="AS27" s="182"/>
      <c r="AT27" s="182"/>
      <c r="AU27" s="183"/>
      <c r="AV27" s="193"/>
      <c r="AW27" s="192"/>
      <c r="AX27" s="182"/>
      <c r="AY27" s="182"/>
      <c r="AZ27" s="182"/>
      <c r="BA27" s="182"/>
      <c r="BB27" s="183"/>
      <c r="BC27" s="193"/>
      <c r="BD27" s="192"/>
      <c r="BE27" s="182"/>
      <c r="BF27" s="182"/>
      <c r="BG27" s="182"/>
      <c r="BH27" s="182"/>
      <c r="BI27" s="183"/>
      <c r="BJ27" s="193"/>
      <c r="BK27" s="192"/>
      <c r="BL27" s="182"/>
      <c r="BM27" s="182"/>
      <c r="BN27" s="182"/>
      <c r="BO27" s="182"/>
      <c r="BP27" s="183"/>
      <c r="BQ27" s="193"/>
      <c r="BR27" s="192"/>
      <c r="BS27" s="182"/>
      <c r="BT27" s="182"/>
      <c r="BU27" s="182"/>
      <c r="BV27" s="182"/>
      <c r="BW27" s="183"/>
      <c r="BX27" s="193"/>
      <c r="BY27" s="192"/>
      <c r="BZ27" s="182"/>
      <c r="CA27" s="182"/>
      <c r="CB27" s="182"/>
      <c r="CC27" s="182"/>
      <c r="CD27" s="183"/>
      <c r="CE27" s="193"/>
      <c r="CF27" s="192"/>
      <c r="CG27" s="182"/>
      <c r="CH27" s="182"/>
      <c r="CI27" s="182"/>
      <c r="CJ27" s="182"/>
      <c r="CK27" s="183"/>
      <c r="CL27" s="193"/>
      <c r="CM27" s="192"/>
      <c r="CN27" s="182"/>
      <c r="CO27" s="182"/>
      <c r="CP27" s="182"/>
      <c r="CQ27" s="182"/>
      <c r="CR27" s="183"/>
      <c r="CS27" s="193"/>
      <c r="CT27" s="192"/>
      <c r="CU27" s="182"/>
      <c r="CV27" s="182"/>
      <c r="CW27" s="182"/>
      <c r="CX27" s="182"/>
      <c r="CY27" s="183"/>
      <c r="CZ27" s="193"/>
      <c r="DA27" s="192"/>
      <c r="DB27" s="182"/>
      <c r="DC27" s="182"/>
      <c r="DD27" s="182"/>
      <c r="DE27" s="182"/>
      <c r="DF27" s="183"/>
      <c r="DG27" s="193"/>
      <c r="DH27" s="192"/>
      <c r="DI27" s="182"/>
      <c r="DJ27" s="182"/>
      <c r="DK27" s="182"/>
      <c r="DL27" s="182"/>
      <c r="DM27" s="183"/>
      <c r="DN27" s="193"/>
      <c r="DO27" s="192"/>
      <c r="DP27" s="182"/>
      <c r="DQ27" s="182"/>
      <c r="DR27" s="182"/>
      <c r="DS27" s="182"/>
      <c r="DT27" s="183"/>
      <c r="DU27" s="193"/>
      <c r="DV27" s="192"/>
      <c r="DW27" s="182"/>
      <c r="DX27" s="182"/>
      <c r="DY27" s="182"/>
      <c r="DZ27" s="182"/>
      <c r="EA27" s="183"/>
      <c r="EB27" s="193"/>
      <c r="EC27" s="192"/>
      <c r="ED27" s="182"/>
      <c r="EE27" s="182"/>
      <c r="EF27" s="182"/>
      <c r="EG27" s="182"/>
      <c r="EH27" s="183"/>
      <c r="EI27" s="193"/>
      <c r="EJ27" s="192"/>
      <c r="EK27" s="182"/>
      <c r="EL27" s="182"/>
      <c r="EM27" s="182"/>
      <c r="EN27" s="182"/>
      <c r="EO27" s="183"/>
      <c r="EP27" s="193"/>
      <c r="EQ27" s="192"/>
      <c r="ER27" s="182"/>
      <c r="ES27" s="182"/>
      <c r="ET27" s="182"/>
      <c r="EU27" s="182"/>
      <c r="EV27" s="183"/>
      <c r="EW27" s="193"/>
      <c r="EX27" s="192"/>
      <c r="EY27" s="182"/>
      <c r="EZ27" s="182"/>
      <c r="FA27" s="182"/>
      <c r="FB27" s="182"/>
      <c r="FC27" s="183"/>
      <c r="FD27" s="193"/>
      <c r="FE27" s="192"/>
      <c r="FF27" s="182"/>
      <c r="FG27" s="182"/>
      <c r="FH27" s="182"/>
      <c r="FI27" s="182"/>
      <c r="FJ27" s="183"/>
      <c r="FK27" s="193"/>
      <c r="FL27" s="192"/>
      <c r="FM27" s="182"/>
      <c r="FN27" s="182"/>
      <c r="FO27" s="182"/>
      <c r="FP27" s="182"/>
      <c r="FQ27" s="183"/>
      <c r="FR27" s="193"/>
      <c r="FS27" s="192"/>
      <c r="FT27" s="182"/>
      <c r="FU27" s="182"/>
      <c r="FV27" s="182"/>
      <c r="FW27" s="182"/>
      <c r="FX27" s="183"/>
      <c r="FY27" s="193"/>
      <c r="FZ27" s="192"/>
      <c r="GA27" s="182"/>
      <c r="GB27" s="182"/>
      <c r="GC27" s="182"/>
      <c r="GD27" s="182"/>
      <c r="GE27" s="183"/>
      <c r="GF27" s="193"/>
      <c r="GG27" s="192"/>
      <c r="GH27" s="182"/>
      <c r="GI27" s="182"/>
      <c r="GJ27" s="182"/>
      <c r="GK27" s="182"/>
      <c r="GL27" s="183"/>
      <c r="GM27" s="193"/>
      <c r="GN27" s="192"/>
      <c r="GO27" s="182"/>
      <c r="GP27" s="182"/>
      <c r="GQ27" s="182"/>
      <c r="GR27" s="182"/>
      <c r="GS27" s="183"/>
      <c r="GT27" s="193"/>
      <c r="GU27" s="192"/>
      <c r="GV27" s="182"/>
      <c r="GW27" s="182"/>
      <c r="GX27" s="182"/>
      <c r="GY27" s="182"/>
      <c r="GZ27" s="183"/>
      <c r="HA27" s="193"/>
      <c r="HB27" s="192"/>
      <c r="HC27" s="182"/>
      <c r="HD27" s="182"/>
      <c r="HE27" s="182"/>
      <c r="HF27" s="182"/>
      <c r="HG27" s="183"/>
      <c r="HH27" s="193"/>
      <c r="HI27" s="192"/>
      <c r="HJ27" s="182"/>
      <c r="HK27" s="182"/>
      <c r="HL27" s="182"/>
      <c r="HM27" s="182"/>
      <c r="HN27" s="183"/>
      <c r="HO27" s="193"/>
      <c r="HP27" s="192"/>
      <c r="HQ27" s="182"/>
      <c r="HR27" s="182"/>
      <c r="HS27" s="182"/>
      <c r="HT27" s="182"/>
      <c r="HU27" s="183"/>
      <c r="HV27" s="193"/>
      <c r="HW27" s="192"/>
      <c r="HX27" s="182"/>
      <c r="HY27" s="182"/>
      <c r="HZ27" s="182"/>
      <c r="IA27" s="182"/>
      <c r="IB27" s="183"/>
      <c r="IC27" s="193"/>
      <c r="ID27" s="192"/>
      <c r="IE27" s="182"/>
      <c r="IF27" s="182"/>
      <c r="IG27" s="182"/>
      <c r="IH27" s="182"/>
      <c r="II27" s="183"/>
      <c r="IJ27" s="193"/>
      <c r="IK27" s="192"/>
      <c r="IL27" s="182"/>
      <c r="IM27" s="182"/>
      <c r="IN27" s="182"/>
      <c r="IO27" s="182"/>
      <c r="IP27" s="183"/>
      <c r="IQ27" s="193"/>
      <c r="IR27" s="192"/>
      <c r="IS27" s="182"/>
      <c r="IT27" s="182"/>
      <c r="IU27" s="182"/>
      <c r="IV27" s="182"/>
      <c r="IW27" s="183"/>
      <c r="IX27" s="193"/>
      <c r="IY27" s="192"/>
      <c r="IZ27" s="182"/>
      <c r="JA27" s="182"/>
      <c r="JB27" s="182"/>
      <c r="JC27" s="182"/>
      <c r="JD27" s="183"/>
      <c r="JE27" s="193"/>
      <c r="JF27" s="192"/>
      <c r="JG27" s="182"/>
      <c r="JH27" s="182"/>
      <c r="JI27" s="182"/>
      <c r="JJ27" s="182"/>
      <c r="JK27" s="183"/>
      <c r="JL27" s="193"/>
      <c r="JM27" s="192"/>
      <c r="JN27" s="182"/>
      <c r="JO27" s="182"/>
      <c r="JP27" s="182"/>
      <c r="JQ27" s="182"/>
      <c r="JR27" s="183"/>
      <c r="JS27" s="193"/>
      <c r="JT27" s="192"/>
      <c r="JU27" s="182"/>
      <c r="JV27" s="182"/>
      <c r="JW27" s="182"/>
      <c r="JX27" s="182"/>
      <c r="JY27" s="183"/>
      <c r="JZ27" s="193"/>
      <c r="KA27" s="192"/>
      <c r="KB27" s="182"/>
      <c r="KC27" s="182"/>
      <c r="KD27" s="182"/>
      <c r="KE27" s="182"/>
      <c r="KF27" s="183"/>
      <c r="KG27" s="193"/>
      <c r="KH27" s="192"/>
      <c r="KI27" s="182"/>
      <c r="KJ27" s="182"/>
      <c r="KK27" s="182"/>
      <c r="KL27" s="182"/>
      <c r="KM27" s="183"/>
      <c r="KN27" s="193"/>
      <c r="KO27" s="192"/>
      <c r="KP27" s="182"/>
      <c r="KQ27" s="182"/>
      <c r="KR27" s="182"/>
      <c r="KS27" s="182"/>
      <c r="KT27" s="183"/>
      <c r="KU27" s="193"/>
      <c r="KV27" s="192"/>
      <c r="KW27" s="182"/>
      <c r="KX27" s="182"/>
      <c r="KY27" s="182"/>
      <c r="KZ27" s="182"/>
      <c r="LA27" s="183"/>
      <c r="LB27" s="193"/>
      <c r="LC27" s="192"/>
      <c r="LD27" s="182"/>
      <c r="LE27" s="182"/>
      <c r="LF27" s="182"/>
      <c r="LG27" s="182"/>
      <c r="LH27" s="183"/>
      <c r="LI27" s="193"/>
      <c r="LJ27" s="192"/>
      <c r="LK27" s="182"/>
      <c r="LL27" s="182"/>
      <c r="LM27" s="182"/>
      <c r="LN27" s="182"/>
      <c r="LO27" s="183"/>
      <c r="LP27" s="193"/>
      <c r="LQ27" s="192"/>
      <c r="LR27" s="182"/>
      <c r="LS27" s="182"/>
      <c r="LT27" s="182"/>
      <c r="LU27" s="182"/>
      <c r="LV27" s="183"/>
      <c r="LW27" s="193"/>
      <c r="LX27" s="192"/>
      <c r="LY27" s="182"/>
      <c r="LZ27" s="182"/>
      <c r="MA27" s="182"/>
      <c r="MB27" s="182"/>
      <c r="MC27" s="183"/>
      <c r="MD27" s="193"/>
      <c r="ME27" s="192"/>
      <c r="MF27" s="182"/>
      <c r="MG27" s="182"/>
      <c r="MH27" s="182"/>
      <c r="MI27" s="182"/>
      <c r="MJ27" s="183"/>
      <c r="MK27" s="193"/>
      <c r="ML27" s="192"/>
      <c r="MM27" s="182"/>
      <c r="MN27" s="182"/>
      <c r="MO27" s="182"/>
      <c r="MP27" s="182"/>
      <c r="MQ27" s="183"/>
      <c r="MR27" s="193"/>
      <c r="MS27" s="192"/>
      <c r="MT27" s="182"/>
      <c r="MU27" s="182"/>
      <c r="MV27" s="182"/>
      <c r="MW27" s="182"/>
      <c r="MX27" s="183"/>
      <c r="MY27" s="193"/>
      <c r="MZ27" s="196"/>
      <c r="NA27" s="177"/>
      <c r="NB27" s="177"/>
      <c r="NC27" s="197"/>
    </row>
    <row r="28" spans="1:367" x14ac:dyDescent="0.3">
      <c r="A28" s="218"/>
      <c r="B28" s="269" t="s">
        <v>13</v>
      </c>
      <c r="C28" s="200" t="s">
        <v>9</v>
      </c>
      <c r="D28" s="200" t="s">
        <v>9</v>
      </c>
      <c r="E28" s="23"/>
      <c r="F28" s="185"/>
      <c r="G28" s="213" t="s">
        <v>7</v>
      </c>
      <c r="H28" s="213" t="s">
        <v>7</v>
      </c>
      <c r="I28" s="213" t="s">
        <v>7</v>
      </c>
      <c r="J28" s="213" t="s">
        <v>7</v>
      </c>
      <c r="K28" s="213" t="s">
        <v>7</v>
      </c>
      <c r="L28" s="23"/>
      <c r="M28" s="185"/>
      <c r="N28" s="203">
        <v>3328</v>
      </c>
      <c r="O28" s="208">
        <v>3363</v>
      </c>
      <c r="P28" s="213" t="s">
        <v>7</v>
      </c>
      <c r="Q28" s="213" t="s">
        <v>7</v>
      </c>
      <c r="R28" s="213" t="s">
        <v>7</v>
      </c>
      <c r="S28" s="23"/>
      <c r="T28" s="185"/>
      <c r="U28" s="203">
        <v>3328</v>
      </c>
      <c r="V28" s="208">
        <v>3363</v>
      </c>
      <c r="W28" s="213" t="s">
        <v>7</v>
      </c>
      <c r="X28" s="213" t="s">
        <v>7</v>
      </c>
      <c r="Y28" s="213" t="s">
        <v>7</v>
      </c>
      <c r="Z28" s="23"/>
      <c r="AA28" s="185"/>
      <c r="AB28" s="203">
        <v>3328</v>
      </c>
      <c r="AC28" s="206">
        <v>3336</v>
      </c>
      <c r="AD28" s="208">
        <v>3363</v>
      </c>
      <c r="AE28" s="208">
        <v>3363</v>
      </c>
      <c r="AF28" s="213" t="s">
        <v>7</v>
      </c>
      <c r="AG28" s="23"/>
      <c r="AH28" s="185"/>
      <c r="AI28" s="200" t="s">
        <v>25</v>
      </c>
      <c r="AJ28" s="204">
        <v>3346</v>
      </c>
      <c r="AK28" s="213" t="s">
        <v>7</v>
      </c>
      <c r="AL28" s="213" t="s">
        <v>7</v>
      </c>
      <c r="AM28" s="213" t="s">
        <v>7</v>
      </c>
      <c r="AN28" s="23"/>
      <c r="AO28" s="185"/>
      <c r="AP28" s="204">
        <v>3346</v>
      </c>
      <c r="AQ28" s="208">
        <v>3363</v>
      </c>
      <c r="AR28" s="213" t="s">
        <v>7</v>
      </c>
      <c r="AS28" s="213" t="s">
        <v>7</v>
      </c>
      <c r="AT28" s="213" t="s">
        <v>7</v>
      </c>
      <c r="AU28" s="23"/>
      <c r="AV28" s="185"/>
      <c r="AW28" s="204">
        <v>3346</v>
      </c>
      <c r="AX28" s="213" t="s">
        <v>7</v>
      </c>
      <c r="AY28" s="213" t="s">
        <v>7</v>
      </c>
      <c r="AZ28" s="213" t="s">
        <v>7</v>
      </c>
      <c r="BA28" s="213" t="s">
        <v>7</v>
      </c>
      <c r="BB28" s="23"/>
      <c r="BC28" s="185"/>
      <c r="BD28" s="204">
        <v>3346</v>
      </c>
      <c r="BE28" s="236">
        <v>3365</v>
      </c>
      <c r="BF28" s="236">
        <v>3365</v>
      </c>
      <c r="BG28" s="236">
        <v>3365</v>
      </c>
      <c r="BH28" s="213" t="s">
        <v>7</v>
      </c>
      <c r="BI28" s="23"/>
      <c r="BJ28" s="185"/>
      <c r="BK28" s="204">
        <v>3346</v>
      </c>
      <c r="BL28" s="236">
        <v>3365</v>
      </c>
      <c r="BM28" s="207">
        <v>3272</v>
      </c>
      <c r="BN28" s="213" t="s">
        <v>7</v>
      </c>
      <c r="BO28" s="213" t="s">
        <v>7</v>
      </c>
      <c r="BP28" s="23"/>
      <c r="BQ28" s="185"/>
      <c r="BR28" s="184"/>
      <c r="BW28" s="23"/>
      <c r="BX28" s="185"/>
      <c r="BY28" s="184"/>
      <c r="CD28" s="23"/>
      <c r="CE28" s="185"/>
      <c r="CF28" s="184"/>
      <c r="CK28" s="23"/>
      <c r="CL28" s="185"/>
      <c r="CM28" s="184"/>
      <c r="CR28" s="23"/>
      <c r="CS28" s="185"/>
      <c r="CT28" s="184"/>
      <c r="CY28" s="23"/>
      <c r="CZ28" s="185"/>
      <c r="DA28" s="184"/>
      <c r="DF28" s="23"/>
      <c r="DG28" s="185"/>
      <c r="DH28" s="184"/>
      <c r="DM28" s="23"/>
      <c r="DN28" s="185"/>
      <c r="DO28" s="184"/>
      <c r="DT28" s="23"/>
      <c r="DU28" s="185"/>
      <c r="DV28" s="184"/>
      <c r="EA28" s="23"/>
      <c r="EB28" s="185"/>
      <c r="EC28" s="184"/>
      <c r="EH28" s="23"/>
      <c r="EI28" s="185"/>
      <c r="EJ28" s="184"/>
      <c r="EO28" s="23"/>
      <c r="EP28" s="185"/>
      <c r="EQ28" s="184"/>
      <c r="EV28" s="23"/>
      <c r="EW28" s="185"/>
      <c r="EX28" s="184"/>
      <c r="FC28" s="23"/>
      <c r="FD28" s="185"/>
      <c r="FE28" s="184"/>
      <c r="FJ28" s="23"/>
      <c r="FK28" s="185"/>
      <c r="FL28" s="184"/>
      <c r="FQ28" s="23"/>
      <c r="FR28" s="185"/>
      <c r="FS28" s="184"/>
      <c r="FX28" s="23"/>
      <c r="FY28" s="185"/>
      <c r="FZ28" s="184"/>
      <c r="GE28" s="23"/>
      <c r="GF28" s="185"/>
      <c r="GG28" s="184"/>
      <c r="GL28" s="23"/>
      <c r="GM28" s="185"/>
      <c r="GN28" s="184"/>
      <c r="GS28" s="23"/>
      <c r="GT28" s="185"/>
      <c r="GU28" s="184"/>
      <c r="GZ28" s="23"/>
      <c r="HA28" s="185"/>
      <c r="HB28" s="184"/>
      <c r="HG28" s="23"/>
      <c r="HH28" s="185"/>
      <c r="HI28" s="184"/>
      <c r="HN28" s="23"/>
      <c r="HO28" s="185"/>
      <c r="HP28" s="184"/>
      <c r="HU28" s="23"/>
      <c r="HV28" s="185"/>
      <c r="HW28" s="184"/>
      <c r="IB28" s="23"/>
      <c r="IC28" s="185"/>
      <c r="ID28" s="184"/>
      <c r="II28" s="23"/>
      <c r="IJ28" s="185"/>
      <c r="IK28" s="184"/>
      <c r="IP28" s="23"/>
      <c r="IQ28" s="185"/>
      <c r="IR28" s="184"/>
      <c r="IW28" s="23"/>
      <c r="IX28" s="185"/>
      <c r="IY28" s="184"/>
      <c r="JD28" s="23"/>
      <c r="JE28" s="185"/>
      <c r="JF28" s="184"/>
      <c r="JK28" s="23"/>
      <c r="JL28" s="185"/>
      <c r="JM28" s="184"/>
      <c r="JR28" s="23"/>
      <c r="JS28" s="185"/>
      <c r="JT28" s="184"/>
      <c r="JY28" s="23"/>
      <c r="JZ28" s="185"/>
      <c r="KA28" s="184"/>
      <c r="KF28" s="23"/>
      <c r="KG28" s="185"/>
      <c r="KH28" s="184"/>
      <c r="KM28" s="23"/>
      <c r="KN28" s="185"/>
      <c r="KO28" s="184"/>
      <c r="KT28" s="23"/>
      <c r="KU28" s="185"/>
      <c r="KV28" s="184"/>
      <c r="LA28" s="23"/>
      <c r="LB28" s="185"/>
      <c r="LC28" s="184"/>
      <c r="LH28" s="23"/>
      <c r="LI28" s="185"/>
      <c r="LJ28" s="184"/>
      <c r="LO28" s="23"/>
      <c r="LP28" s="185"/>
      <c r="LQ28" s="184"/>
      <c r="LV28" s="23"/>
      <c r="LW28" s="185"/>
      <c r="LX28" s="184"/>
      <c r="MC28" s="23"/>
      <c r="MD28" s="185"/>
      <c r="ME28" s="184"/>
      <c r="MJ28" s="23"/>
      <c r="MK28" s="185"/>
      <c r="ML28" s="184"/>
      <c r="MQ28" s="23"/>
      <c r="MR28" s="185"/>
      <c r="MS28" s="184"/>
      <c r="MX28" s="23"/>
      <c r="MY28" s="185"/>
      <c r="MZ28" s="184"/>
      <c r="NC28" s="194"/>
    </row>
    <row r="29" spans="1:367" x14ac:dyDescent="0.3">
      <c r="A29" s="218"/>
      <c r="B29" s="269"/>
      <c r="C29" s="200" t="s">
        <v>9</v>
      </c>
      <c r="D29" s="200" t="s">
        <v>9</v>
      </c>
      <c r="E29" s="16"/>
      <c r="F29" s="186"/>
      <c r="G29" s="213" t="s">
        <v>7</v>
      </c>
      <c r="H29" s="213" t="s">
        <v>7</v>
      </c>
      <c r="I29" s="213" t="s">
        <v>7</v>
      </c>
      <c r="J29" s="213" t="s">
        <v>7</v>
      </c>
      <c r="K29" s="213" t="s">
        <v>7</v>
      </c>
      <c r="L29" s="16"/>
      <c r="M29" s="186"/>
      <c r="N29" s="206">
        <v>3336</v>
      </c>
      <c r="O29" s="208">
        <v>3363</v>
      </c>
      <c r="P29" s="213" t="s">
        <v>7</v>
      </c>
      <c r="Q29" s="213" t="s">
        <v>7</v>
      </c>
      <c r="R29" s="213" t="s">
        <v>7</v>
      </c>
      <c r="S29" s="16"/>
      <c r="T29" s="186"/>
      <c r="U29" s="204">
        <v>3346</v>
      </c>
      <c r="V29" s="208">
        <v>3363</v>
      </c>
      <c r="W29" s="213" t="s">
        <v>7</v>
      </c>
      <c r="X29" s="213" t="s">
        <v>7</v>
      </c>
      <c r="Y29" s="213" t="s">
        <v>7</v>
      </c>
      <c r="Z29" s="16"/>
      <c r="AA29" s="186"/>
      <c r="AB29" s="204">
        <v>3346</v>
      </c>
      <c r="AC29" s="206">
        <v>3336</v>
      </c>
      <c r="AD29" s="208">
        <v>3363</v>
      </c>
      <c r="AE29" s="208">
        <v>3363</v>
      </c>
      <c r="AF29" s="213" t="s">
        <v>7</v>
      </c>
      <c r="AG29" s="16"/>
      <c r="AH29" s="186"/>
      <c r="AI29" s="200" t="s">
        <v>25</v>
      </c>
      <c r="AJ29" s="223">
        <v>3364</v>
      </c>
      <c r="AK29" s="213" t="s">
        <v>7</v>
      </c>
      <c r="AL29" s="213" t="s">
        <v>7</v>
      </c>
      <c r="AM29" s="213" t="s">
        <v>7</v>
      </c>
      <c r="AN29" s="16"/>
      <c r="AO29" s="186"/>
      <c r="AP29" s="208">
        <v>3363</v>
      </c>
      <c r="AQ29" s="208">
        <v>3363</v>
      </c>
      <c r="AR29" s="213" t="s">
        <v>7</v>
      </c>
      <c r="AS29" s="213" t="s">
        <v>7</v>
      </c>
      <c r="AT29" s="213" t="s">
        <v>7</v>
      </c>
      <c r="AU29" s="16"/>
      <c r="AV29" s="186"/>
      <c r="AW29" s="204">
        <v>3346</v>
      </c>
      <c r="AX29" s="213" t="s">
        <v>7</v>
      </c>
      <c r="AY29" s="213" t="s">
        <v>7</v>
      </c>
      <c r="AZ29" s="213" t="s">
        <v>7</v>
      </c>
      <c r="BA29" s="213" t="s">
        <v>7</v>
      </c>
      <c r="BB29" s="16"/>
      <c r="BC29" s="186"/>
      <c r="BD29" s="236">
        <v>3365</v>
      </c>
      <c r="BE29" s="236">
        <v>3365</v>
      </c>
      <c r="BF29" s="236">
        <v>3365</v>
      </c>
      <c r="BG29" s="213" t="s">
        <v>7</v>
      </c>
      <c r="BH29" s="213" t="s">
        <v>7</v>
      </c>
      <c r="BI29" s="16"/>
      <c r="BJ29" s="186"/>
      <c r="BK29" s="204">
        <v>3346</v>
      </c>
      <c r="BL29" s="207">
        <v>3272</v>
      </c>
      <c r="BM29" s="207">
        <v>3272</v>
      </c>
      <c r="BN29" s="213" t="s">
        <v>7</v>
      </c>
      <c r="BO29" s="213" t="s">
        <v>7</v>
      </c>
      <c r="BP29" s="16"/>
      <c r="BQ29" s="186"/>
      <c r="BR29" s="184"/>
      <c r="BW29" s="16"/>
      <c r="BX29" s="186"/>
      <c r="BY29" s="184"/>
      <c r="CD29" s="16"/>
      <c r="CE29" s="186"/>
      <c r="CF29" s="184"/>
      <c r="CK29" s="16"/>
      <c r="CL29" s="186"/>
      <c r="CM29" s="184"/>
      <c r="CR29" s="16"/>
      <c r="CS29" s="186"/>
      <c r="CT29" s="184"/>
      <c r="CY29" s="16"/>
      <c r="CZ29" s="186"/>
      <c r="DA29" s="184"/>
      <c r="DF29" s="16"/>
      <c r="DG29" s="186"/>
      <c r="DH29" s="184"/>
      <c r="DM29" s="16"/>
      <c r="DN29" s="186"/>
      <c r="DO29" s="184"/>
      <c r="DT29" s="16"/>
      <c r="DU29" s="186"/>
      <c r="DV29" s="184"/>
      <c r="EA29" s="16"/>
      <c r="EB29" s="186"/>
      <c r="EC29" s="184"/>
      <c r="EH29" s="16"/>
      <c r="EI29" s="186"/>
      <c r="EJ29" s="184"/>
      <c r="EO29" s="16"/>
      <c r="EP29" s="186"/>
      <c r="EQ29" s="184"/>
      <c r="EV29" s="16"/>
      <c r="EW29" s="186"/>
      <c r="EX29" s="184"/>
      <c r="FC29" s="16"/>
      <c r="FD29" s="186"/>
      <c r="FE29" s="184"/>
      <c r="FJ29" s="16"/>
      <c r="FK29" s="186"/>
      <c r="FL29" s="184"/>
      <c r="FQ29" s="16"/>
      <c r="FR29" s="186"/>
      <c r="FS29" s="184"/>
      <c r="FX29" s="16"/>
      <c r="FY29" s="186"/>
      <c r="FZ29" s="184"/>
      <c r="GE29" s="16"/>
      <c r="GF29" s="186"/>
      <c r="GG29" s="184"/>
      <c r="GL29" s="16"/>
      <c r="GM29" s="186"/>
      <c r="GN29" s="184"/>
      <c r="GS29" s="16"/>
      <c r="GT29" s="186"/>
      <c r="GU29" s="184"/>
      <c r="GZ29" s="16"/>
      <c r="HA29" s="186"/>
      <c r="HB29" s="184"/>
      <c r="HG29" s="16"/>
      <c r="HH29" s="186"/>
      <c r="HI29" s="184"/>
      <c r="HN29" s="16"/>
      <c r="HO29" s="186"/>
      <c r="HP29" s="184"/>
      <c r="HU29" s="16"/>
      <c r="HV29" s="186"/>
      <c r="HW29" s="184"/>
      <c r="IB29" s="16"/>
      <c r="IC29" s="186"/>
      <c r="ID29" s="184"/>
      <c r="II29" s="16"/>
      <c r="IJ29" s="186"/>
      <c r="IK29" s="184"/>
      <c r="IP29" s="16"/>
      <c r="IQ29" s="186"/>
      <c r="IR29" s="184"/>
      <c r="IW29" s="16"/>
      <c r="IX29" s="186"/>
      <c r="IY29" s="184"/>
      <c r="JD29" s="16"/>
      <c r="JE29" s="186"/>
      <c r="JF29" s="184"/>
      <c r="JK29" s="16"/>
      <c r="JL29" s="186"/>
      <c r="JM29" s="184"/>
      <c r="JR29" s="16"/>
      <c r="JS29" s="186"/>
      <c r="JT29" s="184"/>
      <c r="JY29" s="16"/>
      <c r="JZ29" s="186"/>
      <c r="KA29" s="184"/>
      <c r="KF29" s="16"/>
      <c r="KG29" s="186"/>
      <c r="KH29" s="184"/>
      <c r="KM29" s="16"/>
      <c r="KN29" s="186"/>
      <c r="KO29" s="184"/>
      <c r="KT29" s="16"/>
      <c r="KU29" s="186"/>
      <c r="KV29" s="184"/>
      <c r="LA29" s="16"/>
      <c r="LB29" s="186"/>
      <c r="LC29" s="184"/>
      <c r="LH29" s="16"/>
      <c r="LI29" s="186"/>
      <c r="LJ29" s="184"/>
      <c r="LO29" s="16"/>
      <c r="LP29" s="186"/>
      <c r="LQ29" s="184"/>
      <c r="LV29" s="16"/>
      <c r="LW29" s="186"/>
      <c r="LX29" s="184"/>
      <c r="MC29" s="16"/>
      <c r="MD29" s="186"/>
      <c r="ME29" s="184"/>
      <c r="MJ29" s="16"/>
      <c r="MK29" s="186"/>
      <c r="ML29" s="184"/>
      <c r="MQ29" s="16"/>
      <c r="MR29" s="186"/>
      <c r="MS29" s="184"/>
      <c r="MX29" s="16"/>
      <c r="MY29" s="186"/>
      <c r="MZ29" s="184"/>
      <c r="NC29" s="194"/>
    </row>
    <row r="30" spans="1:367" x14ac:dyDescent="0.3">
      <c r="A30" s="218"/>
      <c r="B30" s="269"/>
      <c r="C30" s="200" t="s">
        <v>9</v>
      </c>
      <c r="D30" s="200" t="s">
        <v>9</v>
      </c>
      <c r="E30" s="16"/>
      <c r="F30" s="186"/>
      <c r="G30" s="213" t="s">
        <v>7</v>
      </c>
      <c r="H30" s="213" t="s">
        <v>7</v>
      </c>
      <c r="I30" s="213" t="s">
        <v>7</v>
      </c>
      <c r="J30" s="213" t="s">
        <v>7</v>
      </c>
      <c r="K30" s="213" t="s">
        <v>7</v>
      </c>
      <c r="L30" s="16"/>
      <c r="M30" s="186"/>
      <c r="N30" s="206">
        <v>3336</v>
      </c>
      <c r="O30" s="208">
        <v>3363</v>
      </c>
      <c r="P30" s="213" t="s">
        <v>7</v>
      </c>
      <c r="Q30" s="213" t="s">
        <v>7</v>
      </c>
      <c r="R30" s="213" t="s">
        <v>7</v>
      </c>
      <c r="S30" s="16"/>
      <c r="T30" s="186"/>
      <c r="U30" s="208">
        <v>3363</v>
      </c>
      <c r="V30" s="208">
        <v>3363</v>
      </c>
      <c r="W30" s="213" t="s">
        <v>7</v>
      </c>
      <c r="X30" s="213" t="s">
        <v>7</v>
      </c>
      <c r="Y30" s="213" t="s">
        <v>7</v>
      </c>
      <c r="Z30" s="16"/>
      <c r="AA30" s="186"/>
      <c r="AB30" s="206">
        <v>3336</v>
      </c>
      <c r="AC30" s="206">
        <v>3336</v>
      </c>
      <c r="AD30" s="208">
        <v>3363</v>
      </c>
      <c r="AE30" s="208">
        <v>3363</v>
      </c>
      <c r="AF30" s="213" t="s">
        <v>7</v>
      </c>
      <c r="AG30" s="16"/>
      <c r="AH30" s="186"/>
      <c r="AI30" s="200" t="s">
        <v>25</v>
      </c>
      <c r="AJ30" s="213" t="s">
        <v>7</v>
      </c>
      <c r="AK30" s="213" t="s">
        <v>7</v>
      </c>
      <c r="AL30" s="213" t="s">
        <v>7</v>
      </c>
      <c r="AM30" s="213" t="s">
        <v>7</v>
      </c>
      <c r="AN30" s="16"/>
      <c r="AO30" s="186"/>
      <c r="AP30" s="208">
        <v>3363</v>
      </c>
      <c r="AQ30" s="208">
        <v>3363</v>
      </c>
      <c r="AR30" s="213" t="s">
        <v>7</v>
      </c>
      <c r="AS30" s="213" t="s">
        <v>7</v>
      </c>
      <c r="AT30" s="213" t="s">
        <v>7</v>
      </c>
      <c r="AU30" s="16"/>
      <c r="AV30" s="186"/>
      <c r="AW30" s="204">
        <v>3346</v>
      </c>
      <c r="AX30" s="213" t="s">
        <v>7</v>
      </c>
      <c r="AY30" s="213" t="s">
        <v>7</v>
      </c>
      <c r="AZ30" s="213" t="s">
        <v>7</v>
      </c>
      <c r="BA30" s="213" t="s">
        <v>7</v>
      </c>
      <c r="BB30" s="16"/>
      <c r="BC30" s="186"/>
      <c r="BD30" s="236">
        <v>3365</v>
      </c>
      <c r="BE30" s="236">
        <v>3365</v>
      </c>
      <c r="BF30" s="236">
        <v>3365</v>
      </c>
      <c r="BG30" s="213" t="s">
        <v>7</v>
      </c>
      <c r="BH30" s="213" t="s">
        <v>7</v>
      </c>
      <c r="BI30" s="16"/>
      <c r="BJ30" s="186"/>
      <c r="BK30" s="204">
        <v>3346</v>
      </c>
      <c r="BL30" s="207">
        <v>3272</v>
      </c>
      <c r="BM30" s="207">
        <v>3272</v>
      </c>
      <c r="BN30" s="213" t="s">
        <v>7</v>
      </c>
      <c r="BO30" s="213" t="s">
        <v>7</v>
      </c>
      <c r="BP30" s="16"/>
      <c r="BQ30" s="186"/>
      <c r="BR30" s="184"/>
      <c r="BW30" s="16"/>
      <c r="BX30" s="186"/>
      <c r="BY30" s="184"/>
      <c r="CD30" s="16"/>
      <c r="CE30" s="186"/>
      <c r="CF30" s="184"/>
      <c r="CK30" s="16"/>
      <c r="CL30" s="186"/>
      <c r="CM30" s="184"/>
      <c r="CR30" s="16"/>
      <c r="CS30" s="186"/>
      <c r="CT30" s="184"/>
      <c r="CY30" s="16"/>
      <c r="CZ30" s="186"/>
      <c r="DA30" s="184"/>
      <c r="DF30" s="16"/>
      <c r="DG30" s="186"/>
      <c r="DH30" s="184"/>
      <c r="DM30" s="16"/>
      <c r="DN30" s="186"/>
      <c r="DO30" s="184"/>
      <c r="DT30" s="16"/>
      <c r="DU30" s="186"/>
      <c r="DV30" s="184"/>
      <c r="EA30" s="16"/>
      <c r="EB30" s="186"/>
      <c r="EC30" s="184"/>
      <c r="EH30" s="16"/>
      <c r="EI30" s="186"/>
      <c r="EJ30" s="184"/>
      <c r="EO30" s="16"/>
      <c r="EP30" s="186"/>
      <c r="EQ30" s="184"/>
      <c r="EV30" s="16"/>
      <c r="EW30" s="186"/>
      <c r="EX30" s="184"/>
      <c r="FC30" s="16"/>
      <c r="FD30" s="186"/>
      <c r="FE30" s="184"/>
      <c r="FJ30" s="16"/>
      <c r="FK30" s="186"/>
      <c r="FL30" s="184"/>
      <c r="FQ30" s="16"/>
      <c r="FR30" s="186"/>
      <c r="FS30" s="184"/>
      <c r="FX30" s="16"/>
      <c r="FY30" s="186"/>
      <c r="FZ30" s="184"/>
      <c r="GE30" s="16"/>
      <c r="GF30" s="186"/>
      <c r="GG30" s="184"/>
      <c r="GL30" s="16"/>
      <c r="GM30" s="186"/>
      <c r="GN30" s="184"/>
      <c r="GS30" s="16"/>
      <c r="GT30" s="186"/>
      <c r="GU30" s="184"/>
      <c r="GZ30" s="16"/>
      <c r="HA30" s="186"/>
      <c r="HB30" s="184"/>
      <c r="HG30" s="16"/>
      <c r="HH30" s="186"/>
      <c r="HI30" s="184"/>
      <c r="HN30" s="16"/>
      <c r="HO30" s="186"/>
      <c r="HP30" s="184"/>
      <c r="HU30" s="16"/>
      <c r="HV30" s="186"/>
      <c r="HW30" s="184"/>
      <c r="IB30" s="16"/>
      <c r="IC30" s="186"/>
      <c r="ID30" s="184"/>
      <c r="II30" s="16"/>
      <c r="IJ30" s="186"/>
      <c r="IK30" s="184"/>
      <c r="IP30" s="16"/>
      <c r="IQ30" s="186"/>
      <c r="IR30" s="184"/>
      <c r="IW30" s="16"/>
      <c r="IX30" s="186"/>
      <c r="IY30" s="184"/>
      <c r="JD30" s="16"/>
      <c r="JE30" s="186"/>
      <c r="JF30" s="184"/>
      <c r="JK30" s="16"/>
      <c r="JL30" s="186"/>
      <c r="JM30" s="184"/>
      <c r="JR30" s="16"/>
      <c r="JS30" s="186"/>
      <c r="JT30" s="184"/>
      <c r="JY30" s="16"/>
      <c r="JZ30" s="186"/>
      <c r="KA30" s="184"/>
      <c r="KF30" s="16"/>
      <c r="KG30" s="186"/>
      <c r="KH30" s="184"/>
      <c r="KM30" s="16"/>
      <c r="KN30" s="186"/>
      <c r="KO30" s="184"/>
      <c r="KT30" s="16"/>
      <c r="KU30" s="186"/>
      <c r="KV30" s="184"/>
      <c r="LA30" s="16"/>
      <c r="LB30" s="186"/>
      <c r="LC30" s="184"/>
      <c r="LH30" s="16"/>
      <c r="LI30" s="186"/>
      <c r="LJ30" s="184"/>
      <c r="LO30" s="16"/>
      <c r="LP30" s="186"/>
      <c r="LQ30" s="184"/>
      <c r="LV30" s="16"/>
      <c r="LW30" s="186"/>
      <c r="LX30" s="184"/>
      <c r="MC30" s="16"/>
      <c r="MD30" s="186"/>
      <c r="ME30" s="184"/>
      <c r="MJ30" s="16"/>
      <c r="MK30" s="186"/>
      <c r="ML30" s="184"/>
      <c r="MQ30" s="16"/>
      <c r="MR30" s="186"/>
      <c r="MS30" s="184"/>
      <c r="MX30" s="16"/>
      <c r="MY30" s="186"/>
      <c r="MZ30" s="184"/>
      <c r="NC30" s="194"/>
    </row>
    <row r="31" spans="1:367" x14ac:dyDescent="0.3">
      <c r="A31" s="218"/>
      <c r="B31" s="269"/>
      <c r="C31" s="200" t="s">
        <v>9</v>
      </c>
      <c r="D31" s="200" t="s">
        <v>9</v>
      </c>
      <c r="E31" s="16"/>
      <c r="F31" s="186"/>
      <c r="G31" s="213" t="s">
        <v>7</v>
      </c>
      <c r="H31" s="213" t="s">
        <v>7</v>
      </c>
      <c r="I31" s="213" t="s">
        <v>7</v>
      </c>
      <c r="J31" s="213" t="s">
        <v>7</v>
      </c>
      <c r="K31" s="213" t="s">
        <v>7</v>
      </c>
      <c r="L31" s="16"/>
      <c r="M31" s="186"/>
      <c r="N31" s="204">
        <v>3346</v>
      </c>
      <c r="O31" s="208">
        <v>3363</v>
      </c>
      <c r="P31" s="213" t="s">
        <v>7</v>
      </c>
      <c r="Q31" s="213" t="s">
        <v>7</v>
      </c>
      <c r="R31" s="213" t="s">
        <v>7</v>
      </c>
      <c r="S31" s="16"/>
      <c r="T31" s="186"/>
      <c r="U31" s="208">
        <v>3363</v>
      </c>
      <c r="V31" s="208">
        <v>3363</v>
      </c>
      <c r="W31" s="213" t="s">
        <v>7</v>
      </c>
      <c r="X31" s="213" t="s">
        <v>7</v>
      </c>
      <c r="Y31" s="213" t="s">
        <v>7</v>
      </c>
      <c r="Z31" s="16"/>
      <c r="AA31" s="186"/>
      <c r="AB31" s="206">
        <v>3336</v>
      </c>
      <c r="AC31" s="206">
        <v>3336</v>
      </c>
      <c r="AD31" s="208">
        <v>3363</v>
      </c>
      <c r="AE31" s="208">
        <v>3363</v>
      </c>
      <c r="AF31" s="213" t="s">
        <v>7</v>
      </c>
      <c r="AG31" s="16"/>
      <c r="AH31" s="186"/>
      <c r="AI31" s="200" t="s">
        <v>25</v>
      </c>
      <c r="AJ31" s="213" t="s">
        <v>7</v>
      </c>
      <c r="AK31" s="213" t="s">
        <v>7</v>
      </c>
      <c r="AL31" s="213" t="s">
        <v>7</v>
      </c>
      <c r="AM31" s="213" t="s">
        <v>7</v>
      </c>
      <c r="AN31" s="16"/>
      <c r="AO31" s="186"/>
      <c r="AP31" s="208">
        <v>3363</v>
      </c>
      <c r="AQ31" s="208">
        <v>3363</v>
      </c>
      <c r="AR31" s="213" t="s">
        <v>7</v>
      </c>
      <c r="AS31" s="213" t="s">
        <v>7</v>
      </c>
      <c r="AT31" s="213" t="s">
        <v>7</v>
      </c>
      <c r="AU31" s="16"/>
      <c r="AV31" s="186"/>
      <c r="AW31" s="208">
        <v>3363</v>
      </c>
      <c r="AX31" s="213" t="s">
        <v>7</v>
      </c>
      <c r="AY31" s="213" t="s">
        <v>7</v>
      </c>
      <c r="AZ31" s="213" t="s">
        <v>7</v>
      </c>
      <c r="BA31" s="213" t="s">
        <v>7</v>
      </c>
      <c r="BB31" s="16"/>
      <c r="BC31" s="186"/>
      <c r="BD31" s="236">
        <v>3365</v>
      </c>
      <c r="BE31" s="236">
        <v>3365</v>
      </c>
      <c r="BF31" s="236">
        <v>3365</v>
      </c>
      <c r="BG31" s="213" t="s">
        <v>7</v>
      </c>
      <c r="BH31" s="213" t="s">
        <v>7</v>
      </c>
      <c r="BI31" s="16"/>
      <c r="BJ31" s="186"/>
      <c r="BK31" s="236">
        <v>3365</v>
      </c>
      <c r="BL31" s="207">
        <v>3272</v>
      </c>
      <c r="BM31" s="207">
        <v>3272</v>
      </c>
      <c r="BN31" s="213" t="s">
        <v>7</v>
      </c>
      <c r="BO31" s="213" t="s">
        <v>7</v>
      </c>
      <c r="BP31" s="16"/>
      <c r="BQ31" s="186"/>
      <c r="BR31" s="184"/>
      <c r="BW31" s="16"/>
      <c r="BX31" s="186"/>
      <c r="BY31" s="184"/>
      <c r="CD31" s="16"/>
      <c r="CE31" s="186"/>
      <c r="CF31" s="184"/>
      <c r="CK31" s="16"/>
      <c r="CL31" s="186"/>
      <c r="CM31" s="184"/>
      <c r="CR31" s="16"/>
      <c r="CS31" s="186"/>
      <c r="CT31" s="184"/>
      <c r="CY31" s="16"/>
      <c r="CZ31" s="186"/>
      <c r="DA31" s="184"/>
      <c r="DF31" s="16"/>
      <c r="DG31" s="186"/>
      <c r="DH31" s="184"/>
      <c r="DM31" s="16"/>
      <c r="DN31" s="186"/>
      <c r="DO31" s="184"/>
      <c r="DT31" s="16"/>
      <c r="DU31" s="186"/>
      <c r="DV31" s="184"/>
      <c r="EA31" s="16"/>
      <c r="EB31" s="186"/>
      <c r="EC31" s="184"/>
      <c r="EH31" s="16"/>
      <c r="EI31" s="186"/>
      <c r="EJ31" s="184"/>
      <c r="EO31" s="16"/>
      <c r="EP31" s="186"/>
      <c r="EQ31" s="184"/>
      <c r="EV31" s="16"/>
      <c r="EW31" s="186"/>
      <c r="EX31" s="184"/>
      <c r="FC31" s="16"/>
      <c r="FD31" s="186"/>
      <c r="FE31" s="184"/>
      <c r="FJ31" s="16"/>
      <c r="FK31" s="186"/>
      <c r="FL31" s="184"/>
      <c r="FQ31" s="16"/>
      <c r="FR31" s="186"/>
      <c r="FS31" s="184"/>
      <c r="FX31" s="16"/>
      <c r="FY31" s="186"/>
      <c r="FZ31" s="184"/>
      <c r="GE31" s="16"/>
      <c r="GF31" s="186"/>
      <c r="GG31" s="184"/>
      <c r="GL31" s="16"/>
      <c r="GM31" s="186"/>
      <c r="GN31" s="184"/>
      <c r="GS31" s="16"/>
      <c r="GT31" s="186"/>
      <c r="GU31" s="184"/>
      <c r="GZ31" s="16"/>
      <c r="HA31" s="186"/>
      <c r="HB31" s="184"/>
      <c r="HG31" s="16"/>
      <c r="HH31" s="186"/>
      <c r="HI31" s="184"/>
      <c r="HN31" s="16"/>
      <c r="HO31" s="186"/>
      <c r="HP31" s="184"/>
      <c r="HU31" s="16"/>
      <c r="HV31" s="186"/>
      <c r="HW31" s="184"/>
      <c r="IB31" s="16"/>
      <c r="IC31" s="186"/>
      <c r="ID31" s="184"/>
      <c r="II31" s="16"/>
      <c r="IJ31" s="186"/>
      <c r="IK31" s="184"/>
      <c r="IP31" s="16"/>
      <c r="IQ31" s="186"/>
      <c r="IR31" s="184"/>
      <c r="IW31" s="16"/>
      <c r="IX31" s="186"/>
      <c r="IY31" s="184"/>
      <c r="JD31" s="16"/>
      <c r="JE31" s="186"/>
      <c r="JF31" s="184"/>
      <c r="JK31" s="16"/>
      <c r="JL31" s="186"/>
      <c r="JM31" s="184"/>
      <c r="JR31" s="16"/>
      <c r="JS31" s="186"/>
      <c r="JT31" s="184"/>
      <c r="JY31" s="16"/>
      <c r="JZ31" s="186"/>
      <c r="KA31" s="184"/>
      <c r="KF31" s="16"/>
      <c r="KG31" s="186"/>
      <c r="KH31" s="184"/>
      <c r="KM31" s="16"/>
      <c r="KN31" s="186"/>
      <c r="KO31" s="184"/>
      <c r="KT31" s="16"/>
      <c r="KU31" s="186"/>
      <c r="KV31" s="184"/>
      <c r="LA31" s="16"/>
      <c r="LB31" s="186"/>
      <c r="LC31" s="184"/>
      <c r="LH31" s="16"/>
      <c r="LI31" s="186"/>
      <c r="LJ31" s="184"/>
      <c r="LO31" s="16"/>
      <c r="LP31" s="186"/>
      <c r="LQ31" s="184"/>
      <c r="LV31" s="16"/>
      <c r="LW31" s="186"/>
      <c r="LX31" s="184"/>
      <c r="MC31" s="16"/>
      <c r="MD31" s="186"/>
      <c r="ME31" s="184"/>
      <c r="MJ31" s="16"/>
      <c r="MK31" s="186"/>
      <c r="ML31" s="184"/>
      <c r="MQ31" s="16"/>
      <c r="MR31" s="186"/>
      <c r="MS31" s="184"/>
      <c r="MX31" s="16"/>
      <c r="MY31" s="186"/>
      <c r="MZ31" s="184"/>
      <c r="NC31" s="194"/>
    </row>
    <row r="32" spans="1:367" x14ac:dyDescent="0.3">
      <c r="A32" s="218"/>
      <c r="B32" s="269"/>
      <c r="C32" s="200" t="s">
        <v>9</v>
      </c>
      <c r="D32" s="200" t="s">
        <v>9</v>
      </c>
      <c r="E32" s="16"/>
      <c r="F32" s="186"/>
      <c r="G32" s="213" t="s">
        <v>7</v>
      </c>
      <c r="H32" s="213" t="s">
        <v>7</v>
      </c>
      <c r="I32" s="213" t="s">
        <v>7</v>
      </c>
      <c r="J32" s="213" t="s">
        <v>7</v>
      </c>
      <c r="K32" s="213" t="s">
        <v>7</v>
      </c>
      <c r="L32" s="16"/>
      <c r="M32" s="186"/>
      <c r="N32" s="208">
        <v>3363</v>
      </c>
      <c r="O32" s="208">
        <v>3363</v>
      </c>
      <c r="P32" s="213" t="s">
        <v>7</v>
      </c>
      <c r="Q32" s="213" t="s">
        <v>7</v>
      </c>
      <c r="R32" s="213" t="s">
        <v>7</v>
      </c>
      <c r="S32" s="16"/>
      <c r="T32" s="186"/>
      <c r="U32" s="208">
        <v>3363</v>
      </c>
      <c r="V32" s="208">
        <v>3363</v>
      </c>
      <c r="W32" s="213" t="s">
        <v>7</v>
      </c>
      <c r="X32" s="213" t="s">
        <v>7</v>
      </c>
      <c r="Y32" s="213" t="s">
        <v>7</v>
      </c>
      <c r="Z32" s="16"/>
      <c r="AA32" s="186"/>
      <c r="AB32" s="206">
        <v>3336</v>
      </c>
      <c r="AC32" s="206">
        <v>3336</v>
      </c>
      <c r="AD32" s="208">
        <v>3363</v>
      </c>
      <c r="AE32" s="208">
        <v>3363</v>
      </c>
      <c r="AF32" s="213" t="s">
        <v>7</v>
      </c>
      <c r="AG32" s="16"/>
      <c r="AH32" s="186"/>
      <c r="AI32" s="200" t="s">
        <v>25</v>
      </c>
      <c r="AJ32" s="213" t="s">
        <v>7</v>
      </c>
      <c r="AK32" s="213" t="s">
        <v>7</v>
      </c>
      <c r="AL32" s="213" t="s">
        <v>7</v>
      </c>
      <c r="AM32" s="213" t="s">
        <v>7</v>
      </c>
      <c r="AN32" s="16"/>
      <c r="AO32" s="186"/>
      <c r="AP32" s="208">
        <v>3363</v>
      </c>
      <c r="AQ32" s="208">
        <v>3363</v>
      </c>
      <c r="AR32" s="213" t="s">
        <v>7</v>
      </c>
      <c r="AS32" s="213" t="s">
        <v>7</v>
      </c>
      <c r="AT32" s="213" t="s">
        <v>7</v>
      </c>
      <c r="AU32" s="16"/>
      <c r="AV32" s="186"/>
      <c r="AW32" s="208">
        <v>3363</v>
      </c>
      <c r="AX32" s="213" t="s">
        <v>7</v>
      </c>
      <c r="AY32" s="213" t="s">
        <v>7</v>
      </c>
      <c r="AZ32" s="213" t="s">
        <v>7</v>
      </c>
      <c r="BA32" s="213" t="s">
        <v>7</v>
      </c>
      <c r="BB32" s="16"/>
      <c r="BC32" s="186"/>
      <c r="BD32" s="236">
        <v>3365</v>
      </c>
      <c r="BE32" s="236">
        <v>3365</v>
      </c>
      <c r="BF32" s="236">
        <v>3365</v>
      </c>
      <c r="BG32" s="213" t="s">
        <v>7</v>
      </c>
      <c r="BH32" s="213" t="s">
        <v>7</v>
      </c>
      <c r="BI32" s="16"/>
      <c r="BJ32" s="186"/>
      <c r="BK32" s="236">
        <v>3365</v>
      </c>
      <c r="BL32" s="207">
        <v>3272</v>
      </c>
      <c r="BM32" s="207">
        <v>3272</v>
      </c>
      <c r="BN32" s="213" t="s">
        <v>7</v>
      </c>
      <c r="BO32" s="213" t="s">
        <v>7</v>
      </c>
      <c r="BP32" s="16"/>
      <c r="BQ32" s="186"/>
      <c r="BR32" s="184"/>
      <c r="BW32" s="16"/>
      <c r="BX32" s="186"/>
      <c r="BY32" s="184"/>
      <c r="CD32" s="16"/>
      <c r="CE32" s="186"/>
      <c r="CF32" s="184"/>
      <c r="CK32" s="16"/>
      <c r="CL32" s="186"/>
      <c r="CM32" s="184"/>
      <c r="CR32" s="16"/>
      <c r="CS32" s="186"/>
      <c r="CT32" s="184"/>
      <c r="CY32" s="16"/>
      <c r="CZ32" s="186"/>
      <c r="DA32" s="184"/>
      <c r="DF32" s="16"/>
      <c r="DG32" s="186"/>
      <c r="DH32" s="184"/>
      <c r="DM32" s="16"/>
      <c r="DN32" s="186"/>
      <c r="DO32" s="184"/>
      <c r="DT32" s="16"/>
      <c r="DU32" s="186"/>
      <c r="DV32" s="184"/>
      <c r="EA32" s="16"/>
      <c r="EB32" s="186"/>
      <c r="EC32" s="184"/>
      <c r="EH32" s="16"/>
      <c r="EI32" s="186"/>
      <c r="EJ32" s="184"/>
      <c r="EO32" s="16"/>
      <c r="EP32" s="186"/>
      <c r="EQ32" s="184"/>
      <c r="EV32" s="16"/>
      <c r="EW32" s="186"/>
      <c r="EX32" s="184"/>
      <c r="FC32" s="16"/>
      <c r="FD32" s="186"/>
      <c r="FE32" s="184"/>
      <c r="FJ32" s="16"/>
      <c r="FK32" s="186"/>
      <c r="FL32" s="184"/>
      <c r="FQ32" s="16"/>
      <c r="FR32" s="186"/>
      <c r="FS32" s="184"/>
      <c r="FX32" s="16"/>
      <c r="FY32" s="186"/>
      <c r="FZ32" s="184"/>
      <c r="GE32" s="16"/>
      <c r="GF32" s="186"/>
      <c r="GG32" s="184"/>
      <c r="GL32" s="16"/>
      <c r="GM32" s="186"/>
      <c r="GN32" s="184"/>
      <c r="GS32" s="16"/>
      <c r="GT32" s="186"/>
      <c r="GU32" s="184"/>
      <c r="GZ32" s="16"/>
      <c r="HA32" s="186"/>
      <c r="HB32" s="184"/>
      <c r="HG32" s="16"/>
      <c r="HH32" s="186"/>
      <c r="HI32" s="184"/>
      <c r="HN32" s="16"/>
      <c r="HO32" s="186"/>
      <c r="HP32" s="184"/>
      <c r="HU32" s="16"/>
      <c r="HV32" s="186"/>
      <c r="HW32" s="184"/>
      <c r="IB32" s="16"/>
      <c r="IC32" s="186"/>
      <c r="ID32" s="184"/>
      <c r="II32" s="16"/>
      <c r="IJ32" s="186"/>
      <c r="IK32" s="184"/>
      <c r="IP32" s="16"/>
      <c r="IQ32" s="186"/>
      <c r="IR32" s="184"/>
      <c r="IW32" s="16"/>
      <c r="IX32" s="186"/>
      <c r="IY32" s="184"/>
      <c r="JD32" s="16"/>
      <c r="JE32" s="186"/>
      <c r="JF32" s="184"/>
      <c r="JK32" s="16"/>
      <c r="JL32" s="186"/>
      <c r="JM32" s="184"/>
      <c r="JR32" s="16"/>
      <c r="JS32" s="186"/>
      <c r="JT32" s="184"/>
      <c r="JY32" s="16"/>
      <c r="JZ32" s="186"/>
      <c r="KA32" s="184"/>
      <c r="KF32" s="16"/>
      <c r="KG32" s="186"/>
      <c r="KH32" s="184"/>
      <c r="KM32" s="16"/>
      <c r="KN32" s="186"/>
      <c r="KO32" s="184"/>
      <c r="KT32" s="16"/>
      <c r="KU32" s="186"/>
      <c r="KV32" s="184"/>
      <c r="LA32" s="16"/>
      <c r="LB32" s="186"/>
      <c r="LC32" s="184"/>
      <c r="LH32" s="16"/>
      <c r="LI32" s="186"/>
      <c r="LJ32" s="184"/>
      <c r="LO32" s="16"/>
      <c r="LP32" s="186"/>
      <c r="LQ32" s="184"/>
      <c r="LV32" s="16"/>
      <c r="LW32" s="186"/>
      <c r="LX32" s="184"/>
      <c r="MC32" s="16"/>
      <c r="MD32" s="186"/>
      <c r="ME32" s="184"/>
      <c r="MJ32" s="16"/>
      <c r="MK32" s="186"/>
      <c r="ML32" s="184"/>
      <c r="MQ32" s="16"/>
      <c r="MR32" s="186"/>
      <c r="MS32" s="184"/>
      <c r="MX32" s="16"/>
      <c r="MY32" s="186"/>
      <c r="MZ32" s="184"/>
      <c r="NC32" s="194"/>
    </row>
    <row r="33" spans="1:367" x14ac:dyDescent="0.3">
      <c r="A33" s="218"/>
      <c r="B33" s="269"/>
      <c r="C33" s="200" t="s">
        <v>9</v>
      </c>
      <c r="D33" s="200" t="s">
        <v>9</v>
      </c>
      <c r="E33" s="16"/>
      <c r="F33" s="186"/>
      <c r="G33" s="213" t="s">
        <v>7</v>
      </c>
      <c r="H33" s="213" t="s">
        <v>7</v>
      </c>
      <c r="I33" s="213" t="s">
        <v>7</v>
      </c>
      <c r="J33" s="213" t="s">
        <v>7</v>
      </c>
      <c r="K33" s="213" t="s">
        <v>7</v>
      </c>
      <c r="L33" s="16"/>
      <c r="M33" s="186"/>
      <c r="N33" s="208">
        <v>3363</v>
      </c>
      <c r="O33" s="208">
        <v>3363</v>
      </c>
      <c r="P33" s="213" t="s">
        <v>7</v>
      </c>
      <c r="Q33" s="213" t="s">
        <v>7</v>
      </c>
      <c r="R33" s="213" t="s">
        <v>7</v>
      </c>
      <c r="S33" s="16"/>
      <c r="T33" s="186"/>
      <c r="U33" s="208">
        <v>3363</v>
      </c>
      <c r="V33" s="208">
        <v>3363</v>
      </c>
      <c r="W33" s="213" t="s">
        <v>7</v>
      </c>
      <c r="X33" s="213" t="s">
        <v>7</v>
      </c>
      <c r="Y33" s="213" t="s">
        <v>7</v>
      </c>
      <c r="Z33" s="16"/>
      <c r="AA33" s="186"/>
      <c r="AB33" s="206">
        <v>3336</v>
      </c>
      <c r="AC33" s="206">
        <v>3336</v>
      </c>
      <c r="AD33" s="208">
        <v>3363</v>
      </c>
      <c r="AE33" s="208">
        <v>3363</v>
      </c>
      <c r="AF33" s="213" t="s">
        <v>7</v>
      </c>
      <c r="AG33" s="16"/>
      <c r="AH33" s="186"/>
      <c r="AI33" s="200" t="s">
        <v>25</v>
      </c>
      <c r="AJ33" s="213" t="s">
        <v>7</v>
      </c>
      <c r="AK33" s="213" t="s">
        <v>7</v>
      </c>
      <c r="AL33" s="213" t="s">
        <v>7</v>
      </c>
      <c r="AM33" s="213" t="s">
        <v>7</v>
      </c>
      <c r="AN33" s="16"/>
      <c r="AO33" s="186"/>
      <c r="AP33" s="208">
        <v>3363</v>
      </c>
      <c r="AQ33" s="208">
        <v>3363</v>
      </c>
      <c r="AR33" s="213" t="s">
        <v>7</v>
      </c>
      <c r="AS33" s="213" t="s">
        <v>7</v>
      </c>
      <c r="AT33" s="213" t="s">
        <v>7</v>
      </c>
      <c r="AU33" s="16"/>
      <c r="AV33" s="186"/>
      <c r="AW33" s="213" t="s">
        <v>7</v>
      </c>
      <c r="AX33" s="213" t="s">
        <v>7</v>
      </c>
      <c r="AY33" s="213" t="s">
        <v>7</v>
      </c>
      <c r="AZ33" s="213" t="s">
        <v>7</v>
      </c>
      <c r="BA33" s="213" t="s">
        <v>7</v>
      </c>
      <c r="BB33" s="16"/>
      <c r="BC33" s="186"/>
      <c r="BD33" s="236">
        <v>3365</v>
      </c>
      <c r="BE33" s="236">
        <v>3365</v>
      </c>
      <c r="BF33" s="236">
        <v>3365</v>
      </c>
      <c r="BG33" s="213" t="s">
        <v>7</v>
      </c>
      <c r="BH33" s="213" t="s">
        <v>7</v>
      </c>
      <c r="BI33" s="16"/>
      <c r="BJ33" s="186"/>
      <c r="BK33" s="236">
        <v>3365</v>
      </c>
      <c r="BL33" s="207">
        <v>3272</v>
      </c>
      <c r="BM33" s="207">
        <v>3272</v>
      </c>
      <c r="BN33" s="213" t="s">
        <v>7</v>
      </c>
      <c r="BO33" s="213" t="s">
        <v>7</v>
      </c>
      <c r="BP33" s="16"/>
      <c r="BQ33" s="186"/>
      <c r="BR33" s="184"/>
      <c r="BW33" s="16"/>
      <c r="BX33" s="186"/>
      <c r="BY33" s="184"/>
      <c r="CD33" s="16"/>
      <c r="CE33" s="186"/>
      <c r="CF33" s="184"/>
      <c r="CK33" s="16"/>
      <c r="CL33" s="186"/>
      <c r="CM33" s="184"/>
      <c r="CR33" s="16"/>
      <c r="CS33" s="186"/>
      <c r="CT33" s="184"/>
      <c r="CY33" s="16"/>
      <c r="CZ33" s="186"/>
      <c r="DA33" s="184"/>
      <c r="DF33" s="16"/>
      <c r="DG33" s="186"/>
      <c r="DH33" s="184"/>
      <c r="DM33" s="16"/>
      <c r="DN33" s="186"/>
      <c r="DO33" s="184"/>
      <c r="DT33" s="16"/>
      <c r="DU33" s="186"/>
      <c r="DV33" s="184"/>
      <c r="EA33" s="16"/>
      <c r="EB33" s="186"/>
      <c r="EC33" s="184"/>
      <c r="EH33" s="16"/>
      <c r="EI33" s="186"/>
      <c r="EJ33" s="184"/>
      <c r="EO33" s="16"/>
      <c r="EP33" s="186"/>
      <c r="EQ33" s="184"/>
      <c r="EV33" s="16"/>
      <c r="EW33" s="186"/>
      <c r="EX33" s="184"/>
      <c r="FC33" s="16"/>
      <c r="FD33" s="186"/>
      <c r="FE33" s="184"/>
      <c r="FJ33" s="16"/>
      <c r="FK33" s="186"/>
      <c r="FL33" s="184"/>
      <c r="FQ33" s="16"/>
      <c r="FR33" s="186"/>
      <c r="FS33" s="184"/>
      <c r="FX33" s="16"/>
      <c r="FY33" s="186"/>
      <c r="FZ33" s="184"/>
      <c r="GE33" s="16"/>
      <c r="GF33" s="186"/>
      <c r="GG33" s="184"/>
      <c r="GL33" s="16"/>
      <c r="GM33" s="186"/>
      <c r="GN33" s="184"/>
      <c r="GS33" s="16"/>
      <c r="GT33" s="186"/>
      <c r="GU33" s="184"/>
      <c r="GZ33" s="16"/>
      <c r="HA33" s="186"/>
      <c r="HB33" s="184"/>
      <c r="HG33" s="16"/>
      <c r="HH33" s="186"/>
      <c r="HI33" s="184"/>
      <c r="HN33" s="16"/>
      <c r="HO33" s="186"/>
      <c r="HP33" s="184"/>
      <c r="HU33" s="16"/>
      <c r="HV33" s="186"/>
      <c r="HW33" s="184"/>
      <c r="IB33" s="16"/>
      <c r="IC33" s="186"/>
      <c r="ID33" s="184"/>
      <c r="II33" s="16"/>
      <c r="IJ33" s="186"/>
      <c r="IK33" s="184"/>
      <c r="IP33" s="16"/>
      <c r="IQ33" s="186"/>
      <c r="IR33" s="184"/>
      <c r="IW33" s="16"/>
      <c r="IX33" s="186"/>
      <c r="IY33" s="184"/>
      <c r="JD33" s="16"/>
      <c r="JE33" s="186"/>
      <c r="JF33" s="184"/>
      <c r="JK33" s="16"/>
      <c r="JL33" s="186"/>
      <c r="JM33" s="184"/>
      <c r="JR33" s="16"/>
      <c r="JS33" s="186"/>
      <c r="JT33" s="184"/>
      <c r="JY33" s="16"/>
      <c r="JZ33" s="186"/>
      <c r="KA33" s="184"/>
      <c r="KF33" s="16"/>
      <c r="KG33" s="186"/>
      <c r="KH33" s="184"/>
      <c r="KM33" s="16"/>
      <c r="KN33" s="186"/>
      <c r="KO33" s="184"/>
      <c r="KT33" s="16"/>
      <c r="KU33" s="186"/>
      <c r="KV33" s="184"/>
      <c r="LA33" s="16"/>
      <c r="LB33" s="186"/>
      <c r="LC33" s="184"/>
      <c r="LH33" s="16"/>
      <c r="LI33" s="186"/>
      <c r="LJ33" s="184"/>
      <c r="LO33" s="16"/>
      <c r="LP33" s="186"/>
      <c r="LQ33" s="184"/>
      <c r="LV33" s="16"/>
      <c r="LW33" s="186"/>
      <c r="LX33" s="184"/>
      <c r="MC33" s="16"/>
      <c r="MD33" s="186"/>
      <c r="ME33" s="184"/>
      <c r="MJ33" s="16"/>
      <c r="MK33" s="186"/>
      <c r="ML33" s="184"/>
      <c r="MQ33" s="16"/>
      <c r="MR33" s="186"/>
      <c r="MS33" s="184"/>
      <c r="MX33" s="16"/>
      <c r="MY33" s="186"/>
      <c r="MZ33" s="184"/>
      <c r="NC33" s="194"/>
    </row>
    <row r="34" spans="1:367" x14ac:dyDescent="0.3">
      <c r="A34" s="219"/>
      <c r="B34" s="269"/>
      <c r="C34" s="200" t="s">
        <v>9</v>
      </c>
      <c r="D34" s="200" t="s">
        <v>9</v>
      </c>
      <c r="E34" s="16"/>
      <c r="F34" s="186"/>
      <c r="G34" s="213" t="s">
        <v>7</v>
      </c>
      <c r="H34" s="213" t="s">
        <v>7</v>
      </c>
      <c r="I34" s="213" t="s">
        <v>7</v>
      </c>
      <c r="J34" s="213" t="s">
        <v>7</v>
      </c>
      <c r="K34" s="213" t="s">
        <v>7</v>
      </c>
      <c r="L34" s="16"/>
      <c r="M34" s="186"/>
      <c r="N34" s="208">
        <v>3363</v>
      </c>
      <c r="O34" s="208">
        <v>3363</v>
      </c>
      <c r="P34" s="213" t="s">
        <v>7</v>
      </c>
      <c r="Q34" s="213" t="s">
        <v>7</v>
      </c>
      <c r="R34" s="213" t="s">
        <v>7</v>
      </c>
      <c r="S34" s="16"/>
      <c r="T34" s="186"/>
      <c r="U34" s="208">
        <v>3363</v>
      </c>
      <c r="V34" s="208">
        <v>3363</v>
      </c>
      <c r="W34" s="213" t="s">
        <v>7</v>
      </c>
      <c r="X34" s="213" t="s">
        <v>7</v>
      </c>
      <c r="Y34" s="213" t="s">
        <v>7</v>
      </c>
      <c r="Z34" s="16"/>
      <c r="AA34" s="186"/>
      <c r="AB34" s="206">
        <v>3336</v>
      </c>
      <c r="AC34" s="206">
        <v>3336</v>
      </c>
      <c r="AD34" s="208">
        <v>3363</v>
      </c>
      <c r="AE34" s="213" t="s">
        <v>7</v>
      </c>
      <c r="AF34" s="213" t="s">
        <v>7</v>
      </c>
      <c r="AG34" s="16"/>
      <c r="AH34" s="186"/>
      <c r="AI34" s="200" t="s">
        <v>25</v>
      </c>
      <c r="AJ34" s="213" t="s">
        <v>7</v>
      </c>
      <c r="AK34" s="213" t="s">
        <v>7</v>
      </c>
      <c r="AL34" s="213" t="s">
        <v>7</v>
      </c>
      <c r="AM34" s="213" t="s">
        <v>7</v>
      </c>
      <c r="AN34" s="16"/>
      <c r="AO34" s="186"/>
      <c r="AP34" s="208">
        <v>3363</v>
      </c>
      <c r="AQ34" s="208">
        <v>3363</v>
      </c>
      <c r="AR34" s="213" t="s">
        <v>7</v>
      </c>
      <c r="AS34" s="213" t="s">
        <v>7</v>
      </c>
      <c r="AT34" s="213" t="s">
        <v>7</v>
      </c>
      <c r="AU34" s="16"/>
      <c r="AV34" s="186"/>
      <c r="AW34" s="213" t="s">
        <v>7</v>
      </c>
      <c r="AX34" s="213" t="s">
        <v>7</v>
      </c>
      <c r="AY34" s="213" t="s">
        <v>7</v>
      </c>
      <c r="AZ34" s="213" t="s">
        <v>7</v>
      </c>
      <c r="BA34" s="213" t="s">
        <v>7</v>
      </c>
      <c r="BB34" s="16"/>
      <c r="BC34" s="186"/>
      <c r="BD34" s="236">
        <v>3365</v>
      </c>
      <c r="BE34" s="236">
        <v>3365</v>
      </c>
      <c r="BF34" s="236">
        <v>3365</v>
      </c>
      <c r="BG34" s="213" t="s">
        <v>7</v>
      </c>
      <c r="BH34" s="213" t="s">
        <v>7</v>
      </c>
      <c r="BI34" s="16"/>
      <c r="BJ34" s="186"/>
      <c r="BK34" s="236">
        <v>3365</v>
      </c>
      <c r="BL34" s="207">
        <v>3272</v>
      </c>
      <c r="BM34" s="207">
        <v>3272</v>
      </c>
      <c r="BN34" s="213" t="s">
        <v>7</v>
      </c>
      <c r="BO34" s="213" t="s">
        <v>7</v>
      </c>
      <c r="BP34" s="16"/>
      <c r="BQ34" s="186"/>
      <c r="BR34" s="184"/>
      <c r="BW34" s="16"/>
      <c r="BX34" s="186"/>
      <c r="BY34" s="184"/>
      <c r="CD34" s="16"/>
      <c r="CE34" s="186"/>
      <c r="CF34" s="184"/>
      <c r="CK34" s="16"/>
      <c r="CL34" s="186"/>
      <c r="CM34" s="184"/>
      <c r="CR34" s="16"/>
      <c r="CS34" s="186"/>
      <c r="CT34" s="184"/>
      <c r="CY34" s="16"/>
      <c r="CZ34" s="186"/>
      <c r="DA34" s="184"/>
      <c r="DF34" s="16"/>
      <c r="DG34" s="186"/>
      <c r="DH34" s="184"/>
      <c r="DM34" s="16"/>
      <c r="DN34" s="186"/>
      <c r="DO34" s="184"/>
      <c r="DT34" s="16"/>
      <c r="DU34" s="186"/>
      <c r="DV34" s="184"/>
      <c r="EA34" s="16"/>
      <c r="EB34" s="186"/>
      <c r="EC34" s="184"/>
      <c r="EH34" s="16"/>
      <c r="EI34" s="186"/>
      <c r="EJ34" s="184"/>
      <c r="EO34" s="16"/>
      <c r="EP34" s="186"/>
      <c r="EQ34" s="184"/>
      <c r="EV34" s="16"/>
      <c r="EW34" s="186"/>
      <c r="EX34" s="184"/>
      <c r="FC34" s="16"/>
      <c r="FD34" s="186"/>
      <c r="FE34" s="184"/>
      <c r="FJ34" s="16"/>
      <c r="FK34" s="186"/>
      <c r="FL34" s="184"/>
      <c r="FQ34" s="16"/>
      <c r="FR34" s="186"/>
      <c r="FS34" s="184"/>
      <c r="FX34" s="16"/>
      <c r="FY34" s="186"/>
      <c r="FZ34" s="184"/>
      <c r="GE34" s="16"/>
      <c r="GF34" s="186"/>
      <c r="GG34" s="184"/>
      <c r="GL34" s="16"/>
      <c r="GM34" s="186"/>
      <c r="GN34" s="184"/>
      <c r="GS34" s="16"/>
      <c r="GT34" s="186"/>
      <c r="GU34" s="184"/>
      <c r="GZ34" s="16"/>
      <c r="HA34" s="186"/>
      <c r="HB34" s="184"/>
      <c r="HG34" s="16"/>
      <c r="HH34" s="186"/>
      <c r="HI34" s="184"/>
      <c r="HN34" s="16"/>
      <c r="HO34" s="186"/>
      <c r="HP34" s="184"/>
      <c r="HU34" s="16"/>
      <c r="HV34" s="186"/>
      <c r="HW34" s="184"/>
      <c r="IB34" s="16"/>
      <c r="IC34" s="186"/>
      <c r="ID34" s="184"/>
      <c r="II34" s="16"/>
      <c r="IJ34" s="186"/>
      <c r="IK34" s="184"/>
      <c r="IP34" s="16"/>
      <c r="IQ34" s="186"/>
      <c r="IR34" s="184"/>
      <c r="IW34" s="16"/>
      <c r="IX34" s="186"/>
      <c r="IY34" s="184"/>
      <c r="JD34" s="16"/>
      <c r="JE34" s="186"/>
      <c r="JF34" s="184"/>
      <c r="JK34" s="16"/>
      <c r="JL34" s="186"/>
      <c r="JM34" s="184"/>
      <c r="JR34" s="16"/>
      <c r="JS34" s="186"/>
      <c r="JT34" s="184"/>
      <c r="JY34" s="16"/>
      <c r="JZ34" s="186"/>
      <c r="KA34" s="184"/>
      <c r="KF34" s="16"/>
      <c r="KG34" s="186"/>
      <c r="KH34" s="184"/>
      <c r="KM34" s="16"/>
      <c r="KN34" s="186"/>
      <c r="KO34" s="184"/>
      <c r="KT34" s="16"/>
      <c r="KU34" s="186"/>
      <c r="KV34" s="184"/>
      <c r="LA34" s="16"/>
      <c r="LB34" s="186"/>
      <c r="LC34" s="184"/>
      <c r="LH34" s="16"/>
      <c r="LI34" s="186"/>
      <c r="LJ34" s="184"/>
      <c r="LO34" s="16"/>
      <c r="LP34" s="186"/>
      <c r="LQ34" s="184"/>
      <c r="LV34" s="16"/>
      <c r="LW34" s="186"/>
      <c r="LX34" s="184"/>
      <c r="MC34" s="16"/>
      <c r="MD34" s="186"/>
      <c r="ME34" s="184"/>
      <c r="MJ34" s="16"/>
      <c r="MK34" s="186"/>
      <c r="ML34" s="184"/>
      <c r="MQ34" s="16"/>
      <c r="MR34" s="186"/>
      <c r="MS34" s="184"/>
      <c r="MX34" s="16"/>
      <c r="MY34" s="186"/>
      <c r="MZ34" s="184"/>
      <c r="NC34" s="194"/>
    </row>
    <row r="35" spans="1:367" x14ac:dyDescent="0.3">
      <c r="A35" s="219"/>
      <c r="B35" s="269"/>
      <c r="C35" s="200" t="s">
        <v>9</v>
      </c>
      <c r="D35" s="200" t="s">
        <v>9</v>
      </c>
      <c r="E35" s="16"/>
      <c r="F35" s="186"/>
      <c r="G35" s="213" t="s">
        <v>7</v>
      </c>
      <c r="H35" s="213" t="s">
        <v>7</v>
      </c>
      <c r="I35" s="213" t="s">
        <v>7</v>
      </c>
      <c r="J35" s="213" t="s">
        <v>7</v>
      </c>
      <c r="K35" s="213" t="s">
        <v>7</v>
      </c>
      <c r="L35" s="16"/>
      <c r="M35" s="186"/>
      <c r="N35" s="208">
        <v>3363</v>
      </c>
      <c r="O35" s="208">
        <v>3363</v>
      </c>
      <c r="P35" s="213" t="s">
        <v>7</v>
      </c>
      <c r="Q35" s="213" t="s">
        <v>7</v>
      </c>
      <c r="R35" s="213" t="s">
        <v>7</v>
      </c>
      <c r="S35" s="16"/>
      <c r="T35" s="186"/>
      <c r="U35" s="208">
        <v>3363</v>
      </c>
      <c r="V35" s="208">
        <v>3363</v>
      </c>
      <c r="W35" s="213" t="s">
        <v>7</v>
      </c>
      <c r="X35" s="213" t="s">
        <v>7</v>
      </c>
      <c r="Y35" s="213" t="s">
        <v>7</v>
      </c>
      <c r="Z35" s="16"/>
      <c r="AA35" s="186"/>
      <c r="AB35" s="206">
        <v>3336</v>
      </c>
      <c r="AC35" s="206">
        <v>3336</v>
      </c>
      <c r="AD35" s="208">
        <v>3363</v>
      </c>
      <c r="AE35" s="213" t="s">
        <v>7</v>
      </c>
      <c r="AF35" s="213" t="s">
        <v>7</v>
      </c>
      <c r="AG35" s="16"/>
      <c r="AH35" s="186"/>
      <c r="AI35" s="200" t="s">
        <v>25</v>
      </c>
      <c r="AJ35" s="213" t="s">
        <v>7</v>
      </c>
      <c r="AK35" s="213" t="s">
        <v>7</v>
      </c>
      <c r="AL35" s="213" t="s">
        <v>7</v>
      </c>
      <c r="AM35" s="213" t="s">
        <v>7</v>
      </c>
      <c r="AN35" s="16"/>
      <c r="AO35" s="186"/>
      <c r="AP35" s="208">
        <v>3363</v>
      </c>
      <c r="AQ35" s="213" t="s">
        <v>7</v>
      </c>
      <c r="AR35" s="213" t="s">
        <v>7</v>
      </c>
      <c r="AS35" s="213" t="s">
        <v>7</v>
      </c>
      <c r="AT35" s="213" t="s">
        <v>7</v>
      </c>
      <c r="AU35" s="16"/>
      <c r="AV35" s="186"/>
      <c r="AW35" s="213" t="s">
        <v>7</v>
      </c>
      <c r="AX35" s="213" t="s">
        <v>7</v>
      </c>
      <c r="AY35" s="213" t="s">
        <v>7</v>
      </c>
      <c r="AZ35" s="213" t="s">
        <v>7</v>
      </c>
      <c r="BA35" s="213" t="s">
        <v>7</v>
      </c>
      <c r="BB35" s="16"/>
      <c r="BC35" s="186"/>
      <c r="BD35" s="236">
        <v>3365</v>
      </c>
      <c r="BE35" s="236">
        <v>3365</v>
      </c>
      <c r="BF35" s="236">
        <v>3365</v>
      </c>
      <c r="BG35" s="213" t="s">
        <v>7</v>
      </c>
      <c r="BH35" s="213" t="s">
        <v>7</v>
      </c>
      <c r="BI35" s="16"/>
      <c r="BJ35" s="186"/>
      <c r="BK35" s="236">
        <v>3365</v>
      </c>
      <c r="BL35" s="207">
        <v>3272</v>
      </c>
      <c r="BM35" s="207">
        <v>3272</v>
      </c>
      <c r="BN35" s="213" t="s">
        <v>7</v>
      </c>
      <c r="BO35" s="213" t="s">
        <v>7</v>
      </c>
      <c r="BP35" s="16"/>
      <c r="BQ35" s="186"/>
      <c r="BR35" s="184"/>
      <c r="BW35" s="16"/>
      <c r="BX35" s="186"/>
      <c r="BY35" s="184"/>
      <c r="CD35" s="16"/>
      <c r="CE35" s="186"/>
      <c r="CF35" s="184"/>
      <c r="CK35" s="16"/>
      <c r="CL35" s="186"/>
      <c r="CM35" s="184"/>
      <c r="CR35" s="16"/>
      <c r="CS35" s="186"/>
      <c r="CT35" s="184"/>
      <c r="CY35" s="16"/>
      <c r="CZ35" s="186"/>
      <c r="DA35" s="184"/>
      <c r="DF35" s="16"/>
      <c r="DG35" s="186"/>
      <c r="DH35" s="184"/>
      <c r="DM35" s="16"/>
      <c r="DN35" s="186"/>
      <c r="DO35" s="184"/>
      <c r="DT35" s="16"/>
      <c r="DU35" s="186"/>
      <c r="DV35" s="184"/>
      <c r="EA35" s="16"/>
      <c r="EB35" s="186"/>
      <c r="EC35" s="184"/>
      <c r="EH35" s="16"/>
      <c r="EI35" s="186"/>
      <c r="EJ35" s="184"/>
      <c r="EO35" s="16"/>
      <c r="EP35" s="186"/>
      <c r="EQ35" s="184"/>
      <c r="EV35" s="16"/>
      <c r="EW35" s="186"/>
      <c r="EX35" s="184"/>
      <c r="FC35" s="16"/>
      <c r="FD35" s="186"/>
      <c r="FE35" s="184"/>
      <c r="FJ35" s="16"/>
      <c r="FK35" s="186"/>
      <c r="FL35" s="184"/>
      <c r="FQ35" s="16"/>
      <c r="FR35" s="186"/>
      <c r="FS35" s="184"/>
      <c r="FX35" s="16"/>
      <c r="FY35" s="186"/>
      <c r="FZ35" s="184"/>
      <c r="GE35" s="16"/>
      <c r="GF35" s="186"/>
      <c r="GG35" s="184"/>
      <c r="GL35" s="16"/>
      <c r="GM35" s="186"/>
      <c r="GN35" s="184"/>
      <c r="GS35" s="16"/>
      <c r="GT35" s="186"/>
      <c r="GU35" s="184"/>
      <c r="GZ35" s="16"/>
      <c r="HA35" s="186"/>
      <c r="HB35" s="184"/>
      <c r="HG35" s="16"/>
      <c r="HH35" s="186"/>
      <c r="HI35" s="184"/>
      <c r="HN35" s="16"/>
      <c r="HO35" s="186"/>
      <c r="HP35" s="184"/>
      <c r="HU35" s="16"/>
      <c r="HV35" s="186"/>
      <c r="HW35" s="184"/>
      <c r="IB35" s="16"/>
      <c r="IC35" s="186"/>
      <c r="ID35" s="184"/>
      <c r="II35" s="16"/>
      <c r="IJ35" s="186"/>
      <c r="IK35" s="184"/>
      <c r="IP35" s="16"/>
      <c r="IQ35" s="186"/>
      <c r="IR35" s="184"/>
      <c r="IW35" s="16"/>
      <c r="IX35" s="186"/>
      <c r="IY35" s="184"/>
      <c r="JD35" s="16"/>
      <c r="JE35" s="186"/>
      <c r="JF35" s="184"/>
      <c r="JK35" s="16"/>
      <c r="JL35" s="186"/>
      <c r="JM35" s="184"/>
      <c r="JR35" s="16"/>
      <c r="JS35" s="186"/>
      <c r="JT35" s="184"/>
      <c r="JY35" s="16"/>
      <c r="JZ35" s="186"/>
      <c r="KA35" s="184"/>
      <c r="KF35" s="16"/>
      <c r="KG35" s="186"/>
      <c r="KH35" s="184"/>
      <c r="KM35" s="16"/>
      <c r="KN35" s="186"/>
      <c r="KO35" s="184"/>
      <c r="KT35" s="16"/>
      <c r="KU35" s="186"/>
      <c r="KV35" s="184"/>
      <c r="LA35" s="16"/>
      <c r="LB35" s="186"/>
      <c r="LC35" s="184"/>
      <c r="LH35" s="16"/>
      <c r="LI35" s="186"/>
      <c r="LJ35" s="184"/>
      <c r="LO35" s="16"/>
      <c r="LP35" s="186"/>
      <c r="LQ35" s="184"/>
      <c r="LV35" s="16"/>
      <c r="LW35" s="186"/>
      <c r="LX35" s="184"/>
      <c r="MC35" s="16"/>
      <c r="MD35" s="186"/>
      <c r="ME35" s="184"/>
      <c r="MJ35" s="16"/>
      <c r="MK35" s="186"/>
      <c r="ML35" s="184"/>
      <c r="MQ35" s="16"/>
      <c r="MR35" s="186"/>
      <c r="MS35" s="184"/>
      <c r="MX35" s="16"/>
      <c r="MY35" s="186"/>
      <c r="MZ35" s="184"/>
      <c r="NC35" s="194"/>
    </row>
    <row r="36" spans="1:367" x14ac:dyDescent="0.3">
      <c r="A36" s="219"/>
      <c r="B36" s="269"/>
      <c r="C36" s="200" t="s">
        <v>9</v>
      </c>
      <c r="D36" s="200" t="s">
        <v>9</v>
      </c>
      <c r="E36" s="16"/>
      <c r="F36" s="186"/>
      <c r="G36" s="213" t="s">
        <v>7</v>
      </c>
      <c r="H36" s="213" t="s">
        <v>7</v>
      </c>
      <c r="I36" s="213" t="s">
        <v>7</v>
      </c>
      <c r="J36" s="213" t="s">
        <v>7</v>
      </c>
      <c r="K36" s="213" t="s">
        <v>7</v>
      </c>
      <c r="L36" s="16"/>
      <c r="M36" s="186"/>
      <c r="N36" s="208">
        <v>3363</v>
      </c>
      <c r="O36" s="208">
        <v>3363</v>
      </c>
      <c r="P36" s="213" t="s">
        <v>7</v>
      </c>
      <c r="Q36" s="213" t="s">
        <v>7</v>
      </c>
      <c r="R36" s="213" t="s">
        <v>7</v>
      </c>
      <c r="S36" s="16"/>
      <c r="T36" s="186"/>
      <c r="U36" s="208">
        <v>3363</v>
      </c>
      <c r="V36" s="213" t="s">
        <v>7</v>
      </c>
      <c r="W36" s="213" t="s">
        <v>7</v>
      </c>
      <c r="X36" s="213" t="s">
        <v>7</v>
      </c>
      <c r="Y36" s="213" t="s">
        <v>7</v>
      </c>
      <c r="Z36" s="16"/>
      <c r="AA36" s="186"/>
      <c r="AB36" s="206">
        <v>3336</v>
      </c>
      <c r="AC36" s="206">
        <v>3336</v>
      </c>
      <c r="AD36" s="208">
        <v>3363</v>
      </c>
      <c r="AE36" s="213" t="s">
        <v>7</v>
      </c>
      <c r="AF36" s="213" t="s">
        <v>7</v>
      </c>
      <c r="AG36" s="16"/>
      <c r="AH36" s="186"/>
      <c r="AI36" s="200" t="s">
        <v>25</v>
      </c>
      <c r="AJ36" s="213" t="s">
        <v>7</v>
      </c>
      <c r="AK36" s="213" t="s">
        <v>7</v>
      </c>
      <c r="AL36" s="213" t="s">
        <v>7</v>
      </c>
      <c r="AM36" s="213" t="s">
        <v>7</v>
      </c>
      <c r="AN36" s="16"/>
      <c r="AO36" s="186"/>
      <c r="AP36" s="208">
        <v>3363</v>
      </c>
      <c r="AQ36" s="213" t="s">
        <v>7</v>
      </c>
      <c r="AR36" s="213" t="s">
        <v>7</v>
      </c>
      <c r="AS36" s="213" t="s">
        <v>7</v>
      </c>
      <c r="AT36" s="213" t="s">
        <v>7</v>
      </c>
      <c r="AU36" s="16"/>
      <c r="AV36" s="186"/>
      <c r="AW36" s="213" t="s">
        <v>7</v>
      </c>
      <c r="AX36" s="213" t="s">
        <v>7</v>
      </c>
      <c r="AY36" s="213" t="s">
        <v>7</v>
      </c>
      <c r="AZ36" s="213" t="s">
        <v>7</v>
      </c>
      <c r="BA36" s="213" t="s">
        <v>7</v>
      </c>
      <c r="BB36" s="16"/>
      <c r="BC36" s="186"/>
      <c r="BD36" s="236">
        <v>3365</v>
      </c>
      <c r="BE36" s="236">
        <v>3365</v>
      </c>
      <c r="BF36" s="236">
        <v>3365</v>
      </c>
      <c r="BG36" s="213" t="s">
        <v>7</v>
      </c>
      <c r="BH36" s="213" t="s">
        <v>7</v>
      </c>
      <c r="BI36" s="16"/>
      <c r="BJ36" s="186"/>
      <c r="BK36" s="236">
        <v>3365</v>
      </c>
      <c r="BL36" s="207">
        <v>3272</v>
      </c>
      <c r="BM36" s="207">
        <v>3272</v>
      </c>
      <c r="BN36" s="213" t="s">
        <v>7</v>
      </c>
      <c r="BO36" s="213" t="s">
        <v>7</v>
      </c>
      <c r="BP36" s="16"/>
      <c r="BQ36" s="186"/>
      <c r="BR36" s="184"/>
      <c r="BW36" s="16"/>
      <c r="BX36" s="186"/>
      <c r="BY36" s="184"/>
      <c r="CD36" s="16"/>
      <c r="CE36" s="186"/>
      <c r="CF36" s="184"/>
      <c r="CK36" s="16"/>
      <c r="CL36" s="186"/>
      <c r="CM36" s="184"/>
      <c r="CR36" s="16"/>
      <c r="CS36" s="186"/>
      <c r="CT36" s="184"/>
      <c r="CY36" s="16"/>
      <c r="CZ36" s="186"/>
      <c r="DA36" s="184"/>
      <c r="DF36" s="16"/>
      <c r="DG36" s="186"/>
      <c r="DH36" s="184"/>
      <c r="DM36" s="16"/>
      <c r="DN36" s="186"/>
      <c r="DO36" s="184"/>
      <c r="DT36" s="16"/>
      <c r="DU36" s="186"/>
      <c r="DV36" s="184"/>
      <c r="EA36" s="16"/>
      <c r="EB36" s="186"/>
      <c r="EC36" s="184"/>
      <c r="EH36" s="16"/>
      <c r="EI36" s="186"/>
      <c r="EJ36" s="184"/>
      <c r="EO36" s="16"/>
      <c r="EP36" s="186"/>
      <c r="EQ36" s="184"/>
      <c r="EV36" s="16"/>
      <c r="EW36" s="186"/>
      <c r="EX36" s="184"/>
      <c r="FC36" s="16"/>
      <c r="FD36" s="186"/>
      <c r="FE36" s="184"/>
      <c r="FJ36" s="16"/>
      <c r="FK36" s="186"/>
      <c r="FL36" s="184"/>
      <c r="FQ36" s="16"/>
      <c r="FR36" s="186"/>
      <c r="FS36" s="184"/>
      <c r="FX36" s="16"/>
      <c r="FY36" s="186"/>
      <c r="FZ36" s="184"/>
      <c r="GE36" s="16"/>
      <c r="GF36" s="186"/>
      <c r="GG36" s="184"/>
      <c r="GL36" s="16"/>
      <c r="GM36" s="186"/>
      <c r="GN36" s="184"/>
      <c r="GS36" s="16"/>
      <c r="GT36" s="186"/>
      <c r="GU36" s="184"/>
      <c r="GZ36" s="16"/>
      <c r="HA36" s="186"/>
      <c r="HB36" s="184"/>
      <c r="HG36" s="16"/>
      <c r="HH36" s="186"/>
      <c r="HI36" s="184"/>
      <c r="HN36" s="16"/>
      <c r="HO36" s="186"/>
      <c r="HP36" s="184"/>
      <c r="HU36" s="16"/>
      <c r="HV36" s="186"/>
      <c r="HW36" s="184"/>
      <c r="IB36" s="16"/>
      <c r="IC36" s="186"/>
      <c r="ID36" s="184"/>
      <c r="II36" s="16"/>
      <c r="IJ36" s="186"/>
      <c r="IK36" s="184"/>
      <c r="IP36" s="16"/>
      <c r="IQ36" s="186"/>
      <c r="IR36" s="184"/>
      <c r="IW36" s="16"/>
      <c r="IX36" s="186"/>
      <c r="IY36" s="184"/>
      <c r="JD36" s="16"/>
      <c r="JE36" s="186"/>
      <c r="JF36" s="184"/>
      <c r="JK36" s="16"/>
      <c r="JL36" s="186"/>
      <c r="JM36" s="184"/>
      <c r="JR36" s="16"/>
      <c r="JS36" s="186"/>
      <c r="JT36" s="184"/>
      <c r="JY36" s="16"/>
      <c r="JZ36" s="186"/>
      <c r="KA36" s="184"/>
      <c r="KF36" s="16"/>
      <c r="KG36" s="186"/>
      <c r="KH36" s="184"/>
      <c r="KM36" s="16"/>
      <c r="KN36" s="186"/>
      <c r="KO36" s="184"/>
      <c r="KT36" s="16"/>
      <c r="KU36" s="186"/>
      <c r="KV36" s="184"/>
      <c r="LA36" s="16"/>
      <c r="LB36" s="186"/>
      <c r="LC36" s="184"/>
      <c r="LH36" s="16"/>
      <c r="LI36" s="186"/>
      <c r="LJ36" s="184"/>
      <c r="LO36" s="16"/>
      <c r="LP36" s="186"/>
      <c r="LQ36" s="184"/>
      <c r="LV36" s="16"/>
      <c r="LW36" s="186"/>
      <c r="LX36" s="184"/>
      <c r="MC36" s="16"/>
      <c r="MD36" s="186"/>
      <c r="ME36" s="184"/>
      <c r="MJ36" s="16"/>
      <c r="MK36" s="186"/>
      <c r="ML36" s="184"/>
      <c r="MQ36" s="16"/>
      <c r="MR36" s="186"/>
      <c r="MS36" s="184"/>
      <c r="MX36" s="16"/>
      <c r="MY36" s="186"/>
      <c r="MZ36" s="184"/>
      <c r="NC36" s="194"/>
    </row>
    <row r="37" spans="1:367" x14ac:dyDescent="0.3">
      <c r="A37" s="219"/>
      <c r="B37" s="269"/>
      <c r="C37" s="187"/>
      <c r="D37" s="16"/>
      <c r="E37" s="178"/>
      <c r="F37" s="186"/>
      <c r="G37" s="187"/>
      <c r="H37" s="16"/>
      <c r="I37" s="16"/>
      <c r="J37" s="16"/>
      <c r="K37" s="16"/>
      <c r="L37" s="178"/>
      <c r="M37" s="186"/>
      <c r="N37" s="187"/>
      <c r="O37" s="16"/>
      <c r="P37" s="16"/>
      <c r="Q37" s="16"/>
      <c r="R37" s="16"/>
      <c r="S37" s="178"/>
      <c r="T37" s="186"/>
      <c r="U37" s="187"/>
      <c r="V37" s="16"/>
      <c r="W37" s="16"/>
      <c r="X37" s="16"/>
      <c r="Y37" s="16"/>
      <c r="Z37" s="178"/>
      <c r="AA37" s="186"/>
      <c r="AB37" s="187"/>
      <c r="AC37" s="16"/>
      <c r="AD37" s="16"/>
      <c r="AE37" s="16"/>
      <c r="AF37" s="16"/>
      <c r="AG37" s="178"/>
      <c r="AH37" s="186"/>
      <c r="AI37" s="187"/>
      <c r="AJ37" s="16"/>
      <c r="AK37" s="16"/>
      <c r="AL37" s="16"/>
      <c r="AM37" s="16"/>
      <c r="AN37" s="178"/>
      <c r="AO37" s="186"/>
      <c r="AP37" s="187"/>
      <c r="AQ37" s="16"/>
      <c r="AR37" s="16"/>
      <c r="AS37" s="16"/>
      <c r="AT37" s="16"/>
      <c r="AU37" s="178"/>
      <c r="AV37" s="186"/>
      <c r="AW37" s="187"/>
      <c r="AX37" s="16"/>
      <c r="AY37" s="16"/>
      <c r="AZ37" s="16"/>
      <c r="BA37" s="16"/>
      <c r="BB37" s="178"/>
      <c r="BC37" s="186"/>
      <c r="BD37" s="187"/>
      <c r="BE37" s="16"/>
      <c r="BF37" s="16"/>
      <c r="BG37" s="16"/>
      <c r="BH37" s="16"/>
      <c r="BI37" s="178"/>
      <c r="BJ37" s="186"/>
      <c r="BK37" s="187"/>
      <c r="BL37" s="16"/>
      <c r="BM37" s="16"/>
      <c r="BN37" s="16"/>
      <c r="BO37" s="16"/>
      <c r="BP37" s="178"/>
      <c r="BQ37" s="186"/>
      <c r="BR37" s="187"/>
      <c r="BS37" s="16"/>
      <c r="BT37" s="16"/>
      <c r="BU37" s="16"/>
      <c r="BV37" s="16"/>
      <c r="BW37" s="178"/>
      <c r="BX37" s="186"/>
      <c r="BY37" s="187"/>
      <c r="BZ37" s="16"/>
      <c r="CA37" s="16"/>
      <c r="CB37" s="16"/>
      <c r="CC37" s="16"/>
      <c r="CD37" s="178"/>
      <c r="CE37" s="186"/>
      <c r="CF37" s="187"/>
      <c r="CG37" s="16"/>
      <c r="CH37" s="16"/>
      <c r="CI37" s="16"/>
      <c r="CJ37" s="16"/>
      <c r="CK37" s="178"/>
      <c r="CL37" s="186"/>
      <c r="CM37" s="187"/>
      <c r="CN37" s="16"/>
      <c r="CO37" s="16"/>
      <c r="CP37" s="16"/>
      <c r="CQ37" s="16"/>
      <c r="CR37" s="178"/>
      <c r="CS37" s="186"/>
      <c r="CT37" s="187"/>
      <c r="CU37" s="16"/>
      <c r="CV37" s="16"/>
      <c r="CW37" s="16"/>
      <c r="CX37" s="16"/>
      <c r="CY37" s="178"/>
      <c r="CZ37" s="186"/>
      <c r="DA37" s="187"/>
      <c r="DB37" s="16"/>
      <c r="DC37" s="16"/>
      <c r="DD37" s="16"/>
      <c r="DE37" s="16"/>
      <c r="DF37" s="178"/>
      <c r="DG37" s="186"/>
      <c r="DH37" s="187"/>
      <c r="DI37" s="16"/>
      <c r="DJ37" s="16"/>
      <c r="DK37" s="16"/>
      <c r="DL37" s="16"/>
      <c r="DM37" s="178"/>
      <c r="DN37" s="186"/>
      <c r="DO37" s="187"/>
      <c r="DP37" s="16"/>
      <c r="DQ37" s="16"/>
      <c r="DR37" s="16"/>
      <c r="DS37" s="16"/>
      <c r="DT37" s="178"/>
      <c r="DU37" s="186"/>
      <c r="DV37" s="187"/>
      <c r="DW37" s="16"/>
      <c r="DX37" s="16"/>
      <c r="DY37" s="16"/>
      <c r="DZ37" s="16"/>
      <c r="EA37" s="178"/>
      <c r="EB37" s="186"/>
      <c r="EC37" s="187"/>
      <c r="ED37" s="16"/>
      <c r="EE37" s="16"/>
      <c r="EF37" s="16"/>
      <c r="EG37" s="16"/>
      <c r="EH37" s="178"/>
      <c r="EI37" s="186"/>
      <c r="EJ37" s="187"/>
      <c r="EK37" s="16"/>
      <c r="EL37" s="16"/>
      <c r="EM37" s="16"/>
      <c r="EN37" s="16"/>
      <c r="EO37" s="178"/>
      <c r="EP37" s="186"/>
      <c r="EQ37" s="187"/>
      <c r="ER37" s="16"/>
      <c r="ES37" s="16"/>
      <c r="ET37" s="16"/>
      <c r="EU37" s="16"/>
      <c r="EV37" s="178"/>
      <c r="EW37" s="186"/>
      <c r="EX37" s="187"/>
      <c r="EY37" s="16"/>
      <c r="EZ37" s="16"/>
      <c r="FA37" s="16"/>
      <c r="FB37" s="16"/>
      <c r="FC37" s="178"/>
      <c r="FD37" s="186"/>
      <c r="FE37" s="187"/>
      <c r="FF37" s="16"/>
      <c r="FG37" s="16"/>
      <c r="FH37" s="16"/>
      <c r="FI37" s="16"/>
      <c r="FJ37" s="178"/>
      <c r="FK37" s="186"/>
      <c r="FL37" s="187"/>
      <c r="FM37" s="16"/>
      <c r="FN37" s="16"/>
      <c r="FO37" s="16"/>
      <c r="FP37" s="16"/>
      <c r="FQ37" s="178"/>
      <c r="FR37" s="186"/>
      <c r="FS37" s="187"/>
      <c r="FT37" s="16"/>
      <c r="FU37" s="16"/>
      <c r="FV37" s="16"/>
      <c r="FW37" s="16"/>
      <c r="FX37" s="178"/>
      <c r="FY37" s="186"/>
      <c r="FZ37" s="187"/>
      <c r="GA37" s="16"/>
      <c r="GB37" s="16"/>
      <c r="GC37" s="16"/>
      <c r="GD37" s="16"/>
      <c r="GE37" s="178"/>
      <c r="GF37" s="186"/>
      <c r="GG37" s="187"/>
      <c r="GH37" s="16"/>
      <c r="GI37" s="16"/>
      <c r="GJ37" s="16"/>
      <c r="GK37" s="16"/>
      <c r="GL37" s="178"/>
      <c r="GM37" s="186"/>
      <c r="GN37" s="187"/>
      <c r="GO37" s="16"/>
      <c r="GP37" s="16"/>
      <c r="GQ37" s="16"/>
      <c r="GR37" s="16"/>
      <c r="GS37" s="178"/>
      <c r="GT37" s="186"/>
      <c r="GU37" s="187"/>
      <c r="GV37" s="16"/>
      <c r="GW37" s="16"/>
      <c r="GX37" s="16"/>
      <c r="GY37" s="16"/>
      <c r="GZ37" s="178"/>
      <c r="HA37" s="186"/>
      <c r="HB37" s="187"/>
      <c r="HC37" s="16"/>
      <c r="HD37" s="16"/>
      <c r="HE37" s="16"/>
      <c r="HF37" s="16"/>
      <c r="HG37" s="178"/>
      <c r="HH37" s="186"/>
      <c r="HI37" s="187"/>
      <c r="HJ37" s="16"/>
      <c r="HK37" s="16"/>
      <c r="HL37" s="16"/>
      <c r="HM37" s="16"/>
      <c r="HN37" s="178"/>
      <c r="HO37" s="186"/>
      <c r="HP37" s="187"/>
      <c r="HQ37" s="16"/>
      <c r="HR37" s="16"/>
      <c r="HS37" s="16"/>
      <c r="HT37" s="16"/>
      <c r="HU37" s="178"/>
      <c r="HV37" s="186"/>
      <c r="HW37" s="187"/>
      <c r="HX37" s="16"/>
      <c r="HY37" s="16"/>
      <c r="HZ37" s="16"/>
      <c r="IA37" s="16"/>
      <c r="IB37" s="178"/>
      <c r="IC37" s="186"/>
      <c r="ID37" s="187"/>
      <c r="IE37" s="16"/>
      <c r="IF37" s="16"/>
      <c r="IG37" s="16"/>
      <c r="IH37" s="16"/>
      <c r="II37" s="178"/>
      <c r="IJ37" s="186"/>
      <c r="IK37" s="187"/>
      <c r="IL37" s="16"/>
      <c r="IM37" s="16"/>
      <c r="IN37" s="16"/>
      <c r="IO37" s="16"/>
      <c r="IP37" s="178"/>
      <c r="IQ37" s="186"/>
      <c r="IR37" s="187"/>
      <c r="IS37" s="16"/>
      <c r="IT37" s="16"/>
      <c r="IU37" s="16"/>
      <c r="IV37" s="16"/>
      <c r="IW37" s="178"/>
      <c r="IX37" s="186"/>
      <c r="IY37" s="187"/>
      <c r="IZ37" s="16"/>
      <c r="JA37" s="16"/>
      <c r="JB37" s="16"/>
      <c r="JC37" s="16"/>
      <c r="JD37" s="178"/>
      <c r="JE37" s="186"/>
      <c r="JF37" s="187"/>
      <c r="JG37" s="16"/>
      <c r="JH37" s="16"/>
      <c r="JI37" s="16"/>
      <c r="JJ37" s="16"/>
      <c r="JK37" s="178"/>
      <c r="JL37" s="186"/>
      <c r="JM37" s="187"/>
      <c r="JN37" s="16"/>
      <c r="JO37" s="16"/>
      <c r="JP37" s="16"/>
      <c r="JQ37" s="16"/>
      <c r="JR37" s="178"/>
      <c r="JS37" s="186"/>
      <c r="JT37" s="187"/>
      <c r="JU37" s="16"/>
      <c r="JV37" s="16"/>
      <c r="JW37" s="16"/>
      <c r="JX37" s="16"/>
      <c r="JY37" s="178"/>
      <c r="JZ37" s="186"/>
      <c r="KA37" s="187"/>
      <c r="KB37" s="16"/>
      <c r="KC37" s="16"/>
      <c r="KD37" s="16"/>
      <c r="KE37" s="16"/>
      <c r="KF37" s="178"/>
      <c r="KG37" s="186"/>
      <c r="KH37" s="187"/>
      <c r="KI37" s="16"/>
      <c r="KJ37" s="16"/>
      <c r="KK37" s="16"/>
      <c r="KL37" s="16"/>
      <c r="KM37" s="178"/>
      <c r="KN37" s="186"/>
      <c r="KO37" s="187"/>
      <c r="KP37" s="16"/>
      <c r="KQ37" s="16"/>
      <c r="KR37" s="16"/>
      <c r="KS37" s="16"/>
      <c r="KT37" s="178"/>
      <c r="KU37" s="186"/>
      <c r="KV37" s="187"/>
      <c r="KW37" s="16"/>
      <c r="KX37" s="16"/>
      <c r="KY37" s="16"/>
      <c r="KZ37" s="16"/>
      <c r="LA37" s="178"/>
      <c r="LB37" s="186"/>
      <c r="LC37" s="187"/>
      <c r="LD37" s="16"/>
      <c r="LE37" s="16"/>
      <c r="LF37" s="16"/>
      <c r="LG37" s="16"/>
      <c r="LH37" s="178"/>
      <c r="LI37" s="186"/>
      <c r="LJ37" s="187"/>
      <c r="LK37" s="16"/>
      <c r="LL37" s="16"/>
      <c r="LM37" s="16"/>
      <c r="LN37" s="16"/>
      <c r="LO37" s="178"/>
      <c r="LP37" s="186"/>
      <c r="LQ37" s="187"/>
      <c r="LR37" s="16"/>
      <c r="LS37" s="16"/>
      <c r="LT37" s="16"/>
      <c r="LU37" s="16"/>
      <c r="LV37" s="178"/>
      <c r="LW37" s="186"/>
      <c r="LX37" s="187"/>
      <c r="LY37" s="16"/>
      <c r="LZ37" s="16"/>
      <c r="MA37" s="16"/>
      <c r="MB37" s="16"/>
      <c r="MC37" s="178"/>
      <c r="MD37" s="186"/>
      <c r="ME37" s="187"/>
      <c r="MF37" s="16"/>
      <c r="MG37" s="16"/>
      <c r="MH37" s="16"/>
      <c r="MI37" s="16"/>
      <c r="MJ37" s="178"/>
      <c r="MK37" s="186"/>
      <c r="ML37" s="187"/>
      <c r="MM37" s="16"/>
      <c r="MN37" s="16"/>
      <c r="MO37" s="16"/>
      <c r="MP37" s="16"/>
      <c r="MQ37" s="178"/>
      <c r="MR37" s="186"/>
      <c r="MS37" s="187"/>
      <c r="MT37" s="16"/>
      <c r="MU37" s="16"/>
      <c r="MV37" s="16"/>
      <c r="MW37" s="16"/>
      <c r="MX37" s="178"/>
      <c r="MY37" s="186"/>
      <c r="MZ37" s="184"/>
      <c r="NC37" s="194"/>
    </row>
    <row r="38" spans="1:367" x14ac:dyDescent="0.3">
      <c r="A38" s="219"/>
      <c r="B38" s="269"/>
      <c r="C38" s="187"/>
      <c r="D38" s="16"/>
      <c r="E38" s="178"/>
      <c r="F38" s="186"/>
      <c r="G38" s="187"/>
      <c r="H38" s="16"/>
      <c r="I38" s="16"/>
      <c r="J38" s="16"/>
      <c r="K38" s="16"/>
      <c r="L38" s="178"/>
      <c r="M38" s="186"/>
      <c r="N38" s="187"/>
      <c r="O38" s="16"/>
      <c r="P38" s="16"/>
      <c r="Q38" s="16"/>
      <c r="R38" s="16"/>
      <c r="S38" s="178"/>
      <c r="T38" s="186"/>
      <c r="U38" s="187"/>
      <c r="V38" s="16"/>
      <c r="W38" s="16"/>
      <c r="X38" s="16"/>
      <c r="Y38" s="16"/>
      <c r="Z38" s="178"/>
      <c r="AA38" s="186"/>
      <c r="AB38" s="187"/>
      <c r="AC38" s="16"/>
      <c r="AD38" s="16"/>
      <c r="AE38" s="16"/>
      <c r="AF38" s="16"/>
      <c r="AG38" s="178"/>
      <c r="AH38" s="186"/>
      <c r="AI38" s="187"/>
      <c r="AJ38" s="16"/>
      <c r="AK38" s="16"/>
      <c r="AL38" s="16"/>
      <c r="AM38" s="16"/>
      <c r="AN38" s="178"/>
      <c r="AO38" s="186"/>
      <c r="AP38" s="187"/>
      <c r="AQ38" s="16"/>
      <c r="AR38" s="16"/>
      <c r="AS38" s="16"/>
      <c r="AT38" s="16"/>
      <c r="AU38" s="178"/>
      <c r="AV38" s="186"/>
      <c r="AW38" s="187"/>
      <c r="AX38" s="16"/>
      <c r="AY38" s="16"/>
      <c r="AZ38" s="16"/>
      <c r="BA38" s="16"/>
      <c r="BB38" s="178"/>
      <c r="BC38" s="186"/>
      <c r="BD38" s="187"/>
      <c r="BE38" s="16"/>
      <c r="BF38" s="16"/>
      <c r="BG38" s="16"/>
      <c r="BH38" s="16"/>
      <c r="BI38" s="178"/>
      <c r="BJ38" s="186"/>
      <c r="BK38" s="187"/>
      <c r="BL38" s="16"/>
      <c r="BM38" s="16"/>
      <c r="BN38" s="16"/>
      <c r="BO38" s="16"/>
      <c r="BP38" s="178"/>
      <c r="BQ38" s="186"/>
      <c r="BR38" s="187"/>
      <c r="BS38" s="16"/>
      <c r="BT38" s="16"/>
      <c r="BU38" s="16"/>
      <c r="BV38" s="16"/>
      <c r="BW38" s="178"/>
      <c r="BX38" s="186"/>
      <c r="BY38" s="187"/>
      <c r="BZ38" s="16"/>
      <c r="CA38" s="16"/>
      <c r="CB38" s="16"/>
      <c r="CC38" s="16"/>
      <c r="CD38" s="178"/>
      <c r="CE38" s="186"/>
      <c r="CF38" s="187"/>
      <c r="CG38" s="16"/>
      <c r="CH38" s="16"/>
      <c r="CI38" s="16"/>
      <c r="CJ38" s="16"/>
      <c r="CK38" s="178"/>
      <c r="CL38" s="186"/>
      <c r="CM38" s="187"/>
      <c r="CN38" s="16"/>
      <c r="CO38" s="16"/>
      <c r="CP38" s="16"/>
      <c r="CQ38" s="16"/>
      <c r="CR38" s="178"/>
      <c r="CS38" s="186"/>
      <c r="CT38" s="187"/>
      <c r="CU38" s="16"/>
      <c r="CV38" s="16"/>
      <c r="CW38" s="16"/>
      <c r="CX38" s="16"/>
      <c r="CY38" s="178"/>
      <c r="CZ38" s="186"/>
      <c r="DA38" s="187"/>
      <c r="DB38" s="16"/>
      <c r="DC38" s="16"/>
      <c r="DD38" s="16"/>
      <c r="DE38" s="16"/>
      <c r="DF38" s="178"/>
      <c r="DG38" s="186"/>
      <c r="DH38" s="187"/>
      <c r="DI38" s="16"/>
      <c r="DJ38" s="16"/>
      <c r="DK38" s="16"/>
      <c r="DL38" s="16"/>
      <c r="DM38" s="178"/>
      <c r="DN38" s="186"/>
      <c r="DO38" s="187"/>
      <c r="DP38" s="16"/>
      <c r="DQ38" s="16"/>
      <c r="DR38" s="16"/>
      <c r="DS38" s="16"/>
      <c r="DT38" s="178"/>
      <c r="DU38" s="186"/>
      <c r="DV38" s="187"/>
      <c r="DW38" s="16"/>
      <c r="DX38" s="16"/>
      <c r="DY38" s="16"/>
      <c r="DZ38" s="16"/>
      <c r="EA38" s="178"/>
      <c r="EB38" s="186"/>
      <c r="EC38" s="187"/>
      <c r="ED38" s="16"/>
      <c r="EE38" s="16"/>
      <c r="EF38" s="16"/>
      <c r="EG38" s="16"/>
      <c r="EH38" s="178"/>
      <c r="EI38" s="186"/>
      <c r="EJ38" s="187"/>
      <c r="EK38" s="16"/>
      <c r="EL38" s="16"/>
      <c r="EM38" s="16"/>
      <c r="EN38" s="16"/>
      <c r="EO38" s="178"/>
      <c r="EP38" s="186"/>
      <c r="EQ38" s="187"/>
      <c r="ER38" s="16"/>
      <c r="ES38" s="16"/>
      <c r="ET38" s="16"/>
      <c r="EU38" s="16"/>
      <c r="EV38" s="178"/>
      <c r="EW38" s="186"/>
      <c r="EX38" s="187"/>
      <c r="EY38" s="16"/>
      <c r="EZ38" s="16"/>
      <c r="FA38" s="16"/>
      <c r="FB38" s="16"/>
      <c r="FC38" s="178"/>
      <c r="FD38" s="186"/>
      <c r="FE38" s="187"/>
      <c r="FF38" s="16"/>
      <c r="FG38" s="16"/>
      <c r="FH38" s="16"/>
      <c r="FI38" s="16"/>
      <c r="FJ38" s="178"/>
      <c r="FK38" s="186"/>
      <c r="FL38" s="187"/>
      <c r="FM38" s="16"/>
      <c r="FN38" s="16"/>
      <c r="FO38" s="16"/>
      <c r="FP38" s="16"/>
      <c r="FQ38" s="178"/>
      <c r="FR38" s="186"/>
      <c r="FS38" s="187"/>
      <c r="FT38" s="16"/>
      <c r="FU38" s="16"/>
      <c r="FV38" s="16"/>
      <c r="FW38" s="16"/>
      <c r="FX38" s="178"/>
      <c r="FY38" s="186"/>
      <c r="FZ38" s="187"/>
      <c r="GA38" s="16"/>
      <c r="GB38" s="16"/>
      <c r="GC38" s="16"/>
      <c r="GD38" s="16"/>
      <c r="GE38" s="178"/>
      <c r="GF38" s="186"/>
      <c r="GG38" s="187"/>
      <c r="GH38" s="16"/>
      <c r="GI38" s="16"/>
      <c r="GJ38" s="16"/>
      <c r="GK38" s="16"/>
      <c r="GL38" s="178"/>
      <c r="GM38" s="186"/>
      <c r="GN38" s="187"/>
      <c r="GO38" s="16"/>
      <c r="GP38" s="16"/>
      <c r="GQ38" s="16"/>
      <c r="GR38" s="16"/>
      <c r="GS38" s="178"/>
      <c r="GT38" s="186"/>
      <c r="GU38" s="187"/>
      <c r="GV38" s="16"/>
      <c r="GW38" s="16"/>
      <c r="GX38" s="16"/>
      <c r="GY38" s="16"/>
      <c r="GZ38" s="178"/>
      <c r="HA38" s="186"/>
      <c r="HB38" s="187"/>
      <c r="HC38" s="16"/>
      <c r="HD38" s="16"/>
      <c r="HE38" s="16"/>
      <c r="HF38" s="16"/>
      <c r="HG38" s="178"/>
      <c r="HH38" s="186"/>
      <c r="HI38" s="187"/>
      <c r="HJ38" s="16"/>
      <c r="HK38" s="16"/>
      <c r="HL38" s="16"/>
      <c r="HM38" s="16"/>
      <c r="HN38" s="178"/>
      <c r="HO38" s="186"/>
      <c r="HP38" s="187"/>
      <c r="HQ38" s="16"/>
      <c r="HR38" s="16"/>
      <c r="HS38" s="16"/>
      <c r="HT38" s="16"/>
      <c r="HU38" s="178"/>
      <c r="HV38" s="186"/>
      <c r="HW38" s="187"/>
      <c r="HX38" s="16"/>
      <c r="HY38" s="16"/>
      <c r="HZ38" s="16"/>
      <c r="IA38" s="16"/>
      <c r="IB38" s="178"/>
      <c r="IC38" s="186"/>
      <c r="ID38" s="187"/>
      <c r="IE38" s="16"/>
      <c r="IF38" s="16"/>
      <c r="IG38" s="16"/>
      <c r="IH38" s="16"/>
      <c r="II38" s="178"/>
      <c r="IJ38" s="186"/>
      <c r="IK38" s="187"/>
      <c r="IL38" s="16"/>
      <c r="IM38" s="16"/>
      <c r="IN38" s="16"/>
      <c r="IO38" s="16"/>
      <c r="IP38" s="178"/>
      <c r="IQ38" s="186"/>
      <c r="IR38" s="187"/>
      <c r="IS38" s="16"/>
      <c r="IT38" s="16"/>
      <c r="IU38" s="16"/>
      <c r="IV38" s="16"/>
      <c r="IW38" s="178"/>
      <c r="IX38" s="186"/>
      <c r="IY38" s="187"/>
      <c r="IZ38" s="16"/>
      <c r="JA38" s="16"/>
      <c r="JB38" s="16"/>
      <c r="JC38" s="16"/>
      <c r="JD38" s="178"/>
      <c r="JE38" s="186"/>
      <c r="JF38" s="187"/>
      <c r="JG38" s="16"/>
      <c r="JH38" s="16"/>
      <c r="JI38" s="16"/>
      <c r="JJ38" s="16"/>
      <c r="JK38" s="178"/>
      <c r="JL38" s="186"/>
      <c r="JM38" s="187"/>
      <c r="JN38" s="16"/>
      <c r="JO38" s="16"/>
      <c r="JP38" s="16"/>
      <c r="JQ38" s="16"/>
      <c r="JR38" s="178"/>
      <c r="JS38" s="186"/>
      <c r="JT38" s="187"/>
      <c r="JU38" s="16"/>
      <c r="JV38" s="16"/>
      <c r="JW38" s="16"/>
      <c r="JX38" s="16"/>
      <c r="JY38" s="178"/>
      <c r="JZ38" s="186"/>
      <c r="KA38" s="187"/>
      <c r="KB38" s="16"/>
      <c r="KC38" s="16"/>
      <c r="KD38" s="16"/>
      <c r="KE38" s="16"/>
      <c r="KF38" s="178"/>
      <c r="KG38" s="186"/>
      <c r="KH38" s="187"/>
      <c r="KI38" s="16"/>
      <c r="KJ38" s="16"/>
      <c r="KK38" s="16"/>
      <c r="KL38" s="16"/>
      <c r="KM38" s="178"/>
      <c r="KN38" s="186"/>
      <c r="KO38" s="187"/>
      <c r="KP38" s="16"/>
      <c r="KQ38" s="16"/>
      <c r="KR38" s="16"/>
      <c r="KS38" s="16"/>
      <c r="KT38" s="178"/>
      <c r="KU38" s="186"/>
      <c r="KV38" s="187"/>
      <c r="KW38" s="16"/>
      <c r="KX38" s="16"/>
      <c r="KY38" s="16"/>
      <c r="KZ38" s="16"/>
      <c r="LA38" s="178"/>
      <c r="LB38" s="186"/>
      <c r="LC38" s="187"/>
      <c r="LD38" s="16"/>
      <c r="LE38" s="16"/>
      <c r="LF38" s="16"/>
      <c r="LG38" s="16"/>
      <c r="LH38" s="178"/>
      <c r="LI38" s="186"/>
      <c r="LJ38" s="187"/>
      <c r="LK38" s="16"/>
      <c r="LL38" s="16"/>
      <c r="LM38" s="16"/>
      <c r="LN38" s="16"/>
      <c r="LO38" s="178"/>
      <c r="LP38" s="186"/>
      <c r="LQ38" s="187"/>
      <c r="LR38" s="16"/>
      <c r="LS38" s="16"/>
      <c r="LT38" s="16"/>
      <c r="LU38" s="16"/>
      <c r="LV38" s="178"/>
      <c r="LW38" s="186"/>
      <c r="LX38" s="187"/>
      <c r="LY38" s="16"/>
      <c r="LZ38" s="16"/>
      <c r="MA38" s="16"/>
      <c r="MB38" s="16"/>
      <c r="MC38" s="178"/>
      <c r="MD38" s="186"/>
      <c r="ME38" s="187"/>
      <c r="MF38" s="16"/>
      <c r="MG38" s="16"/>
      <c r="MH38" s="16"/>
      <c r="MI38" s="16"/>
      <c r="MJ38" s="178"/>
      <c r="MK38" s="186"/>
      <c r="ML38" s="187"/>
      <c r="MM38" s="16"/>
      <c r="MN38" s="16"/>
      <c r="MO38" s="16"/>
      <c r="MP38" s="16"/>
      <c r="MQ38" s="178"/>
      <c r="MR38" s="186"/>
      <c r="MS38" s="187"/>
      <c r="MT38" s="16"/>
      <c r="MU38" s="16"/>
      <c r="MV38" s="16"/>
      <c r="MW38" s="16"/>
      <c r="MX38" s="178"/>
      <c r="MY38" s="186"/>
      <c r="MZ38" s="184"/>
      <c r="NC38" s="194"/>
    </row>
    <row r="39" spans="1:367" x14ac:dyDescent="0.3">
      <c r="A39" s="219"/>
      <c r="B39" s="269"/>
      <c r="C39" s="188"/>
      <c r="D39" s="179"/>
      <c r="E39" s="180"/>
      <c r="F39" s="189"/>
      <c r="G39" s="188"/>
      <c r="H39" s="179"/>
      <c r="I39" s="179"/>
      <c r="J39" s="179"/>
      <c r="K39" s="179"/>
      <c r="L39" s="180"/>
      <c r="M39" s="189"/>
      <c r="N39" s="188"/>
      <c r="O39" s="179"/>
      <c r="P39" s="179"/>
      <c r="Q39" s="179"/>
      <c r="R39" s="179"/>
      <c r="S39" s="180"/>
      <c r="T39" s="189"/>
      <c r="U39" s="188"/>
      <c r="V39" s="179"/>
      <c r="W39" s="179"/>
      <c r="X39" s="179"/>
      <c r="Y39" s="179"/>
      <c r="Z39" s="180"/>
      <c r="AA39" s="189"/>
      <c r="AB39" s="188"/>
      <c r="AC39" s="179"/>
      <c r="AD39" s="179"/>
      <c r="AE39" s="179"/>
      <c r="AF39" s="179"/>
      <c r="AG39" s="180"/>
      <c r="AH39" s="189"/>
      <c r="AI39" s="188"/>
      <c r="AJ39" s="179"/>
      <c r="AK39" s="179"/>
      <c r="AL39" s="179"/>
      <c r="AM39" s="179"/>
      <c r="AN39" s="180"/>
      <c r="AO39" s="189"/>
      <c r="AP39" s="188"/>
      <c r="AQ39" s="179"/>
      <c r="AR39" s="179"/>
      <c r="AS39" s="179"/>
      <c r="AT39" s="179"/>
      <c r="AU39" s="180"/>
      <c r="AV39" s="189"/>
      <c r="AW39" s="188"/>
      <c r="AX39" s="179"/>
      <c r="AY39" s="179"/>
      <c r="AZ39" s="179"/>
      <c r="BA39" s="179"/>
      <c r="BB39" s="180"/>
      <c r="BC39" s="189"/>
      <c r="BD39" s="188"/>
      <c r="BE39" s="179"/>
      <c r="BF39" s="179"/>
      <c r="BG39" s="179"/>
      <c r="BH39" s="179"/>
      <c r="BI39" s="180"/>
      <c r="BJ39" s="189"/>
      <c r="BK39" s="188"/>
      <c r="BL39" s="179"/>
      <c r="BM39" s="179"/>
      <c r="BN39" s="179"/>
      <c r="BO39" s="179"/>
      <c r="BP39" s="180"/>
      <c r="BQ39" s="189"/>
      <c r="BR39" s="188"/>
      <c r="BS39" s="179"/>
      <c r="BT39" s="179"/>
      <c r="BU39" s="179"/>
      <c r="BV39" s="179"/>
      <c r="BW39" s="180"/>
      <c r="BX39" s="189"/>
      <c r="BY39" s="188"/>
      <c r="BZ39" s="179"/>
      <c r="CA39" s="179"/>
      <c r="CB39" s="179"/>
      <c r="CC39" s="179"/>
      <c r="CD39" s="180"/>
      <c r="CE39" s="189"/>
      <c r="CF39" s="188"/>
      <c r="CG39" s="179"/>
      <c r="CH39" s="179"/>
      <c r="CI39" s="179"/>
      <c r="CJ39" s="179"/>
      <c r="CK39" s="180"/>
      <c r="CL39" s="189"/>
      <c r="CM39" s="188"/>
      <c r="CN39" s="179"/>
      <c r="CO39" s="179"/>
      <c r="CP39" s="179"/>
      <c r="CQ39" s="179"/>
      <c r="CR39" s="180"/>
      <c r="CS39" s="189"/>
      <c r="CT39" s="188"/>
      <c r="CU39" s="179"/>
      <c r="CV39" s="179"/>
      <c r="CW39" s="179"/>
      <c r="CX39" s="179"/>
      <c r="CY39" s="180"/>
      <c r="CZ39" s="189"/>
      <c r="DA39" s="188"/>
      <c r="DB39" s="179"/>
      <c r="DC39" s="179"/>
      <c r="DD39" s="179"/>
      <c r="DE39" s="179"/>
      <c r="DF39" s="180"/>
      <c r="DG39" s="189"/>
      <c r="DH39" s="188"/>
      <c r="DI39" s="179"/>
      <c r="DJ39" s="179"/>
      <c r="DK39" s="179"/>
      <c r="DL39" s="179"/>
      <c r="DM39" s="180"/>
      <c r="DN39" s="189"/>
      <c r="DO39" s="188"/>
      <c r="DP39" s="179"/>
      <c r="DQ39" s="179"/>
      <c r="DR39" s="179"/>
      <c r="DS39" s="179"/>
      <c r="DT39" s="180"/>
      <c r="DU39" s="189"/>
      <c r="DV39" s="188"/>
      <c r="DW39" s="179"/>
      <c r="DX39" s="179"/>
      <c r="DY39" s="179"/>
      <c r="DZ39" s="179"/>
      <c r="EA39" s="180"/>
      <c r="EB39" s="189"/>
      <c r="EC39" s="188"/>
      <c r="ED39" s="179"/>
      <c r="EE39" s="179"/>
      <c r="EF39" s="179"/>
      <c r="EG39" s="179"/>
      <c r="EH39" s="180"/>
      <c r="EI39" s="189"/>
      <c r="EJ39" s="188"/>
      <c r="EK39" s="179"/>
      <c r="EL39" s="179"/>
      <c r="EM39" s="179"/>
      <c r="EN39" s="179"/>
      <c r="EO39" s="180"/>
      <c r="EP39" s="189"/>
      <c r="EQ39" s="188"/>
      <c r="ER39" s="179"/>
      <c r="ES39" s="179"/>
      <c r="ET39" s="179"/>
      <c r="EU39" s="179"/>
      <c r="EV39" s="180"/>
      <c r="EW39" s="189"/>
      <c r="EX39" s="188"/>
      <c r="EY39" s="179"/>
      <c r="EZ39" s="179"/>
      <c r="FA39" s="179"/>
      <c r="FB39" s="179"/>
      <c r="FC39" s="180"/>
      <c r="FD39" s="189"/>
      <c r="FE39" s="188"/>
      <c r="FF39" s="179"/>
      <c r="FG39" s="179"/>
      <c r="FH39" s="179"/>
      <c r="FI39" s="179"/>
      <c r="FJ39" s="180"/>
      <c r="FK39" s="189"/>
      <c r="FL39" s="188"/>
      <c r="FM39" s="179"/>
      <c r="FN39" s="179"/>
      <c r="FO39" s="179"/>
      <c r="FP39" s="179"/>
      <c r="FQ39" s="180"/>
      <c r="FR39" s="189"/>
      <c r="FS39" s="188"/>
      <c r="FT39" s="179"/>
      <c r="FU39" s="179"/>
      <c r="FV39" s="179"/>
      <c r="FW39" s="179"/>
      <c r="FX39" s="180"/>
      <c r="FY39" s="189"/>
      <c r="FZ39" s="188"/>
      <c r="GA39" s="179"/>
      <c r="GB39" s="179"/>
      <c r="GC39" s="179"/>
      <c r="GD39" s="179"/>
      <c r="GE39" s="180"/>
      <c r="GF39" s="189"/>
      <c r="GG39" s="188"/>
      <c r="GH39" s="179"/>
      <c r="GI39" s="179"/>
      <c r="GJ39" s="179"/>
      <c r="GK39" s="179"/>
      <c r="GL39" s="180"/>
      <c r="GM39" s="189"/>
      <c r="GN39" s="188"/>
      <c r="GO39" s="179"/>
      <c r="GP39" s="179"/>
      <c r="GQ39" s="179"/>
      <c r="GR39" s="179"/>
      <c r="GS39" s="180"/>
      <c r="GT39" s="189"/>
      <c r="GU39" s="188"/>
      <c r="GV39" s="179"/>
      <c r="GW39" s="179"/>
      <c r="GX39" s="179"/>
      <c r="GY39" s="179"/>
      <c r="GZ39" s="180"/>
      <c r="HA39" s="189"/>
      <c r="HB39" s="188"/>
      <c r="HC39" s="179"/>
      <c r="HD39" s="179"/>
      <c r="HE39" s="179"/>
      <c r="HF39" s="179"/>
      <c r="HG39" s="180"/>
      <c r="HH39" s="189"/>
      <c r="HI39" s="188"/>
      <c r="HJ39" s="179"/>
      <c r="HK39" s="179"/>
      <c r="HL39" s="179"/>
      <c r="HM39" s="179"/>
      <c r="HN39" s="180"/>
      <c r="HO39" s="189"/>
      <c r="HP39" s="188"/>
      <c r="HQ39" s="179"/>
      <c r="HR39" s="179"/>
      <c r="HS39" s="179"/>
      <c r="HT39" s="179"/>
      <c r="HU39" s="180"/>
      <c r="HV39" s="189"/>
      <c r="HW39" s="188"/>
      <c r="HX39" s="179"/>
      <c r="HY39" s="179"/>
      <c r="HZ39" s="179"/>
      <c r="IA39" s="179"/>
      <c r="IB39" s="180"/>
      <c r="IC39" s="189"/>
      <c r="ID39" s="188"/>
      <c r="IE39" s="179"/>
      <c r="IF39" s="179"/>
      <c r="IG39" s="179"/>
      <c r="IH39" s="179"/>
      <c r="II39" s="180"/>
      <c r="IJ39" s="189"/>
      <c r="IK39" s="188"/>
      <c r="IL39" s="179"/>
      <c r="IM39" s="179"/>
      <c r="IN39" s="179"/>
      <c r="IO39" s="179"/>
      <c r="IP39" s="180"/>
      <c r="IQ39" s="189"/>
      <c r="IR39" s="188"/>
      <c r="IS39" s="179"/>
      <c r="IT39" s="179"/>
      <c r="IU39" s="179"/>
      <c r="IV39" s="179"/>
      <c r="IW39" s="180"/>
      <c r="IX39" s="189"/>
      <c r="IY39" s="188"/>
      <c r="IZ39" s="179"/>
      <c r="JA39" s="179"/>
      <c r="JB39" s="179"/>
      <c r="JC39" s="179"/>
      <c r="JD39" s="180"/>
      <c r="JE39" s="189"/>
      <c r="JF39" s="188"/>
      <c r="JG39" s="179"/>
      <c r="JH39" s="179"/>
      <c r="JI39" s="179"/>
      <c r="JJ39" s="179"/>
      <c r="JK39" s="180"/>
      <c r="JL39" s="189"/>
      <c r="JM39" s="188"/>
      <c r="JN39" s="179"/>
      <c r="JO39" s="179"/>
      <c r="JP39" s="179"/>
      <c r="JQ39" s="179"/>
      <c r="JR39" s="180"/>
      <c r="JS39" s="189"/>
      <c r="JT39" s="188"/>
      <c r="JU39" s="179"/>
      <c r="JV39" s="179"/>
      <c r="JW39" s="179"/>
      <c r="JX39" s="179"/>
      <c r="JY39" s="180"/>
      <c r="JZ39" s="189"/>
      <c r="KA39" s="188"/>
      <c r="KB39" s="179"/>
      <c r="KC39" s="179"/>
      <c r="KD39" s="179"/>
      <c r="KE39" s="179"/>
      <c r="KF39" s="180"/>
      <c r="KG39" s="189"/>
      <c r="KH39" s="188"/>
      <c r="KI39" s="179"/>
      <c r="KJ39" s="179"/>
      <c r="KK39" s="179"/>
      <c r="KL39" s="179"/>
      <c r="KM39" s="180"/>
      <c r="KN39" s="189"/>
      <c r="KO39" s="188"/>
      <c r="KP39" s="179"/>
      <c r="KQ39" s="179"/>
      <c r="KR39" s="179"/>
      <c r="KS39" s="179"/>
      <c r="KT39" s="180"/>
      <c r="KU39" s="189"/>
      <c r="KV39" s="188"/>
      <c r="KW39" s="179"/>
      <c r="KX39" s="179"/>
      <c r="KY39" s="179"/>
      <c r="KZ39" s="179"/>
      <c r="LA39" s="180"/>
      <c r="LB39" s="189"/>
      <c r="LC39" s="188"/>
      <c r="LD39" s="179"/>
      <c r="LE39" s="179"/>
      <c r="LF39" s="179"/>
      <c r="LG39" s="179"/>
      <c r="LH39" s="180"/>
      <c r="LI39" s="189"/>
      <c r="LJ39" s="188"/>
      <c r="LK39" s="179"/>
      <c r="LL39" s="179"/>
      <c r="LM39" s="179"/>
      <c r="LN39" s="179"/>
      <c r="LO39" s="180"/>
      <c r="LP39" s="189"/>
      <c r="LQ39" s="188"/>
      <c r="LR39" s="179"/>
      <c r="LS39" s="179"/>
      <c r="LT39" s="179"/>
      <c r="LU39" s="179"/>
      <c r="LV39" s="180"/>
      <c r="LW39" s="189"/>
      <c r="LX39" s="188"/>
      <c r="LY39" s="179"/>
      <c r="LZ39" s="179"/>
      <c r="MA39" s="179"/>
      <c r="MB39" s="179"/>
      <c r="MC39" s="180"/>
      <c r="MD39" s="189"/>
      <c r="ME39" s="188"/>
      <c r="MF39" s="179"/>
      <c r="MG39" s="179"/>
      <c r="MH39" s="179"/>
      <c r="MI39" s="179"/>
      <c r="MJ39" s="180"/>
      <c r="MK39" s="189"/>
      <c r="ML39" s="188"/>
      <c r="MM39" s="179"/>
      <c r="MN39" s="179"/>
      <c r="MO39" s="179"/>
      <c r="MP39" s="179"/>
      <c r="MQ39" s="180"/>
      <c r="MR39" s="189"/>
      <c r="MS39" s="188"/>
      <c r="MT39" s="179"/>
      <c r="MU39" s="179"/>
      <c r="MV39" s="179"/>
      <c r="MW39" s="179"/>
      <c r="MX39" s="180"/>
      <c r="MY39" s="189"/>
      <c r="MZ39" s="184"/>
      <c r="NC39" s="194"/>
    </row>
    <row r="40" spans="1:367" x14ac:dyDescent="0.3">
      <c r="A40" s="220"/>
      <c r="B40" s="269" t="s">
        <v>15</v>
      </c>
      <c r="C40" s="200" t="s">
        <v>9</v>
      </c>
      <c r="D40" s="200" t="s">
        <v>9</v>
      </c>
      <c r="E40" s="181"/>
      <c r="F40" s="191"/>
      <c r="G40" s="190"/>
      <c r="H40" s="176"/>
      <c r="I40" s="176"/>
      <c r="J40" s="176"/>
      <c r="K40" s="176"/>
      <c r="L40" s="181"/>
      <c r="M40" s="191"/>
      <c r="N40" s="200" t="s">
        <v>9</v>
      </c>
      <c r="O40" s="200" t="s">
        <v>9</v>
      </c>
      <c r="P40" s="200" t="s">
        <v>9</v>
      </c>
      <c r="Q40" s="198" t="s">
        <v>11</v>
      </c>
      <c r="R40" s="198" t="s">
        <v>11</v>
      </c>
      <c r="S40" s="181"/>
      <c r="T40" s="191"/>
      <c r="U40" s="198" t="s">
        <v>11</v>
      </c>
      <c r="V40" s="198" t="s">
        <v>11</v>
      </c>
      <c r="W40" s="198" t="s">
        <v>11</v>
      </c>
      <c r="X40" s="198" t="s">
        <v>11</v>
      </c>
      <c r="Y40" s="198" t="s">
        <v>11</v>
      </c>
      <c r="Z40" s="181"/>
      <c r="AA40" s="191"/>
      <c r="AB40" s="223">
        <v>3364</v>
      </c>
      <c r="AC40" s="223">
        <v>3364</v>
      </c>
      <c r="AD40" s="223">
        <v>3364</v>
      </c>
      <c r="AE40" s="225">
        <v>3297</v>
      </c>
      <c r="AF40" s="198" t="s">
        <v>11</v>
      </c>
      <c r="AG40" s="181"/>
      <c r="AH40" s="191"/>
      <c r="AI40" s="200" t="s">
        <v>25</v>
      </c>
      <c r="AJ40" s="223">
        <v>3364</v>
      </c>
      <c r="AK40" s="223">
        <v>3364</v>
      </c>
      <c r="AL40" s="223">
        <v>3364</v>
      </c>
      <c r="AM40" s="225">
        <v>3297</v>
      </c>
      <c r="AN40" s="181"/>
      <c r="AO40" s="191"/>
      <c r="AP40" s="213" t="s">
        <v>7</v>
      </c>
      <c r="AQ40" s="213" t="s">
        <v>7</v>
      </c>
      <c r="AR40" s="213" t="s">
        <v>7</v>
      </c>
      <c r="AS40" s="213" t="s">
        <v>7</v>
      </c>
      <c r="AT40" s="213" t="s">
        <v>7</v>
      </c>
      <c r="AU40" s="181"/>
      <c r="AV40" s="191"/>
      <c r="AW40" s="213" t="s">
        <v>7</v>
      </c>
      <c r="AX40" s="213" t="s">
        <v>7</v>
      </c>
      <c r="AY40" s="213" t="s">
        <v>7</v>
      </c>
      <c r="AZ40" s="213" t="s">
        <v>7</v>
      </c>
      <c r="BA40" s="213" t="s">
        <v>7</v>
      </c>
      <c r="BB40" s="181"/>
      <c r="BC40" s="191"/>
      <c r="BD40" s="213" t="s">
        <v>7</v>
      </c>
      <c r="BE40" s="213" t="s">
        <v>7</v>
      </c>
      <c r="BF40" s="213" t="s">
        <v>7</v>
      </c>
      <c r="BG40" s="225">
        <v>3297</v>
      </c>
      <c r="BH40" s="202">
        <v>3332</v>
      </c>
      <c r="BI40" s="181"/>
      <c r="BJ40" s="191"/>
      <c r="BK40" s="213" t="s">
        <v>7</v>
      </c>
      <c r="BL40" s="213" t="s">
        <v>7</v>
      </c>
      <c r="BM40" s="213" t="s">
        <v>7</v>
      </c>
      <c r="BN40" s="213" t="s">
        <v>7</v>
      </c>
      <c r="BO40" s="213" t="s">
        <v>7</v>
      </c>
      <c r="BP40" s="181"/>
      <c r="BQ40" s="191"/>
      <c r="BR40" s="190"/>
      <c r="BS40" s="176"/>
      <c r="BT40" s="176"/>
      <c r="BU40" s="176"/>
      <c r="BV40" s="176"/>
      <c r="BW40" s="181"/>
      <c r="BX40" s="191"/>
      <c r="BY40" s="190"/>
      <c r="BZ40" s="176"/>
      <c r="CA40" s="176"/>
      <c r="CB40" s="176"/>
      <c r="CC40" s="176"/>
      <c r="CD40" s="181"/>
      <c r="CE40" s="191"/>
      <c r="CF40" s="190"/>
      <c r="CG40" s="176"/>
      <c r="CH40" s="176"/>
      <c r="CI40" s="176"/>
      <c r="CJ40" s="176"/>
      <c r="CK40" s="181"/>
      <c r="CL40" s="191"/>
      <c r="CM40" s="190"/>
      <c r="CN40" s="176"/>
      <c r="CO40" s="176"/>
      <c r="CP40" s="176"/>
      <c r="CQ40" s="176"/>
      <c r="CR40" s="181"/>
      <c r="CS40" s="191"/>
      <c r="CT40" s="190"/>
      <c r="CU40" s="176"/>
      <c r="CV40" s="176"/>
      <c r="CW40" s="176"/>
      <c r="CX40" s="176"/>
      <c r="CY40" s="181"/>
      <c r="CZ40" s="191"/>
      <c r="DA40" s="190"/>
      <c r="DB40" s="176"/>
      <c r="DC40" s="176"/>
      <c r="DD40" s="176"/>
      <c r="DE40" s="176"/>
      <c r="DF40" s="181"/>
      <c r="DG40" s="191"/>
      <c r="DH40" s="190"/>
      <c r="DI40" s="176"/>
      <c r="DJ40" s="176"/>
      <c r="DK40" s="176"/>
      <c r="DL40" s="176"/>
      <c r="DM40" s="181"/>
      <c r="DN40" s="191"/>
      <c r="DO40" s="190"/>
      <c r="DP40" s="176"/>
      <c r="DQ40" s="176"/>
      <c r="DR40" s="176"/>
      <c r="DS40" s="176"/>
      <c r="DT40" s="181"/>
      <c r="DU40" s="191"/>
      <c r="DV40" s="190"/>
      <c r="DW40" s="176"/>
      <c r="DX40" s="176"/>
      <c r="DY40" s="176"/>
      <c r="DZ40" s="176"/>
      <c r="EA40" s="181"/>
      <c r="EB40" s="191"/>
      <c r="EC40" s="190"/>
      <c r="ED40" s="176"/>
      <c r="EE40" s="176"/>
      <c r="EF40" s="176"/>
      <c r="EG40" s="176"/>
      <c r="EH40" s="181"/>
      <c r="EI40" s="191"/>
      <c r="EJ40" s="190"/>
      <c r="EK40" s="176"/>
      <c r="EL40" s="176"/>
      <c r="EM40" s="176"/>
      <c r="EN40" s="176"/>
      <c r="EO40" s="181"/>
      <c r="EP40" s="191"/>
      <c r="EQ40" s="190"/>
      <c r="ER40" s="176"/>
      <c r="ES40" s="176"/>
      <c r="ET40" s="176"/>
      <c r="EU40" s="176"/>
      <c r="EV40" s="181"/>
      <c r="EW40" s="191"/>
      <c r="EX40" s="190"/>
      <c r="EY40" s="176"/>
      <c r="EZ40" s="176"/>
      <c r="FA40" s="176"/>
      <c r="FB40" s="176"/>
      <c r="FC40" s="181"/>
      <c r="FD40" s="191"/>
      <c r="FE40" s="190"/>
      <c r="FF40" s="176"/>
      <c r="FG40" s="176"/>
      <c r="FH40" s="176"/>
      <c r="FI40" s="176"/>
      <c r="FJ40" s="181"/>
      <c r="FK40" s="191"/>
      <c r="FL40" s="190"/>
      <c r="FM40" s="176"/>
      <c r="FN40" s="176"/>
      <c r="FO40" s="176"/>
      <c r="FP40" s="176"/>
      <c r="FQ40" s="181"/>
      <c r="FR40" s="191"/>
      <c r="FS40" s="190"/>
      <c r="FT40" s="176"/>
      <c r="FU40" s="176"/>
      <c r="FV40" s="176"/>
      <c r="FW40" s="176"/>
      <c r="FX40" s="181"/>
      <c r="FY40" s="191"/>
      <c r="FZ40" s="190"/>
      <c r="GA40" s="176"/>
      <c r="GB40" s="176"/>
      <c r="GC40" s="176"/>
      <c r="GD40" s="176"/>
      <c r="GE40" s="181"/>
      <c r="GF40" s="191"/>
      <c r="GG40" s="190"/>
      <c r="GH40" s="176"/>
      <c r="GI40" s="176"/>
      <c r="GJ40" s="176"/>
      <c r="GK40" s="176"/>
      <c r="GL40" s="181"/>
      <c r="GM40" s="191"/>
      <c r="GN40" s="190"/>
      <c r="GO40" s="176"/>
      <c r="GP40" s="176"/>
      <c r="GQ40" s="176"/>
      <c r="GR40" s="176"/>
      <c r="GS40" s="181"/>
      <c r="GT40" s="191"/>
      <c r="GU40" s="190"/>
      <c r="GV40" s="176"/>
      <c r="GW40" s="176"/>
      <c r="GX40" s="176"/>
      <c r="GY40" s="176"/>
      <c r="GZ40" s="181"/>
      <c r="HA40" s="191"/>
      <c r="HB40" s="190"/>
      <c r="HC40" s="176"/>
      <c r="HD40" s="176"/>
      <c r="HE40" s="176"/>
      <c r="HF40" s="176"/>
      <c r="HG40" s="181"/>
      <c r="HH40" s="191"/>
      <c r="HI40" s="190"/>
      <c r="HJ40" s="176"/>
      <c r="HK40" s="176"/>
      <c r="HL40" s="176"/>
      <c r="HM40" s="176"/>
      <c r="HN40" s="181"/>
      <c r="HO40" s="191"/>
      <c r="HP40" s="190"/>
      <c r="HQ40" s="176"/>
      <c r="HR40" s="176"/>
      <c r="HS40" s="176"/>
      <c r="HT40" s="176"/>
      <c r="HU40" s="181"/>
      <c r="HV40" s="191"/>
      <c r="HW40" s="190"/>
      <c r="HX40" s="176"/>
      <c r="HY40" s="176"/>
      <c r="HZ40" s="176"/>
      <c r="IA40" s="176"/>
      <c r="IB40" s="181"/>
      <c r="IC40" s="191"/>
      <c r="ID40" s="190"/>
      <c r="IE40" s="176"/>
      <c r="IF40" s="176"/>
      <c r="IG40" s="176"/>
      <c r="IH40" s="176"/>
      <c r="II40" s="181"/>
      <c r="IJ40" s="191"/>
      <c r="IK40" s="190"/>
      <c r="IL40" s="176"/>
      <c r="IM40" s="176"/>
      <c r="IN40" s="176"/>
      <c r="IO40" s="176"/>
      <c r="IP40" s="181"/>
      <c r="IQ40" s="191"/>
      <c r="IR40" s="190"/>
      <c r="IS40" s="176"/>
      <c r="IT40" s="176"/>
      <c r="IU40" s="176"/>
      <c r="IV40" s="176"/>
      <c r="IW40" s="181"/>
      <c r="IX40" s="191"/>
      <c r="IY40" s="190"/>
      <c r="IZ40" s="176"/>
      <c r="JA40" s="176"/>
      <c r="JB40" s="176"/>
      <c r="JC40" s="176"/>
      <c r="JD40" s="181"/>
      <c r="JE40" s="191"/>
      <c r="JF40" s="190"/>
      <c r="JG40" s="176"/>
      <c r="JH40" s="176"/>
      <c r="JI40" s="176"/>
      <c r="JJ40" s="176"/>
      <c r="JK40" s="181"/>
      <c r="JL40" s="191"/>
      <c r="JM40" s="190"/>
      <c r="JN40" s="176"/>
      <c r="JO40" s="176"/>
      <c r="JP40" s="176"/>
      <c r="JQ40" s="176"/>
      <c r="JR40" s="181"/>
      <c r="JS40" s="191"/>
      <c r="JT40" s="190"/>
      <c r="JU40" s="176"/>
      <c r="JV40" s="176"/>
      <c r="JW40" s="176"/>
      <c r="JX40" s="176"/>
      <c r="JY40" s="181"/>
      <c r="JZ40" s="191"/>
      <c r="KA40" s="190"/>
      <c r="KB40" s="176"/>
      <c r="KC40" s="176"/>
      <c r="KD40" s="176"/>
      <c r="KE40" s="176"/>
      <c r="KF40" s="181"/>
      <c r="KG40" s="191"/>
      <c r="KH40" s="190"/>
      <c r="KI40" s="176"/>
      <c r="KJ40" s="176"/>
      <c r="KK40" s="176"/>
      <c r="KL40" s="176"/>
      <c r="KM40" s="181"/>
      <c r="KN40" s="191"/>
      <c r="KO40" s="190"/>
      <c r="KP40" s="176"/>
      <c r="KQ40" s="176"/>
      <c r="KR40" s="176"/>
      <c r="KS40" s="176"/>
      <c r="KT40" s="181"/>
      <c r="KU40" s="191"/>
      <c r="KV40" s="190"/>
      <c r="KW40" s="176"/>
      <c r="KX40" s="176"/>
      <c r="KY40" s="176"/>
      <c r="KZ40" s="176"/>
      <c r="LA40" s="181"/>
      <c r="LB40" s="191"/>
      <c r="LC40" s="190"/>
      <c r="LD40" s="176"/>
      <c r="LE40" s="176"/>
      <c r="LF40" s="176"/>
      <c r="LG40" s="176"/>
      <c r="LH40" s="181"/>
      <c r="LI40" s="191"/>
      <c r="LJ40" s="190"/>
      <c r="LK40" s="176"/>
      <c r="LL40" s="176"/>
      <c r="LM40" s="176"/>
      <c r="LN40" s="176"/>
      <c r="LO40" s="181"/>
      <c r="LP40" s="191"/>
      <c r="LQ40" s="190"/>
      <c r="LR40" s="176"/>
      <c r="LS40" s="176"/>
      <c r="LT40" s="176"/>
      <c r="LU40" s="176"/>
      <c r="LV40" s="181"/>
      <c r="LW40" s="191"/>
      <c r="LX40" s="190"/>
      <c r="LY40" s="176"/>
      <c r="LZ40" s="176"/>
      <c r="MA40" s="176"/>
      <c r="MB40" s="176"/>
      <c r="MC40" s="181"/>
      <c r="MD40" s="191"/>
      <c r="ME40" s="190"/>
      <c r="MF40" s="176"/>
      <c r="MG40" s="176"/>
      <c r="MH40" s="176"/>
      <c r="MI40" s="176"/>
      <c r="MJ40" s="181"/>
      <c r="MK40" s="191"/>
      <c r="ML40" s="190"/>
      <c r="MM40" s="176"/>
      <c r="MN40" s="176"/>
      <c r="MO40" s="176"/>
      <c r="MP40" s="176"/>
      <c r="MQ40" s="181"/>
      <c r="MR40" s="191"/>
      <c r="MS40" s="190"/>
      <c r="MT40" s="176"/>
      <c r="MU40" s="176"/>
      <c r="MV40" s="176"/>
      <c r="MW40" s="176"/>
      <c r="MX40" s="181"/>
      <c r="MY40" s="191"/>
      <c r="MZ40" s="190"/>
      <c r="NA40" s="176"/>
      <c r="NB40" s="176"/>
      <c r="NC40" s="195"/>
    </row>
    <row r="41" spans="1:367" x14ac:dyDescent="0.3">
      <c r="A41" s="220"/>
      <c r="B41" s="269"/>
      <c r="C41" s="200" t="s">
        <v>9</v>
      </c>
      <c r="D41" s="200" t="s">
        <v>9</v>
      </c>
      <c r="E41" s="16"/>
      <c r="F41" s="186"/>
      <c r="G41" s="184"/>
      <c r="L41" s="16"/>
      <c r="M41" s="186"/>
      <c r="N41" s="200" t="s">
        <v>9</v>
      </c>
      <c r="O41" s="200" t="s">
        <v>9</v>
      </c>
      <c r="P41" s="200" t="s">
        <v>9</v>
      </c>
      <c r="Q41" s="198" t="s">
        <v>11</v>
      </c>
      <c r="R41" s="198" t="s">
        <v>11</v>
      </c>
      <c r="S41" s="16"/>
      <c r="T41" s="186"/>
      <c r="U41" s="198" t="s">
        <v>11</v>
      </c>
      <c r="V41" s="198" t="s">
        <v>11</v>
      </c>
      <c r="W41" s="198" t="s">
        <v>11</v>
      </c>
      <c r="X41" s="198" t="s">
        <v>11</v>
      </c>
      <c r="Y41" s="198" t="s">
        <v>11</v>
      </c>
      <c r="Z41" s="16"/>
      <c r="AA41" s="186"/>
      <c r="AB41" s="223">
        <v>3364</v>
      </c>
      <c r="AC41" s="223">
        <v>3364</v>
      </c>
      <c r="AD41" s="223">
        <v>3364</v>
      </c>
      <c r="AE41" s="225">
        <v>3297</v>
      </c>
      <c r="AF41" s="198" t="s">
        <v>11</v>
      </c>
      <c r="AG41" s="16"/>
      <c r="AH41" s="186"/>
      <c r="AI41" s="200" t="s">
        <v>25</v>
      </c>
      <c r="AJ41" s="223">
        <v>3364</v>
      </c>
      <c r="AK41" s="223">
        <v>3364</v>
      </c>
      <c r="AL41" s="223">
        <v>3364</v>
      </c>
      <c r="AM41" s="225">
        <v>3297</v>
      </c>
      <c r="AN41" s="16"/>
      <c r="AO41" s="186"/>
      <c r="AP41" s="213" t="s">
        <v>7</v>
      </c>
      <c r="AQ41" s="213" t="s">
        <v>7</v>
      </c>
      <c r="AR41" s="213" t="s">
        <v>7</v>
      </c>
      <c r="AS41" s="213" t="s">
        <v>7</v>
      </c>
      <c r="AT41" s="213" t="s">
        <v>7</v>
      </c>
      <c r="AU41" s="16"/>
      <c r="AV41" s="186"/>
      <c r="AW41" s="213" t="s">
        <v>7</v>
      </c>
      <c r="AX41" s="213" t="s">
        <v>7</v>
      </c>
      <c r="AY41" s="213" t="s">
        <v>7</v>
      </c>
      <c r="AZ41" s="213" t="s">
        <v>7</v>
      </c>
      <c r="BA41" s="213" t="s">
        <v>7</v>
      </c>
      <c r="BB41" s="16"/>
      <c r="BC41" s="186"/>
      <c r="BD41" s="213" t="s">
        <v>7</v>
      </c>
      <c r="BE41" s="213" t="s">
        <v>7</v>
      </c>
      <c r="BF41" s="213" t="s">
        <v>7</v>
      </c>
      <c r="BG41" s="225">
        <v>3297</v>
      </c>
      <c r="BH41" s="202">
        <v>3332</v>
      </c>
      <c r="BI41" s="16"/>
      <c r="BJ41" s="186"/>
      <c r="BK41" s="213" t="s">
        <v>7</v>
      </c>
      <c r="BL41" s="213" t="s">
        <v>7</v>
      </c>
      <c r="BM41" s="213" t="s">
        <v>7</v>
      </c>
      <c r="BN41" s="213" t="s">
        <v>7</v>
      </c>
      <c r="BO41" s="213" t="s">
        <v>7</v>
      </c>
      <c r="BP41" s="16"/>
      <c r="BQ41" s="186"/>
      <c r="BR41" s="184"/>
      <c r="BW41" s="16"/>
      <c r="BX41" s="186"/>
      <c r="BY41" s="184"/>
      <c r="CD41" s="16"/>
      <c r="CE41" s="186"/>
      <c r="CF41" s="184"/>
      <c r="CK41" s="16"/>
      <c r="CL41" s="186"/>
      <c r="CM41" s="184"/>
      <c r="CR41" s="16"/>
      <c r="CS41" s="186"/>
      <c r="CT41" s="184"/>
      <c r="CY41" s="16"/>
      <c r="CZ41" s="186"/>
      <c r="DA41" s="184"/>
      <c r="DF41" s="16"/>
      <c r="DG41" s="186"/>
      <c r="DH41" s="184"/>
      <c r="DM41" s="16"/>
      <c r="DN41" s="186"/>
      <c r="DO41" s="184"/>
      <c r="DT41" s="16"/>
      <c r="DU41" s="186"/>
      <c r="DV41" s="184"/>
      <c r="EA41" s="16"/>
      <c r="EB41" s="186"/>
      <c r="EC41" s="184"/>
      <c r="EH41" s="16"/>
      <c r="EI41" s="186"/>
      <c r="EJ41" s="184"/>
      <c r="EO41" s="16"/>
      <c r="EP41" s="186"/>
      <c r="EQ41" s="184"/>
      <c r="EV41" s="16"/>
      <c r="EW41" s="186"/>
      <c r="EX41" s="184"/>
      <c r="FC41" s="16"/>
      <c r="FD41" s="186"/>
      <c r="FE41" s="184"/>
      <c r="FJ41" s="16"/>
      <c r="FK41" s="186"/>
      <c r="FL41" s="184"/>
      <c r="FQ41" s="16"/>
      <c r="FR41" s="186"/>
      <c r="FS41" s="184"/>
      <c r="FX41" s="16"/>
      <c r="FY41" s="186"/>
      <c r="FZ41" s="184"/>
      <c r="GE41" s="16"/>
      <c r="GF41" s="186"/>
      <c r="GG41" s="184"/>
      <c r="GL41" s="16"/>
      <c r="GM41" s="186"/>
      <c r="GN41" s="184"/>
      <c r="GS41" s="16"/>
      <c r="GT41" s="186"/>
      <c r="GU41" s="184"/>
      <c r="GZ41" s="16"/>
      <c r="HA41" s="186"/>
      <c r="HB41" s="184"/>
      <c r="HG41" s="16"/>
      <c r="HH41" s="186"/>
      <c r="HI41" s="184"/>
      <c r="HN41" s="16"/>
      <c r="HO41" s="186"/>
      <c r="HP41" s="184"/>
      <c r="HU41" s="16"/>
      <c r="HV41" s="186"/>
      <c r="HW41" s="184"/>
      <c r="IB41" s="16"/>
      <c r="IC41" s="186"/>
      <c r="ID41" s="184"/>
      <c r="II41" s="16"/>
      <c r="IJ41" s="186"/>
      <c r="IK41" s="184"/>
      <c r="IP41" s="16"/>
      <c r="IQ41" s="186"/>
      <c r="IR41" s="184"/>
      <c r="IW41" s="16"/>
      <c r="IX41" s="186"/>
      <c r="IY41" s="184"/>
      <c r="JD41" s="16"/>
      <c r="JE41" s="186"/>
      <c r="JF41" s="184"/>
      <c r="JK41" s="16"/>
      <c r="JL41" s="186"/>
      <c r="JM41" s="184"/>
      <c r="JR41" s="16"/>
      <c r="JS41" s="186"/>
      <c r="JT41" s="184"/>
      <c r="JY41" s="16"/>
      <c r="JZ41" s="186"/>
      <c r="KA41" s="184"/>
      <c r="KF41" s="16"/>
      <c r="KG41" s="186"/>
      <c r="KH41" s="184"/>
      <c r="KM41" s="16"/>
      <c r="KN41" s="186"/>
      <c r="KO41" s="184"/>
      <c r="KT41" s="16"/>
      <c r="KU41" s="186"/>
      <c r="KV41" s="184"/>
      <c r="LA41" s="16"/>
      <c r="LB41" s="186"/>
      <c r="LC41" s="184"/>
      <c r="LH41" s="16"/>
      <c r="LI41" s="186"/>
      <c r="LJ41" s="184"/>
      <c r="LO41" s="16"/>
      <c r="LP41" s="186"/>
      <c r="LQ41" s="184"/>
      <c r="LV41" s="16"/>
      <c r="LW41" s="186"/>
      <c r="LX41" s="184"/>
      <c r="MC41" s="16"/>
      <c r="MD41" s="186"/>
      <c r="ME41" s="184"/>
      <c r="MJ41" s="16"/>
      <c r="MK41" s="186"/>
      <c r="ML41" s="184"/>
      <c r="MQ41" s="16"/>
      <c r="MR41" s="186"/>
      <c r="MS41" s="184"/>
      <c r="MX41" s="16"/>
      <c r="MY41" s="186"/>
      <c r="MZ41" s="184"/>
      <c r="NC41" s="194"/>
    </row>
    <row r="42" spans="1:367" x14ac:dyDescent="0.3">
      <c r="A42" s="220"/>
      <c r="B42" s="269"/>
      <c r="C42" s="200" t="s">
        <v>9</v>
      </c>
      <c r="D42" s="200" t="s">
        <v>9</v>
      </c>
      <c r="E42" s="16"/>
      <c r="F42" s="186"/>
      <c r="G42" s="184"/>
      <c r="L42" s="16"/>
      <c r="M42" s="186"/>
      <c r="N42" s="200" t="s">
        <v>9</v>
      </c>
      <c r="O42" s="200" t="s">
        <v>9</v>
      </c>
      <c r="P42" s="200" t="s">
        <v>9</v>
      </c>
      <c r="Q42" s="223">
        <v>3364</v>
      </c>
      <c r="R42" s="223">
        <v>3364</v>
      </c>
      <c r="S42" s="16"/>
      <c r="T42" s="186"/>
      <c r="U42" s="198" t="s">
        <v>11</v>
      </c>
      <c r="V42" s="198" t="s">
        <v>11</v>
      </c>
      <c r="W42" s="198" t="s">
        <v>11</v>
      </c>
      <c r="X42" s="198" t="s">
        <v>11</v>
      </c>
      <c r="Y42" s="198" t="s">
        <v>11</v>
      </c>
      <c r="Z42" s="16"/>
      <c r="AA42" s="186"/>
      <c r="AB42" s="223">
        <v>3364</v>
      </c>
      <c r="AC42" s="223">
        <v>3364</v>
      </c>
      <c r="AD42" s="223">
        <v>3364</v>
      </c>
      <c r="AE42" s="213" t="s">
        <v>7</v>
      </c>
      <c r="AF42" s="213" t="s">
        <v>7</v>
      </c>
      <c r="AG42" s="16"/>
      <c r="AH42" s="186"/>
      <c r="AI42" s="200" t="s">
        <v>25</v>
      </c>
      <c r="AJ42" s="223">
        <v>3364</v>
      </c>
      <c r="AK42" s="223">
        <v>3364</v>
      </c>
      <c r="AL42" s="223">
        <v>3364</v>
      </c>
      <c r="AM42" s="223">
        <v>3364</v>
      </c>
      <c r="AN42" s="16"/>
      <c r="AO42" s="186"/>
      <c r="AP42" s="213" t="s">
        <v>7</v>
      </c>
      <c r="AQ42" s="213" t="s">
        <v>7</v>
      </c>
      <c r="AR42" s="213" t="s">
        <v>7</v>
      </c>
      <c r="AS42" s="213" t="s">
        <v>7</v>
      </c>
      <c r="AT42" s="213" t="s">
        <v>7</v>
      </c>
      <c r="AU42" s="16"/>
      <c r="AV42" s="186"/>
      <c r="AW42" s="213" t="s">
        <v>7</v>
      </c>
      <c r="AX42" s="213" t="s">
        <v>7</v>
      </c>
      <c r="AY42" s="213" t="s">
        <v>7</v>
      </c>
      <c r="AZ42" s="213" t="s">
        <v>7</v>
      </c>
      <c r="BA42" s="213" t="s">
        <v>7</v>
      </c>
      <c r="BB42" s="16"/>
      <c r="BC42" s="186"/>
      <c r="BD42" s="213" t="s">
        <v>7</v>
      </c>
      <c r="BE42" s="213" t="s">
        <v>7</v>
      </c>
      <c r="BF42" s="213" t="s">
        <v>7</v>
      </c>
      <c r="BG42" s="213" t="s">
        <v>7</v>
      </c>
      <c r="BH42" s="213" t="s">
        <v>7</v>
      </c>
      <c r="BI42" s="16"/>
      <c r="BJ42" s="186"/>
      <c r="BK42" s="213" t="s">
        <v>7</v>
      </c>
      <c r="BL42" s="213" t="s">
        <v>7</v>
      </c>
      <c r="BM42" s="213" t="s">
        <v>7</v>
      </c>
      <c r="BN42" s="213" t="s">
        <v>7</v>
      </c>
      <c r="BO42" s="213" t="s">
        <v>7</v>
      </c>
      <c r="BP42" s="16"/>
      <c r="BQ42" s="186"/>
      <c r="BR42" s="184"/>
      <c r="BW42" s="16"/>
      <c r="BX42" s="186"/>
      <c r="BY42" s="184"/>
      <c r="CD42" s="16"/>
      <c r="CE42" s="186"/>
      <c r="CF42" s="184"/>
      <c r="CK42" s="16"/>
      <c r="CL42" s="186"/>
      <c r="CM42" s="184"/>
      <c r="CR42" s="16"/>
      <c r="CS42" s="186"/>
      <c r="CT42" s="184"/>
      <c r="CY42" s="16"/>
      <c r="CZ42" s="186"/>
      <c r="DA42" s="184"/>
      <c r="DF42" s="16"/>
      <c r="DG42" s="186"/>
      <c r="DH42" s="184"/>
      <c r="DM42" s="16"/>
      <c r="DN42" s="186"/>
      <c r="DO42" s="184"/>
      <c r="DT42" s="16"/>
      <c r="DU42" s="186"/>
      <c r="DV42" s="184"/>
      <c r="EA42" s="16"/>
      <c r="EB42" s="186"/>
      <c r="EC42" s="184"/>
      <c r="EH42" s="16"/>
      <c r="EI42" s="186"/>
      <c r="EJ42" s="184"/>
      <c r="EO42" s="16"/>
      <c r="EP42" s="186"/>
      <c r="EQ42" s="184"/>
      <c r="EV42" s="16"/>
      <c r="EW42" s="186"/>
      <c r="EX42" s="184"/>
      <c r="FC42" s="16"/>
      <c r="FD42" s="186"/>
      <c r="FE42" s="184"/>
      <c r="FJ42" s="16"/>
      <c r="FK42" s="186"/>
      <c r="FL42" s="184"/>
      <c r="FQ42" s="16"/>
      <c r="FR42" s="186"/>
      <c r="FS42" s="184"/>
      <c r="FX42" s="16"/>
      <c r="FY42" s="186"/>
      <c r="FZ42" s="184"/>
      <c r="GE42" s="16"/>
      <c r="GF42" s="186"/>
      <c r="GG42" s="184"/>
      <c r="GL42" s="16"/>
      <c r="GM42" s="186"/>
      <c r="GN42" s="184"/>
      <c r="GS42" s="16"/>
      <c r="GT42" s="186"/>
      <c r="GU42" s="184"/>
      <c r="GZ42" s="16"/>
      <c r="HA42" s="186"/>
      <c r="HB42" s="184"/>
      <c r="HG42" s="16"/>
      <c r="HH42" s="186"/>
      <c r="HI42" s="184"/>
      <c r="HN42" s="16"/>
      <c r="HO42" s="186"/>
      <c r="HP42" s="184"/>
      <c r="HU42" s="16"/>
      <c r="HV42" s="186"/>
      <c r="HW42" s="184"/>
      <c r="IB42" s="16"/>
      <c r="IC42" s="186"/>
      <c r="ID42" s="184"/>
      <c r="II42" s="16"/>
      <c r="IJ42" s="186"/>
      <c r="IK42" s="184"/>
      <c r="IP42" s="16"/>
      <c r="IQ42" s="186"/>
      <c r="IR42" s="184"/>
      <c r="IW42" s="16"/>
      <c r="IX42" s="186"/>
      <c r="IY42" s="184"/>
      <c r="JD42" s="16"/>
      <c r="JE42" s="186"/>
      <c r="JF42" s="184"/>
      <c r="JK42" s="16"/>
      <c r="JL42" s="186"/>
      <c r="JM42" s="184"/>
      <c r="JR42" s="16"/>
      <c r="JS42" s="186"/>
      <c r="JT42" s="184"/>
      <c r="JY42" s="16"/>
      <c r="JZ42" s="186"/>
      <c r="KA42" s="184"/>
      <c r="KF42" s="16"/>
      <c r="KG42" s="186"/>
      <c r="KH42" s="184"/>
      <c r="KM42" s="16"/>
      <c r="KN42" s="186"/>
      <c r="KO42" s="184"/>
      <c r="KT42" s="16"/>
      <c r="KU42" s="186"/>
      <c r="KV42" s="184"/>
      <c r="LA42" s="16"/>
      <c r="LB42" s="186"/>
      <c r="LC42" s="184"/>
      <c r="LH42" s="16"/>
      <c r="LI42" s="186"/>
      <c r="LJ42" s="184"/>
      <c r="LO42" s="16"/>
      <c r="LP42" s="186"/>
      <c r="LQ42" s="184"/>
      <c r="LV42" s="16"/>
      <c r="LW42" s="186"/>
      <c r="LX42" s="184"/>
      <c r="MC42" s="16"/>
      <c r="MD42" s="186"/>
      <c r="ME42" s="184"/>
      <c r="MJ42" s="16"/>
      <c r="MK42" s="186"/>
      <c r="ML42" s="184"/>
      <c r="MQ42" s="16"/>
      <c r="MR42" s="186"/>
      <c r="MS42" s="184"/>
      <c r="MX42" s="16"/>
      <c r="MY42" s="186"/>
      <c r="MZ42" s="184"/>
      <c r="NC42" s="194"/>
    </row>
    <row r="43" spans="1:367" x14ac:dyDescent="0.3">
      <c r="A43" s="220"/>
      <c r="B43" s="269"/>
      <c r="C43" s="200" t="s">
        <v>9</v>
      </c>
      <c r="D43" s="200" t="s">
        <v>9</v>
      </c>
      <c r="E43" s="16"/>
      <c r="F43" s="186"/>
      <c r="G43" s="184"/>
      <c r="L43" s="16"/>
      <c r="M43" s="186"/>
      <c r="N43" s="200" t="s">
        <v>9</v>
      </c>
      <c r="O43" s="200" t="s">
        <v>9</v>
      </c>
      <c r="P43" s="200" t="s">
        <v>9</v>
      </c>
      <c r="Q43" s="223">
        <v>3364</v>
      </c>
      <c r="R43" s="223">
        <v>3364</v>
      </c>
      <c r="S43" s="16"/>
      <c r="T43" s="186"/>
      <c r="U43" s="223">
        <v>3364</v>
      </c>
      <c r="V43" s="223">
        <v>3364</v>
      </c>
      <c r="W43" s="223">
        <v>3364</v>
      </c>
      <c r="X43" s="213" t="s">
        <v>7</v>
      </c>
      <c r="Y43" s="213" t="s">
        <v>7</v>
      </c>
      <c r="Z43" s="16"/>
      <c r="AA43" s="186"/>
      <c r="AB43" s="223">
        <v>3364</v>
      </c>
      <c r="AC43" s="223">
        <v>3364</v>
      </c>
      <c r="AD43" s="223">
        <v>3364</v>
      </c>
      <c r="AE43" s="213" t="s">
        <v>7</v>
      </c>
      <c r="AF43" s="213" t="s">
        <v>7</v>
      </c>
      <c r="AG43" s="16"/>
      <c r="AH43" s="186"/>
      <c r="AI43" s="200" t="s">
        <v>25</v>
      </c>
      <c r="AJ43" s="223">
        <v>3364</v>
      </c>
      <c r="AK43" s="223">
        <v>3364</v>
      </c>
      <c r="AL43" s="223">
        <v>3364</v>
      </c>
      <c r="AM43" s="223">
        <v>3364</v>
      </c>
      <c r="AN43" s="16"/>
      <c r="AO43" s="186"/>
      <c r="AP43" s="213" t="s">
        <v>7</v>
      </c>
      <c r="AQ43" s="213" t="s">
        <v>7</v>
      </c>
      <c r="AR43" s="213" t="s">
        <v>7</v>
      </c>
      <c r="AS43" s="213" t="s">
        <v>7</v>
      </c>
      <c r="AT43" s="213" t="s">
        <v>7</v>
      </c>
      <c r="AU43" s="16"/>
      <c r="AV43" s="186"/>
      <c r="AW43" s="213" t="s">
        <v>7</v>
      </c>
      <c r="AX43" s="213" t="s">
        <v>7</v>
      </c>
      <c r="AY43" s="213" t="s">
        <v>7</v>
      </c>
      <c r="AZ43" s="213" t="s">
        <v>7</v>
      </c>
      <c r="BA43" s="213" t="s">
        <v>7</v>
      </c>
      <c r="BB43" s="16"/>
      <c r="BC43" s="186"/>
      <c r="BD43" s="213" t="s">
        <v>7</v>
      </c>
      <c r="BE43" s="213" t="s">
        <v>7</v>
      </c>
      <c r="BF43" s="213" t="s">
        <v>7</v>
      </c>
      <c r="BG43" s="213" t="s">
        <v>7</v>
      </c>
      <c r="BH43" s="213" t="s">
        <v>7</v>
      </c>
      <c r="BI43" s="16"/>
      <c r="BJ43" s="186"/>
      <c r="BK43" s="213" t="s">
        <v>7</v>
      </c>
      <c r="BL43" s="213" t="s">
        <v>7</v>
      </c>
      <c r="BM43" s="213" t="s">
        <v>7</v>
      </c>
      <c r="BN43" s="213" t="s">
        <v>7</v>
      </c>
      <c r="BO43" s="213" t="s">
        <v>7</v>
      </c>
      <c r="BP43" s="16"/>
      <c r="BQ43" s="186"/>
      <c r="BR43" s="184"/>
      <c r="BW43" s="16"/>
      <c r="BX43" s="186"/>
      <c r="BY43" s="184"/>
      <c r="CD43" s="16"/>
      <c r="CE43" s="186"/>
      <c r="CF43" s="184"/>
      <c r="CK43" s="16"/>
      <c r="CL43" s="186"/>
      <c r="CM43" s="184"/>
      <c r="CR43" s="16"/>
      <c r="CS43" s="186"/>
      <c r="CT43" s="184"/>
      <c r="CY43" s="16"/>
      <c r="CZ43" s="186"/>
      <c r="DA43" s="184"/>
      <c r="DF43" s="16"/>
      <c r="DG43" s="186"/>
      <c r="DH43" s="184"/>
      <c r="DM43" s="16"/>
      <c r="DN43" s="186"/>
      <c r="DO43" s="184"/>
      <c r="DT43" s="16"/>
      <c r="DU43" s="186"/>
      <c r="DV43" s="184"/>
      <c r="EA43" s="16"/>
      <c r="EB43" s="186"/>
      <c r="EC43" s="184"/>
      <c r="EH43" s="16"/>
      <c r="EI43" s="186"/>
      <c r="EJ43" s="184"/>
      <c r="EO43" s="16"/>
      <c r="EP43" s="186"/>
      <c r="EQ43" s="184"/>
      <c r="EV43" s="16"/>
      <c r="EW43" s="186"/>
      <c r="EX43" s="184"/>
      <c r="FC43" s="16"/>
      <c r="FD43" s="186"/>
      <c r="FE43" s="184"/>
      <c r="FJ43" s="16"/>
      <c r="FK43" s="186"/>
      <c r="FL43" s="184"/>
      <c r="FQ43" s="16"/>
      <c r="FR43" s="186"/>
      <c r="FS43" s="184"/>
      <c r="FX43" s="16"/>
      <c r="FY43" s="186"/>
      <c r="FZ43" s="184"/>
      <c r="GE43" s="16"/>
      <c r="GF43" s="186"/>
      <c r="GG43" s="184"/>
      <c r="GL43" s="16"/>
      <c r="GM43" s="186"/>
      <c r="GN43" s="184"/>
      <c r="GS43" s="16"/>
      <c r="GT43" s="186"/>
      <c r="GU43" s="184"/>
      <c r="GZ43" s="16"/>
      <c r="HA43" s="186"/>
      <c r="HB43" s="184"/>
      <c r="HG43" s="16"/>
      <c r="HH43" s="186"/>
      <c r="HI43" s="184"/>
      <c r="HN43" s="16"/>
      <c r="HO43" s="186"/>
      <c r="HP43" s="184"/>
      <c r="HU43" s="16"/>
      <c r="HV43" s="186"/>
      <c r="HW43" s="184"/>
      <c r="IB43" s="16"/>
      <c r="IC43" s="186"/>
      <c r="ID43" s="184"/>
      <c r="II43" s="16"/>
      <c r="IJ43" s="186"/>
      <c r="IK43" s="184"/>
      <c r="IP43" s="16"/>
      <c r="IQ43" s="186"/>
      <c r="IR43" s="184"/>
      <c r="IW43" s="16"/>
      <c r="IX43" s="186"/>
      <c r="IY43" s="184"/>
      <c r="JD43" s="16"/>
      <c r="JE43" s="186"/>
      <c r="JF43" s="184"/>
      <c r="JK43" s="16"/>
      <c r="JL43" s="186"/>
      <c r="JM43" s="184"/>
      <c r="JR43" s="16"/>
      <c r="JS43" s="186"/>
      <c r="JT43" s="184"/>
      <c r="JY43" s="16"/>
      <c r="JZ43" s="186"/>
      <c r="KA43" s="184"/>
      <c r="KF43" s="16"/>
      <c r="KG43" s="186"/>
      <c r="KH43" s="184"/>
      <c r="KM43" s="16"/>
      <c r="KN43" s="186"/>
      <c r="KO43" s="184"/>
      <c r="KT43" s="16"/>
      <c r="KU43" s="186"/>
      <c r="KV43" s="184"/>
      <c r="LA43" s="16"/>
      <c r="LB43" s="186"/>
      <c r="LC43" s="184"/>
      <c r="LH43" s="16"/>
      <c r="LI43" s="186"/>
      <c r="LJ43" s="184"/>
      <c r="LO43" s="16"/>
      <c r="LP43" s="186"/>
      <c r="LQ43" s="184"/>
      <c r="LV43" s="16"/>
      <c r="LW43" s="186"/>
      <c r="LX43" s="184"/>
      <c r="MC43" s="16"/>
      <c r="MD43" s="186"/>
      <c r="ME43" s="184"/>
      <c r="MJ43" s="16"/>
      <c r="MK43" s="186"/>
      <c r="ML43" s="184"/>
      <c r="MQ43" s="16"/>
      <c r="MR43" s="186"/>
      <c r="MS43" s="184"/>
      <c r="MX43" s="16"/>
      <c r="MY43" s="186"/>
      <c r="MZ43" s="184"/>
      <c r="NC43" s="194"/>
    </row>
    <row r="44" spans="1:367" x14ac:dyDescent="0.3">
      <c r="A44" s="220"/>
      <c r="B44" s="269"/>
      <c r="C44" s="200" t="s">
        <v>9</v>
      </c>
      <c r="D44" s="200" t="s">
        <v>9</v>
      </c>
      <c r="E44" s="16"/>
      <c r="F44" s="186"/>
      <c r="G44" s="184"/>
      <c r="L44" s="16"/>
      <c r="M44" s="186"/>
      <c r="N44" s="200" t="s">
        <v>9</v>
      </c>
      <c r="O44" s="200" t="s">
        <v>9</v>
      </c>
      <c r="P44" s="200" t="s">
        <v>9</v>
      </c>
      <c r="Q44" s="223">
        <v>3364</v>
      </c>
      <c r="R44" s="223">
        <v>3364</v>
      </c>
      <c r="S44" s="16"/>
      <c r="T44" s="186"/>
      <c r="U44" s="223">
        <v>3364</v>
      </c>
      <c r="V44" s="223">
        <v>3364</v>
      </c>
      <c r="W44" s="223">
        <v>3364</v>
      </c>
      <c r="X44" s="213" t="s">
        <v>7</v>
      </c>
      <c r="Y44" s="213" t="s">
        <v>7</v>
      </c>
      <c r="Z44" s="16"/>
      <c r="AA44" s="186"/>
      <c r="AB44" s="223">
        <v>3364</v>
      </c>
      <c r="AC44" s="223">
        <v>3364</v>
      </c>
      <c r="AD44" s="223">
        <v>3364</v>
      </c>
      <c r="AE44" s="213" t="s">
        <v>7</v>
      </c>
      <c r="AF44" s="213" t="s">
        <v>7</v>
      </c>
      <c r="AG44" s="16"/>
      <c r="AH44" s="186"/>
      <c r="AI44" s="200" t="s">
        <v>25</v>
      </c>
      <c r="AJ44" s="223">
        <v>3364</v>
      </c>
      <c r="AK44" s="223">
        <v>3364</v>
      </c>
      <c r="AL44" s="223">
        <v>3364</v>
      </c>
      <c r="AM44" s="223">
        <v>3364</v>
      </c>
      <c r="AN44" s="16"/>
      <c r="AO44" s="186"/>
      <c r="AP44" s="213" t="s">
        <v>7</v>
      </c>
      <c r="AQ44" s="213" t="s">
        <v>7</v>
      </c>
      <c r="AR44" s="213" t="s">
        <v>7</v>
      </c>
      <c r="AS44" s="213" t="s">
        <v>7</v>
      </c>
      <c r="AT44" s="213" t="s">
        <v>7</v>
      </c>
      <c r="AU44" s="16"/>
      <c r="AV44" s="186"/>
      <c r="AW44" s="213" t="s">
        <v>7</v>
      </c>
      <c r="AX44" s="213" t="s">
        <v>7</v>
      </c>
      <c r="AY44" s="213" t="s">
        <v>7</v>
      </c>
      <c r="AZ44" s="213" t="s">
        <v>7</v>
      </c>
      <c r="BA44" s="213" t="s">
        <v>7</v>
      </c>
      <c r="BB44" s="16"/>
      <c r="BC44" s="186"/>
      <c r="BD44" s="213" t="s">
        <v>7</v>
      </c>
      <c r="BE44" s="213" t="s">
        <v>7</v>
      </c>
      <c r="BF44" s="213" t="s">
        <v>7</v>
      </c>
      <c r="BG44" s="213" t="s">
        <v>7</v>
      </c>
      <c r="BH44" s="213" t="s">
        <v>7</v>
      </c>
      <c r="BI44" s="16"/>
      <c r="BJ44" s="186"/>
      <c r="BK44" s="213" t="s">
        <v>7</v>
      </c>
      <c r="BL44" s="213" t="s">
        <v>7</v>
      </c>
      <c r="BM44" s="213" t="s">
        <v>7</v>
      </c>
      <c r="BN44" s="213" t="s">
        <v>7</v>
      </c>
      <c r="BO44" s="213" t="s">
        <v>7</v>
      </c>
      <c r="BP44" s="16"/>
      <c r="BQ44" s="186"/>
      <c r="BR44" s="184"/>
      <c r="BW44" s="16"/>
      <c r="BX44" s="186"/>
      <c r="BY44" s="184"/>
      <c r="CD44" s="16"/>
      <c r="CE44" s="186"/>
      <c r="CF44" s="184"/>
      <c r="CK44" s="16"/>
      <c r="CL44" s="186"/>
      <c r="CM44" s="184"/>
      <c r="CR44" s="16"/>
      <c r="CS44" s="186"/>
      <c r="CT44" s="184"/>
      <c r="CY44" s="16"/>
      <c r="CZ44" s="186"/>
      <c r="DA44" s="184"/>
      <c r="DF44" s="16"/>
      <c r="DG44" s="186"/>
      <c r="DH44" s="184"/>
      <c r="DM44" s="16"/>
      <c r="DN44" s="186"/>
      <c r="DO44" s="184"/>
      <c r="DT44" s="16"/>
      <c r="DU44" s="186"/>
      <c r="DV44" s="184"/>
      <c r="EA44" s="16"/>
      <c r="EB44" s="186"/>
      <c r="EC44" s="184"/>
      <c r="EH44" s="16"/>
      <c r="EI44" s="186"/>
      <c r="EJ44" s="184"/>
      <c r="EO44" s="16"/>
      <c r="EP44" s="186"/>
      <c r="EQ44" s="184"/>
      <c r="EV44" s="16"/>
      <c r="EW44" s="186"/>
      <c r="EX44" s="184"/>
      <c r="FC44" s="16"/>
      <c r="FD44" s="186"/>
      <c r="FE44" s="184"/>
      <c r="FJ44" s="16"/>
      <c r="FK44" s="186"/>
      <c r="FL44" s="184"/>
      <c r="FQ44" s="16"/>
      <c r="FR44" s="186"/>
      <c r="FS44" s="184"/>
      <c r="FX44" s="16"/>
      <c r="FY44" s="186"/>
      <c r="FZ44" s="184"/>
      <c r="GE44" s="16"/>
      <c r="GF44" s="186"/>
      <c r="GG44" s="184"/>
      <c r="GL44" s="16"/>
      <c r="GM44" s="186"/>
      <c r="GN44" s="184"/>
      <c r="GS44" s="16"/>
      <c r="GT44" s="186"/>
      <c r="GU44" s="184"/>
      <c r="GZ44" s="16"/>
      <c r="HA44" s="186"/>
      <c r="HB44" s="184"/>
      <c r="HG44" s="16"/>
      <c r="HH44" s="186"/>
      <c r="HI44" s="184"/>
      <c r="HN44" s="16"/>
      <c r="HO44" s="186"/>
      <c r="HP44" s="184"/>
      <c r="HU44" s="16"/>
      <c r="HV44" s="186"/>
      <c r="HW44" s="184"/>
      <c r="IB44" s="16"/>
      <c r="IC44" s="186"/>
      <c r="ID44" s="184"/>
      <c r="II44" s="16"/>
      <c r="IJ44" s="186"/>
      <c r="IK44" s="184"/>
      <c r="IP44" s="16"/>
      <c r="IQ44" s="186"/>
      <c r="IR44" s="184"/>
      <c r="IW44" s="16"/>
      <c r="IX44" s="186"/>
      <c r="IY44" s="184"/>
      <c r="JD44" s="16"/>
      <c r="JE44" s="186"/>
      <c r="JF44" s="184"/>
      <c r="JK44" s="16"/>
      <c r="JL44" s="186"/>
      <c r="JM44" s="184"/>
      <c r="JR44" s="16"/>
      <c r="JS44" s="186"/>
      <c r="JT44" s="184"/>
      <c r="JY44" s="16"/>
      <c r="JZ44" s="186"/>
      <c r="KA44" s="184"/>
      <c r="KF44" s="16"/>
      <c r="KG44" s="186"/>
      <c r="KH44" s="184"/>
      <c r="KM44" s="16"/>
      <c r="KN44" s="186"/>
      <c r="KO44" s="184"/>
      <c r="KT44" s="16"/>
      <c r="KU44" s="186"/>
      <c r="KV44" s="184"/>
      <c r="LA44" s="16"/>
      <c r="LB44" s="186"/>
      <c r="LC44" s="184"/>
      <c r="LH44" s="16"/>
      <c r="LI44" s="186"/>
      <c r="LJ44" s="184"/>
      <c r="LO44" s="16"/>
      <c r="LP44" s="186"/>
      <c r="LQ44" s="184"/>
      <c r="LV44" s="16"/>
      <c r="LW44" s="186"/>
      <c r="LX44" s="184"/>
      <c r="MC44" s="16"/>
      <c r="MD44" s="186"/>
      <c r="ME44" s="184"/>
      <c r="MJ44" s="16"/>
      <c r="MK44" s="186"/>
      <c r="ML44" s="184"/>
      <c r="MQ44" s="16"/>
      <c r="MR44" s="186"/>
      <c r="MS44" s="184"/>
      <c r="MX44" s="16"/>
      <c r="MY44" s="186"/>
      <c r="MZ44" s="184"/>
      <c r="NC44" s="194"/>
    </row>
    <row r="45" spans="1:367" x14ac:dyDescent="0.3">
      <c r="A45" s="220"/>
      <c r="B45" s="269"/>
      <c r="C45" s="200" t="s">
        <v>9</v>
      </c>
      <c r="D45" s="200" t="s">
        <v>9</v>
      </c>
      <c r="E45" s="16"/>
      <c r="F45" s="186"/>
      <c r="G45" s="184"/>
      <c r="L45" s="16"/>
      <c r="M45" s="186"/>
      <c r="N45" s="200" t="s">
        <v>9</v>
      </c>
      <c r="O45" s="200" t="s">
        <v>9</v>
      </c>
      <c r="P45" s="200" t="s">
        <v>9</v>
      </c>
      <c r="Q45" s="223">
        <v>3364</v>
      </c>
      <c r="R45" s="223">
        <v>3364</v>
      </c>
      <c r="S45" s="16"/>
      <c r="T45" s="186"/>
      <c r="U45" s="223">
        <v>3364</v>
      </c>
      <c r="V45" s="223">
        <v>3364</v>
      </c>
      <c r="W45" s="223">
        <v>3364</v>
      </c>
      <c r="X45" s="213" t="s">
        <v>7</v>
      </c>
      <c r="Y45" s="213" t="s">
        <v>7</v>
      </c>
      <c r="Z45" s="16"/>
      <c r="AA45" s="186"/>
      <c r="AB45" s="223">
        <v>3364</v>
      </c>
      <c r="AC45" s="223">
        <v>3364</v>
      </c>
      <c r="AD45" s="223">
        <v>3364</v>
      </c>
      <c r="AE45" s="213" t="s">
        <v>7</v>
      </c>
      <c r="AF45" s="213" t="s">
        <v>7</v>
      </c>
      <c r="AG45" s="16"/>
      <c r="AH45" s="186"/>
      <c r="AI45" s="200" t="s">
        <v>25</v>
      </c>
      <c r="AJ45" s="223">
        <v>3364</v>
      </c>
      <c r="AK45" s="223">
        <v>3364</v>
      </c>
      <c r="AL45" s="223">
        <v>3364</v>
      </c>
      <c r="AM45" s="213" t="s">
        <v>7</v>
      </c>
      <c r="AN45" s="16"/>
      <c r="AO45" s="186"/>
      <c r="AP45" s="213" t="s">
        <v>7</v>
      </c>
      <c r="AQ45" s="213" t="s">
        <v>7</v>
      </c>
      <c r="AR45" s="213" t="s">
        <v>7</v>
      </c>
      <c r="AS45" s="213" t="s">
        <v>7</v>
      </c>
      <c r="AT45" s="213" t="s">
        <v>7</v>
      </c>
      <c r="AU45" s="16"/>
      <c r="AV45" s="186"/>
      <c r="AW45" s="213" t="s">
        <v>7</v>
      </c>
      <c r="AX45" s="213" t="s">
        <v>7</v>
      </c>
      <c r="AY45" s="213" t="s">
        <v>7</v>
      </c>
      <c r="AZ45" s="213" t="s">
        <v>7</v>
      </c>
      <c r="BA45" s="213" t="s">
        <v>7</v>
      </c>
      <c r="BB45" s="16"/>
      <c r="BC45" s="186"/>
      <c r="BD45" s="213" t="s">
        <v>7</v>
      </c>
      <c r="BE45" s="213" t="s">
        <v>7</v>
      </c>
      <c r="BF45" s="213" t="s">
        <v>7</v>
      </c>
      <c r="BG45" s="213" t="s">
        <v>7</v>
      </c>
      <c r="BH45" s="213" t="s">
        <v>7</v>
      </c>
      <c r="BI45" s="16"/>
      <c r="BJ45" s="186"/>
      <c r="BK45" s="213" t="s">
        <v>7</v>
      </c>
      <c r="BL45" s="213" t="s">
        <v>7</v>
      </c>
      <c r="BM45" s="213" t="s">
        <v>7</v>
      </c>
      <c r="BN45" s="213" t="s">
        <v>7</v>
      </c>
      <c r="BO45" s="213" t="s">
        <v>7</v>
      </c>
      <c r="BP45" s="16"/>
      <c r="BQ45" s="186"/>
      <c r="BR45" s="184"/>
      <c r="BW45" s="16"/>
      <c r="BX45" s="186"/>
      <c r="BY45" s="184"/>
      <c r="CD45" s="16"/>
      <c r="CE45" s="186"/>
      <c r="CF45" s="184"/>
      <c r="CK45" s="16"/>
      <c r="CL45" s="186"/>
      <c r="CM45" s="184"/>
      <c r="CR45" s="16"/>
      <c r="CS45" s="186"/>
      <c r="CT45" s="184"/>
      <c r="CY45" s="16"/>
      <c r="CZ45" s="186"/>
      <c r="DA45" s="184"/>
      <c r="DF45" s="16"/>
      <c r="DG45" s="186"/>
      <c r="DH45" s="184"/>
      <c r="DM45" s="16"/>
      <c r="DN45" s="186"/>
      <c r="DO45" s="184"/>
      <c r="DT45" s="16"/>
      <c r="DU45" s="186"/>
      <c r="DV45" s="184"/>
      <c r="EA45" s="16"/>
      <c r="EB45" s="186"/>
      <c r="EC45" s="184"/>
      <c r="EH45" s="16"/>
      <c r="EI45" s="186"/>
      <c r="EJ45" s="184"/>
      <c r="EO45" s="16"/>
      <c r="EP45" s="186"/>
      <c r="EQ45" s="184"/>
      <c r="EV45" s="16"/>
      <c r="EW45" s="186"/>
      <c r="EX45" s="184"/>
      <c r="FC45" s="16"/>
      <c r="FD45" s="186"/>
      <c r="FE45" s="184"/>
      <c r="FJ45" s="16"/>
      <c r="FK45" s="186"/>
      <c r="FL45" s="184"/>
      <c r="FQ45" s="16"/>
      <c r="FR45" s="186"/>
      <c r="FS45" s="184"/>
      <c r="FX45" s="16"/>
      <c r="FY45" s="186"/>
      <c r="FZ45" s="184"/>
      <c r="GE45" s="16"/>
      <c r="GF45" s="186"/>
      <c r="GG45" s="184"/>
      <c r="GL45" s="16"/>
      <c r="GM45" s="186"/>
      <c r="GN45" s="184"/>
      <c r="GS45" s="16"/>
      <c r="GT45" s="186"/>
      <c r="GU45" s="184"/>
      <c r="GZ45" s="16"/>
      <c r="HA45" s="186"/>
      <c r="HB45" s="184"/>
      <c r="HG45" s="16"/>
      <c r="HH45" s="186"/>
      <c r="HI45" s="184"/>
      <c r="HN45" s="16"/>
      <c r="HO45" s="186"/>
      <c r="HP45" s="184"/>
      <c r="HU45" s="16"/>
      <c r="HV45" s="186"/>
      <c r="HW45" s="184"/>
      <c r="IB45" s="16"/>
      <c r="IC45" s="186"/>
      <c r="ID45" s="184"/>
      <c r="II45" s="16"/>
      <c r="IJ45" s="186"/>
      <c r="IK45" s="184"/>
      <c r="IP45" s="16"/>
      <c r="IQ45" s="186"/>
      <c r="IR45" s="184"/>
      <c r="IW45" s="16"/>
      <c r="IX45" s="186"/>
      <c r="IY45" s="184"/>
      <c r="JD45" s="16"/>
      <c r="JE45" s="186"/>
      <c r="JF45" s="184"/>
      <c r="JK45" s="16"/>
      <c r="JL45" s="186"/>
      <c r="JM45" s="184"/>
      <c r="JR45" s="16"/>
      <c r="JS45" s="186"/>
      <c r="JT45" s="184"/>
      <c r="JY45" s="16"/>
      <c r="JZ45" s="186"/>
      <c r="KA45" s="184"/>
      <c r="KF45" s="16"/>
      <c r="KG45" s="186"/>
      <c r="KH45" s="184"/>
      <c r="KM45" s="16"/>
      <c r="KN45" s="186"/>
      <c r="KO45" s="184"/>
      <c r="KT45" s="16"/>
      <c r="KU45" s="186"/>
      <c r="KV45" s="184"/>
      <c r="LA45" s="16"/>
      <c r="LB45" s="186"/>
      <c r="LC45" s="184"/>
      <c r="LH45" s="16"/>
      <c r="LI45" s="186"/>
      <c r="LJ45" s="184"/>
      <c r="LO45" s="16"/>
      <c r="LP45" s="186"/>
      <c r="LQ45" s="184"/>
      <c r="LV45" s="16"/>
      <c r="LW45" s="186"/>
      <c r="LX45" s="184"/>
      <c r="MC45" s="16"/>
      <c r="MD45" s="186"/>
      <c r="ME45" s="184"/>
      <c r="MJ45" s="16"/>
      <c r="MK45" s="186"/>
      <c r="ML45" s="184"/>
      <c r="MQ45" s="16"/>
      <c r="MR45" s="186"/>
      <c r="MS45" s="184"/>
      <c r="MX45" s="16"/>
      <c r="MY45" s="186"/>
      <c r="MZ45" s="184"/>
      <c r="NC45" s="194"/>
    </row>
    <row r="46" spans="1:367" x14ac:dyDescent="0.3">
      <c r="A46" s="220"/>
      <c r="B46" s="269"/>
      <c r="C46" s="200" t="s">
        <v>9</v>
      </c>
      <c r="D46" s="200" t="s">
        <v>9</v>
      </c>
      <c r="E46" s="16"/>
      <c r="F46" s="186"/>
      <c r="G46" s="184"/>
      <c r="L46" s="16"/>
      <c r="M46" s="186"/>
      <c r="N46" s="200" t="s">
        <v>9</v>
      </c>
      <c r="O46" s="200" t="s">
        <v>9</v>
      </c>
      <c r="P46" s="200" t="s">
        <v>9</v>
      </c>
      <c r="Q46" s="223">
        <v>3364</v>
      </c>
      <c r="R46" s="223">
        <v>3364</v>
      </c>
      <c r="S46" s="16"/>
      <c r="T46" s="186"/>
      <c r="U46" s="223">
        <v>3364</v>
      </c>
      <c r="V46" s="223">
        <v>3364</v>
      </c>
      <c r="W46" s="223">
        <v>3364</v>
      </c>
      <c r="X46" s="213" t="s">
        <v>7</v>
      </c>
      <c r="Y46" s="213" t="s">
        <v>7</v>
      </c>
      <c r="Z46" s="16"/>
      <c r="AA46" s="186"/>
      <c r="AB46" s="223">
        <v>3364</v>
      </c>
      <c r="AC46" s="223">
        <v>3364</v>
      </c>
      <c r="AD46" s="223">
        <v>3364</v>
      </c>
      <c r="AE46" s="213" t="s">
        <v>7</v>
      </c>
      <c r="AF46" s="213" t="s">
        <v>7</v>
      </c>
      <c r="AG46" s="16"/>
      <c r="AH46" s="186"/>
      <c r="AI46" s="200" t="s">
        <v>25</v>
      </c>
      <c r="AJ46" s="223">
        <v>3364</v>
      </c>
      <c r="AK46" s="223">
        <v>3364</v>
      </c>
      <c r="AL46" s="223">
        <v>3364</v>
      </c>
      <c r="AM46" s="213" t="s">
        <v>7</v>
      </c>
      <c r="AN46" s="16"/>
      <c r="AO46" s="186"/>
      <c r="AP46" s="213" t="s">
        <v>7</v>
      </c>
      <c r="AQ46" s="213" t="s">
        <v>7</v>
      </c>
      <c r="AR46" s="213" t="s">
        <v>7</v>
      </c>
      <c r="AS46" s="213" t="s">
        <v>7</v>
      </c>
      <c r="AT46" s="213" t="s">
        <v>7</v>
      </c>
      <c r="AU46" s="16"/>
      <c r="AV46" s="186"/>
      <c r="AW46" s="213" t="s">
        <v>7</v>
      </c>
      <c r="AX46" s="213" t="s">
        <v>7</v>
      </c>
      <c r="AY46" s="213" t="s">
        <v>7</v>
      </c>
      <c r="AZ46" s="213" t="s">
        <v>7</v>
      </c>
      <c r="BA46" s="213" t="s">
        <v>7</v>
      </c>
      <c r="BB46" s="16"/>
      <c r="BC46" s="186"/>
      <c r="BD46" s="213" t="s">
        <v>7</v>
      </c>
      <c r="BE46" s="213" t="s">
        <v>7</v>
      </c>
      <c r="BF46" s="213" t="s">
        <v>7</v>
      </c>
      <c r="BG46" s="213" t="s">
        <v>7</v>
      </c>
      <c r="BH46" s="213" t="s">
        <v>7</v>
      </c>
      <c r="BI46" s="16"/>
      <c r="BJ46" s="186"/>
      <c r="BK46" s="213" t="s">
        <v>7</v>
      </c>
      <c r="BL46" s="213" t="s">
        <v>7</v>
      </c>
      <c r="BM46" s="213" t="s">
        <v>7</v>
      </c>
      <c r="BN46" s="213" t="s">
        <v>7</v>
      </c>
      <c r="BO46" s="213" t="s">
        <v>7</v>
      </c>
      <c r="BP46" s="16"/>
      <c r="BQ46" s="186"/>
      <c r="BR46" s="184"/>
      <c r="BW46" s="16"/>
      <c r="BX46" s="186"/>
      <c r="BY46" s="184"/>
      <c r="CD46" s="16"/>
      <c r="CE46" s="186"/>
      <c r="CF46" s="184"/>
      <c r="CK46" s="16"/>
      <c r="CL46" s="186"/>
      <c r="CM46" s="184"/>
      <c r="CR46" s="16"/>
      <c r="CS46" s="186"/>
      <c r="CT46" s="184"/>
      <c r="CY46" s="16"/>
      <c r="CZ46" s="186"/>
      <c r="DA46" s="184"/>
      <c r="DF46" s="16"/>
      <c r="DG46" s="186"/>
      <c r="DH46" s="184"/>
      <c r="DM46" s="16"/>
      <c r="DN46" s="186"/>
      <c r="DO46" s="184"/>
      <c r="DT46" s="16"/>
      <c r="DU46" s="186"/>
      <c r="DV46" s="184"/>
      <c r="EA46" s="16"/>
      <c r="EB46" s="186"/>
      <c r="EC46" s="184"/>
      <c r="EH46" s="16"/>
      <c r="EI46" s="186"/>
      <c r="EJ46" s="184"/>
      <c r="EO46" s="16"/>
      <c r="EP46" s="186"/>
      <c r="EQ46" s="184"/>
      <c r="EV46" s="16"/>
      <c r="EW46" s="186"/>
      <c r="EX46" s="184"/>
      <c r="FC46" s="16"/>
      <c r="FD46" s="186"/>
      <c r="FE46" s="184"/>
      <c r="FJ46" s="16"/>
      <c r="FK46" s="186"/>
      <c r="FL46" s="184"/>
      <c r="FQ46" s="16"/>
      <c r="FR46" s="186"/>
      <c r="FS46" s="184"/>
      <c r="FX46" s="16"/>
      <c r="FY46" s="186"/>
      <c r="FZ46" s="184"/>
      <c r="GE46" s="16"/>
      <c r="GF46" s="186"/>
      <c r="GG46" s="184"/>
      <c r="GL46" s="16"/>
      <c r="GM46" s="186"/>
      <c r="GN46" s="184"/>
      <c r="GS46" s="16"/>
      <c r="GT46" s="186"/>
      <c r="GU46" s="184"/>
      <c r="GZ46" s="16"/>
      <c r="HA46" s="186"/>
      <c r="HB46" s="184"/>
      <c r="HG46" s="16"/>
      <c r="HH46" s="186"/>
      <c r="HI46" s="184"/>
      <c r="HN46" s="16"/>
      <c r="HO46" s="186"/>
      <c r="HP46" s="184"/>
      <c r="HU46" s="16"/>
      <c r="HV46" s="186"/>
      <c r="HW46" s="184"/>
      <c r="IB46" s="16"/>
      <c r="IC46" s="186"/>
      <c r="ID46" s="184"/>
      <c r="II46" s="16"/>
      <c r="IJ46" s="186"/>
      <c r="IK46" s="184"/>
      <c r="IP46" s="16"/>
      <c r="IQ46" s="186"/>
      <c r="IR46" s="184"/>
      <c r="IW46" s="16"/>
      <c r="IX46" s="186"/>
      <c r="IY46" s="184"/>
      <c r="JD46" s="16"/>
      <c r="JE46" s="186"/>
      <c r="JF46" s="184"/>
      <c r="JK46" s="16"/>
      <c r="JL46" s="186"/>
      <c r="JM46" s="184"/>
      <c r="JR46" s="16"/>
      <c r="JS46" s="186"/>
      <c r="JT46" s="184"/>
      <c r="JY46" s="16"/>
      <c r="JZ46" s="186"/>
      <c r="KA46" s="184"/>
      <c r="KF46" s="16"/>
      <c r="KG46" s="186"/>
      <c r="KH46" s="184"/>
      <c r="KM46" s="16"/>
      <c r="KN46" s="186"/>
      <c r="KO46" s="184"/>
      <c r="KT46" s="16"/>
      <c r="KU46" s="186"/>
      <c r="KV46" s="184"/>
      <c r="LA46" s="16"/>
      <c r="LB46" s="186"/>
      <c r="LC46" s="184"/>
      <c r="LH46" s="16"/>
      <c r="LI46" s="186"/>
      <c r="LJ46" s="184"/>
      <c r="LO46" s="16"/>
      <c r="LP46" s="186"/>
      <c r="LQ46" s="184"/>
      <c r="LV46" s="16"/>
      <c r="LW46" s="186"/>
      <c r="LX46" s="184"/>
      <c r="MC46" s="16"/>
      <c r="MD46" s="186"/>
      <c r="ME46" s="184"/>
      <c r="MJ46" s="16"/>
      <c r="MK46" s="186"/>
      <c r="ML46" s="184"/>
      <c r="MQ46" s="16"/>
      <c r="MR46" s="186"/>
      <c r="MS46" s="184"/>
      <c r="MX46" s="16"/>
      <c r="MY46" s="186"/>
      <c r="MZ46" s="184"/>
      <c r="NC46" s="194"/>
    </row>
    <row r="47" spans="1:367" x14ac:dyDescent="0.3">
      <c r="A47" s="220"/>
      <c r="B47" s="269"/>
      <c r="C47" s="200" t="s">
        <v>9</v>
      </c>
      <c r="D47" s="200" t="s">
        <v>9</v>
      </c>
      <c r="E47" s="16"/>
      <c r="F47" s="186"/>
      <c r="G47" s="184"/>
      <c r="L47" s="16"/>
      <c r="M47" s="186"/>
      <c r="N47" s="200" t="s">
        <v>9</v>
      </c>
      <c r="O47" s="200" t="s">
        <v>9</v>
      </c>
      <c r="P47" s="200" t="s">
        <v>9</v>
      </c>
      <c r="Q47" s="223">
        <v>3364</v>
      </c>
      <c r="R47" s="223">
        <v>3364</v>
      </c>
      <c r="S47" s="16"/>
      <c r="T47" s="186"/>
      <c r="U47" s="223">
        <v>3364</v>
      </c>
      <c r="V47" s="223">
        <v>3364</v>
      </c>
      <c r="W47" s="223">
        <v>3364</v>
      </c>
      <c r="X47" s="223">
        <v>3364</v>
      </c>
      <c r="Y47" s="213" t="s">
        <v>7</v>
      </c>
      <c r="Z47" s="16"/>
      <c r="AA47" s="186"/>
      <c r="AB47" s="223">
        <v>3364</v>
      </c>
      <c r="AC47" s="223">
        <v>3364</v>
      </c>
      <c r="AD47" s="223">
        <v>3364</v>
      </c>
      <c r="AE47" s="213" t="s">
        <v>7</v>
      </c>
      <c r="AF47" s="213" t="s">
        <v>7</v>
      </c>
      <c r="AG47" s="16"/>
      <c r="AH47" s="186"/>
      <c r="AI47" s="200" t="s">
        <v>25</v>
      </c>
      <c r="AJ47" s="223">
        <v>3364</v>
      </c>
      <c r="AK47" s="223">
        <v>3364</v>
      </c>
      <c r="AL47" s="223">
        <v>3364</v>
      </c>
      <c r="AM47" s="213" t="s">
        <v>7</v>
      </c>
      <c r="AN47" s="16"/>
      <c r="AO47" s="186"/>
      <c r="AP47" s="213" t="s">
        <v>7</v>
      </c>
      <c r="AQ47" s="213" t="s">
        <v>7</v>
      </c>
      <c r="AR47" s="213" t="s">
        <v>7</v>
      </c>
      <c r="AS47" s="213" t="s">
        <v>7</v>
      </c>
      <c r="AT47" s="213" t="s">
        <v>7</v>
      </c>
      <c r="AU47" s="16"/>
      <c r="AV47" s="186"/>
      <c r="AW47" s="213" t="s">
        <v>7</v>
      </c>
      <c r="AX47" s="213" t="s">
        <v>7</v>
      </c>
      <c r="AY47" s="213" t="s">
        <v>7</v>
      </c>
      <c r="AZ47" s="213" t="s">
        <v>7</v>
      </c>
      <c r="BA47" s="213" t="s">
        <v>7</v>
      </c>
      <c r="BB47" s="16"/>
      <c r="BC47" s="186"/>
      <c r="BD47" s="213" t="s">
        <v>7</v>
      </c>
      <c r="BE47" s="213" t="s">
        <v>7</v>
      </c>
      <c r="BF47" s="213" t="s">
        <v>7</v>
      </c>
      <c r="BG47" s="213" t="s">
        <v>7</v>
      </c>
      <c r="BH47" s="213" t="s">
        <v>7</v>
      </c>
      <c r="BI47" s="16"/>
      <c r="BJ47" s="186"/>
      <c r="BK47" s="213" t="s">
        <v>7</v>
      </c>
      <c r="BL47" s="213" t="s">
        <v>7</v>
      </c>
      <c r="BM47" s="213" t="s">
        <v>7</v>
      </c>
      <c r="BN47" s="213" t="s">
        <v>7</v>
      </c>
      <c r="BO47" s="213" t="s">
        <v>7</v>
      </c>
      <c r="BP47" s="16"/>
      <c r="BQ47" s="186"/>
      <c r="BR47" s="184"/>
      <c r="BW47" s="16"/>
      <c r="BX47" s="186"/>
      <c r="BY47" s="184"/>
      <c r="CD47" s="16"/>
      <c r="CE47" s="186"/>
      <c r="CF47" s="184"/>
      <c r="CK47" s="16"/>
      <c r="CL47" s="186"/>
      <c r="CM47" s="184"/>
      <c r="CR47" s="16"/>
      <c r="CS47" s="186"/>
      <c r="CT47" s="184"/>
      <c r="CY47" s="16"/>
      <c r="CZ47" s="186"/>
      <c r="DA47" s="184"/>
      <c r="DF47" s="16"/>
      <c r="DG47" s="186"/>
      <c r="DH47" s="184"/>
      <c r="DM47" s="16"/>
      <c r="DN47" s="186"/>
      <c r="DO47" s="184"/>
      <c r="DT47" s="16"/>
      <c r="DU47" s="186"/>
      <c r="DV47" s="184"/>
      <c r="EA47" s="16"/>
      <c r="EB47" s="186"/>
      <c r="EC47" s="184"/>
      <c r="EH47" s="16"/>
      <c r="EI47" s="186"/>
      <c r="EJ47" s="184"/>
      <c r="EO47" s="16"/>
      <c r="EP47" s="186"/>
      <c r="EQ47" s="184"/>
      <c r="EV47" s="16"/>
      <c r="EW47" s="186"/>
      <c r="EX47" s="184"/>
      <c r="FC47" s="16"/>
      <c r="FD47" s="186"/>
      <c r="FE47" s="184"/>
      <c r="FJ47" s="16"/>
      <c r="FK47" s="186"/>
      <c r="FL47" s="184"/>
      <c r="FQ47" s="16"/>
      <c r="FR47" s="186"/>
      <c r="FS47" s="184"/>
      <c r="FX47" s="16"/>
      <c r="FY47" s="186"/>
      <c r="FZ47" s="184"/>
      <c r="GE47" s="16"/>
      <c r="GF47" s="186"/>
      <c r="GG47" s="184"/>
      <c r="GL47" s="16"/>
      <c r="GM47" s="186"/>
      <c r="GN47" s="184"/>
      <c r="GS47" s="16"/>
      <c r="GT47" s="186"/>
      <c r="GU47" s="184"/>
      <c r="GZ47" s="16"/>
      <c r="HA47" s="186"/>
      <c r="HB47" s="184"/>
      <c r="HG47" s="16"/>
      <c r="HH47" s="186"/>
      <c r="HI47" s="184"/>
      <c r="HN47" s="16"/>
      <c r="HO47" s="186"/>
      <c r="HP47" s="184"/>
      <c r="HU47" s="16"/>
      <c r="HV47" s="186"/>
      <c r="HW47" s="184"/>
      <c r="IB47" s="16"/>
      <c r="IC47" s="186"/>
      <c r="ID47" s="184"/>
      <c r="II47" s="16"/>
      <c r="IJ47" s="186"/>
      <c r="IK47" s="184"/>
      <c r="IP47" s="16"/>
      <c r="IQ47" s="186"/>
      <c r="IR47" s="184"/>
      <c r="IW47" s="16"/>
      <c r="IX47" s="186"/>
      <c r="IY47" s="184"/>
      <c r="JD47" s="16"/>
      <c r="JE47" s="186"/>
      <c r="JF47" s="184"/>
      <c r="JK47" s="16"/>
      <c r="JL47" s="186"/>
      <c r="JM47" s="184"/>
      <c r="JR47" s="16"/>
      <c r="JS47" s="186"/>
      <c r="JT47" s="184"/>
      <c r="JY47" s="16"/>
      <c r="JZ47" s="186"/>
      <c r="KA47" s="184"/>
      <c r="KF47" s="16"/>
      <c r="KG47" s="186"/>
      <c r="KH47" s="184"/>
      <c r="KM47" s="16"/>
      <c r="KN47" s="186"/>
      <c r="KO47" s="184"/>
      <c r="KT47" s="16"/>
      <c r="KU47" s="186"/>
      <c r="KV47" s="184"/>
      <c r="LA47" s="16"/>
      <c r="LB47" s="186"/>
      <c r="LC47" s="184"/>
      <c r="LH47" s="16"/>
      <c r="LI47" s="186"/>
      <c r="LJ47" s="184"/>
      <c r="LO47" s="16"/>
      <c r="LP47" s="186"/>
      <c r="LQ47" s="184"/>
      <c r="LV47" s="16"/>
      <c r="LW47" s="186"/>
      <c r="LX47" s="184"/>
      <c r="MC47" s="16"/>
      <c r="MD47" s="186"/>
      <c r="ME47" s="184"/>
      <c r="MJ47" s="16"/>
      <c r="MK47" s="186"/>
      <c r="ML47" s="184"/>
      <c r="MQ47" s="16"/>
      <c r="MR47" s="186"/>
      <c r="MS47" s="184"/>
      <c r="MX47" s="16"/>
      <c r="MY47" s="186"/>
      <c r="MZ47" s="184"/>
      <c r="NC47" s="194"/>
    </row>
    <row r="48" spans="1:367" x14ac:dyDescent="0.3">
      <c r="A48" s="220"/>
      <c r="B48" s="269"/>
      <c r="C48" s="200" t="s">
        <v>9</v>
      </c>
      <c r="D48" s="200" t="s">
        <v>9</v>
      </c>
      <c r="E48" s="16"/>
      <c r="F48" s="186"/>
      <c r="G48" s="184"/>
      <c r="L48" s="16"/>
      <c r="M48" s="186"/>
      <c r="N48" s="200" t="s">
        <v>9</v>
      </c>
      <c r="O48" s="200" t="s">
        <v>9</v>
      </c>
      <c r="P48" s="200" t="s">
        <v>9</v>
      </c>
      <c r="Q48" s="223">
        <v>3364</v>
      </c>
      <c r="R48" s="223">
        <v>3364</v>
      </c>
      <c r="S48" s="16"/>
      <c r="T48" s="186"/>
      <c r="U48" s="223">
        <v>3364</v>
      </c>
      <c r="V48" s="223">
        <v>3364</v>
      </c>
      <c r="W48" s="223">
        <v>3364</v>
      </c>
      <c r="X48" s="223">
        <v>3364</v>
      </c>
      <c r="Y48" s="213" t="s">
        <v>7</v>
      </c>
      <c r="Z48" s="16"/>
      <c r="AA48" s="186"/>
      <c r="AB48" s="223">
        <v>3364</v>
      </c>
      <c r="AC48" s="223">
        <v>3364</v>
      </c>
      <c r="AD48" s="223">
        <v>3364</v>
      </c>
      <c r="AE48" s="213" t="s">
        <v>7</v>
      </c>
      <c r="AF48" s="213" t="s">
        <v>7</v>
      </c>
      <c r="AG48" s="16"/>
      <c r="AH48" s="186"/>
      <c r="AI48" s="200" t="s">
        <v>25</v>
      </c>
      <c r="AJ48" s="223">
        <v>3364</v>
      </c>
      <c r="AK48" s="223">
        <v>3364</v>
      </c>
      <c r="AL48" s="223">
        <v>3364</v>
      </c>
      <c r="AM48" s="213" t="s">
        <v>7</v>
      </c>
      <c r="AN48" s="16"/>
      <c r="AO48" s="186"/>
      <c r="AP48" s="213" t="s">
        <v>7</v>
      </c>
      <c r="AQ48" s="213" t="s">
        <v>7</v>
      </c>
      <c r="AR48" s="213" t="s">
        <v>7</v>
      </c>
      <c r="AS48" s="213" t="s">
        <v>7</v>
      </c>
      <c r="AT48" s="213" t="s">
        <v>7</v>
      </c>
      <c r="AU48" s="16"/>
      <c r="AV48" s="186"/>
      <c r="AW48" s="213" t="s">
        <v>7</v>
      </c>
      <c r="AX48" s="213" t="s">
        <v>7</v>
      </c>
      <c r="AY48" s="213" t="s">
        <v>7</v>
      </c>
      <c r="AZ48" s="213" t="s">
        <v>7</v>
      </c>
      <c r="BA48" s="213" t="s">
        <v>7</v>
      </c>
      <c r="BB48" s="16"/>
      <c r="BC48" s="186"/>
      <c r="BD48" s="213" t="s">
        <v>7</v>
      </c>
      <c r="BE48" s="213" t="s">
        <v>7</v>
      </c>
      <c r="BF48" s="213" t="s">
        <v>7</v>
      </c>
      <c r="BG48" s="213" t="s">
        <v>7</v>
      </c>
      <c r="BH48" s="213" t="s">
        <v>7</v>
      </c>
      <c r="BI48" s="16"/>
      <c r="BJ48" s="186"/>
      <c r="BK48" s="213" t="s">
        <v>7</v>
      </c>
      <c r="BL48" s="213" t="s">
        <v>7</v>
      </c>
      <c r="BM48" s="213" t="s">
        <v>7</v>
      </c>
      <c r="BN48" s="213" t="s">
        <v>7</v>
      </c>
      <c r="BO48" s="213" t="s">
        <v>7</v>
      </c>
      <c r="BP48" s="16"/>
      <c r="BQ48" s="186"/>
      <c r="BR48" s="184"/>
      <c r="BW48" s="16"/>
      <c r="BX48" s="186"/>
      <c r="BY48" s="184"/>
      <c r="CD48" s="16"/>
      <c r="CE48" s="186"/>
      <c r="CF48" s="184"/>
      <c r="CK48" s="16"/>
      <c r="CL48" s="186"/>
      <c r="CM48" s="184"/>
      <c r="CR48" s="16"/>
      <c r="CS48" s="186"/>
      <c r="CT48" s="184"/>
      <c r="CY48" s="16"/>
      <c r="CZ48" s="186"/>
      <c r="DA48" s="184"/>
      <c r="DF48" s="16"/>
      <c r="DG48" s="186"/>
      <c r="DH48" s="184"/>
      <c r="DM48" s="16"/>
      <c r="DN48" s="186"/>
      <c r="DO48" s="184"/>
      <c r="DT48" s="16"/>
      <c r="DU48" s="186"/>
      <c r="DV48" s="184"/>
      <c r="EA48" s="16"/>
      <c r="EB48" s="186"/>
      <c r="EC48" s="184"/>
      <c r="EH48" s="16"/>
      <c r="EI48" s="186"/>
      <c r="EJ48" s="184"/>
      <c r="EO48" s="16"/>
      <c r="EP48" s="186"/>
      <c r="EQ48" s="184"/>
      <c r="EV48" s="16"/>
      <c r="EW48" s="186"/>
      <c r="EX48" s="184"/>
      <c r="FC48" s="16"/>
      <c r="FD48" s="186"/>
      <c r="FE48" s="184"/>
      <c r="FJ48" s="16"/>
      <c r="FK48" s="186"/>
      <c r="FL48" s="184"/>
      <c r="FQ48" s="16"/>
      <c r="FR48" s="186"/>
      <c r="FS48" s="184"/>
      <c r="FX48" s="16"/>
      <c r="FY48" s="186"/>
      <c r="FZ48" s="184"/>
      <c r="GE48" s="16"/>
      <c r="GF48" s="186"/>
      <c r="GG48" s="184"/>
      <c r="GL48" s="16"/>
      <c r="GM48" s="186"/>
      <c r="GN48" s="184"/>
      <c r="GS48" s="16"/>
      <c r="GT48" s="186"/>
      <c r="GU48" s="184"/>
      <c r="GZ48" s="16"/>
      <c r="HA48" s="186"/>
      <c r="HB48" s="184"/>
      <c r="HG48" s="16"/>
      <c r="HH48" s="186"/>
      <c r="HI48" s="184"/>
      <c r="HN48" s="16"/>
      <c r="HO48" s="186"/>
      <c r="HP48" s="184"/>
      <c r="HU48" s="16"/>
      <c r="HV48" s="186"/>
      <c r="HW48" s="184"/>
      <c r="IB48" s="16"/>
      <c r="IC48" s="186"/>
      <c r="ID48" s="184"/>
      <c r="II48" s="16"/>
      <c r="IJ48" s="186"/>
      <c r="IK48" s="184"/>
      <c r="IP48" s="16"/>
      <c r="IQ48" s="186"/>
      <c r="IR48" s="184"/>
      <c r="IW48" s="16"/>
      <c r="IX48" s="186"/>
      <c r="IY48" s="184"/>
      <c r="JD48" s="16"/>
      <c r="JE48" s="186"/>
      <c r="JF48" s="184"/>
      <c r="JK48" s="16"/>
      <c r="JL48" s="186"/>
      <c r="JM48" s="184"/>
      <c r="JR48" s="16"/>
      <c r="JS48" s="186"/>
      <c r="JT48" s="184"/>
      <c r="JY48" s="16"/>
      <c r="JZ48" s="186"/>
      <c r="KA48" s="184"/>
      <c r="KF48" s="16"/>
      <c r="KG48" s="186"/>
      <c r="KH48" s="184"/>
      <c r="KM48" s="16"/>
      <c r="KN48" s="186"/>
      <c r="KO48" s="184"/>
      <c r="KT48" s="16"/>
      <c r="KU48" s="186"/>
      <c r="KV48" s="184"/>
      <c r="LA48" s="16"/>
      <c r="LB48" s="186"/>
      <c r="LC48" s="184"/>
      <c r="LH48" s="16"/>
      <c r="LI48" s="186"/>
      <c r="LJ48" s="184"/>
      <c r="LO48" s="16"/>
      <c r="LP48" s="186"/>
      <c r="LQ48" s="184"/>
      <c r="LV48" s="16"/>
      <c r="LW48" s="186"/>
      <c r="LX48" s="184"/>
      <c r="MC48" s="16"/>
      <c r="MD48" s="186"/>
      <c r="ME48" s="184"/>
      <c r="MJ48" s="16"/>
      <c r="MK48" s="186"/>
      <c r="ML48" s="184"/>
      <c r="MQ48" s="16"/>
      <c r="MR48" s="186"/>
      <c r="MS48" s="184"/>
      <c r="MX48" s="16"/>
      <c r="MY48" s="186"/>
      <c r="MZ48" s="184"/>
      <c r="NC48" s="194"/>
    </row>
    <row r="49" spans="1:367" x14ac:dyDescent="0.3">
      <c r="A49" s="220"/>
      <c r="B49" s="269"/>
      <c r="C49" s="187"/>
      <c r="D49" s="16"/>
      <c r="E49" s="178"/>
      <c r="F49" s="186"/>
      <c r="G49" s="187"/>
      <c r="H49" s="16"/>
      <c r="I49" s="16"/>
      <c r="J49" s="16"/>
      <c r="K49" s="16"/>
      <c r="L49" s="178"/>
      <c r="M49" s="186"/>
      <c r="N49" s="187"/>
      <c r="O49" s="16"/>
      <c r="P49" s="16"/>
      <c r="Q49" s="16"/>
      <c r="R49" s="16"/>
      <c r="S49" s="178"/>
      <c r="T49" s="186"/>
      <c r="U49" s="187"/>
      <c r="V49" s="16"/>
      <c r="W49" s="16"/>
      <c r="X49" s="16"/>
      <c r="Y49" s="16"/>
      <c r="Z49" s="178"/>
      <c r="AA49" s="186"/>
      <c r="AB49" s="187"/>
      <c r="AC49" s="16"/>
      <c r="AD49" s="16"/>
      <c r="AE49" s="16"/>
      <c r="AF49" s="16"/>
      <c r="AG49" s="178"/>
      <c r="AH49" s="186"/>
      <c r="AI49" s="187"/>
      <c r="AJ49" s="16"/>
      <c r="AK49" s="16"/>
      <c r="AL49" s="16"/>
      <c r="AM49" s="16"/>
      <c r="AN49" s="178"/>
      <c r="AO49" s="186"/>
      <c r="AP49" s="187"/>
      <c r="AQ49" s="16"/>
      <c r="AR49" s="16"/>
      <c r="AS49" s="16"/>
      <c r="AT49" s="16"/>
      <c r="AU49" s="178"/>
      <c r="AV49" s="186"/>
      <c r="AW49" s="187"/>
      <c r="AX49" s="16"/>
      <c r="AY49" s="16"/>
      <c r="AZ49" s="16"/>
      <c r="BA49" s="16"/>
      <c r="BB49" s="178"/>
      <c r="BC49" s="186"/>
      <c r="BD49" s="187"/>
      <c r="BE49" s="16"/>
      <c r="BF49" s="16"/>
      <c r="BG49" s="16"/>
      <c r="BH49" s="16"/>
      <c r="BI49" s="178"/>
      <c r="BJ49" s="186"/>
      <c r="BK49" s="187"/>
      <c r="BL49" s="16"/>
      <c r="BM49" s="16"/>
      <c r="BN49" s="16"/>
      <c r="BO49" s="16"/>
      <c r="BP49" s="178"/>
      <c r="BQ49" s="186"/>
      <c r="BR49" s="187"/>
      <c r="BS49" s="16"/>
      <c r="BT49" s="16"/>
      <c r="BU49" s="16"/>
      <c r="BV49" s="16"/>
      <c r="BW49" s="178"/>
      <c r="BX49" s="186"/>
      <c r="BY49" s="187"/>
      <c r="BZ49" s="16"/>
      <c r="CA49" s="16"/>
      <c r="CB49" s="16"/>
      <c r="CC49" s="16"/>
      <c r="CD49" s="178"/>
      <c r="CE49" s="186"/>
      <c r="CF49" s="187"/>
      <c r="CG49" s="16"/>
      <c r="CH49" s="16"/>
      <c r="CI49" s="16"/>
      <c r="CJ49" s="16"/>
      <c r="CK49" s="178"/>
      <c r="CL49" s="186"/>
      <c r="CM49" s="187"/>
      <c r="CN49" s="16"/>
      <c r="CO49" s="16"/>
      <c r="CP49" s="16"/>
      <c r="CQ49" s="16"/>
      <c r="CR49" s="178"/>
      <c r="CS49" s="186"/>
      <c r="CT49" s="187"/>
      <c r="CU49" s="16"/>
      <c r="CV49" s="16"/>
      <c r="CW49" s="16"/>
      <c r="CX49" s="16"/>
      <c r="CY49" s="178"/>
      <c r="CZ49" s="186"/>
      <c r="DA49" s="187"/>
      <c r="DB49" s="16"/>
      <c r="DC49" s="16"/>
      <c r="DD49" s="16"/>
      <c r="DE49" s="16"/>
      <c r="DF49" s="178"/>
      <c r="DG49" s="186"/>
      <c r="DH49" s="187"/>
      <c r="DI49" s="16"/>
      <c r="DJ49" s="16"/>
      <c r="DK49" s="16"/>
      <c r="DL49" s="16"/>
      <c r="DM49" s="178"/>
      <c r="DN49" s="186"/>
      <c r="DO49" s="187"/>
      <c r="DP49" s="16"/>
      <c r="DQ49" s="16"/>
      <c r="DR49" s="16"/>
      <c r="DS49" s="16"/>
      <c r="DT49" s="178"/>
      <c r="DU49" s="186"/>
      <c r="DV49" s="187"/>
      <c r="DW49" s="16"/>
      <c r="DX49" s="16"/>
      <c r="DY49" s="16"/>
      <c r="DZ49" s="16"/>
      <c r="EA49" s="178"/>
      <c r="EB49" s="186"/>
      <c r="EC49" s="187"/>
      <c r="ED49" s="16"/>
      <c r="EE49" s="16"/>
      <c r="EF49" s="16"/>
      <c r="EG49" s="16"/>
      <c r="EH49" s="178"/>
      <c r="EI49" s="186"/>
      <c r="EJ49" s="187"/>
      <c r="EK49" s="16"/>
      <c r="EL49" s="16"/>
      <c r="EM49" s="16"/>
      <c r="EN49" s="16"/>
      <c r="EO49" s="178"/>
      <c r="EP49" s="186"/>
      <c r="EQ49" s="187"/>
      <c r="ER49" s="16"/>
      <c r="ES49" s="16"/>
      <c r="ET49" s="16"/>
      <c r="EU49" s="16"/>
      <c r="EV49" s="178"/>
      <c r="EW49" s="186"/>
      <c r="EX49" s="187"/>
      <c r="EY49" s="16"/>
      <c r="EZ49" s="16"/>
      <c r="FA49" s="16"/>
      <c r="FB49" s="16"/>
      <c r="FC49" s="178"/>
      <c r="FD49" s="186"/>
      <c r="FE49" s="187"/>
      <c r="FF49" s="16"/>
      <c r="FG49" s="16"/>
      <c r="FH49" s="16"/>
      <c r="FI49" s="16"/>
      <c r="FJ49" s="178"/>
      <c r="FK49" s="186"/>
      <c r="FL49" s="187"/>
      <c r="FM49" s="16"/>
      <c r="FN49" s="16"/>
      <c r="FO49" s="16"/>
      <c r="FP49" s="16"/>
      <c r="FQ49" s="178"/>
      <c r="FR49" s="186"/>
      <c r="FS49" s="187"/>
      <c r="FT49" s="16"/>
      <c r="FU49" s="16"/>
      <c r="FV49" s="16"/>
      <c r="FW49" s="16"/>
      <c r="FX49" s="178"/>
      <c r="FY49" s="186"/>
      <c r="FZ49" s="187"/>
      <c r="GA49" s="16"/>
      <c r="GB49" s="16"/>
      <c r="GC49" s="16"/>
      <c r="GD49" s="16"/>
      <c r="GE49" s="178"/>
      <c r="GF49" s="186"/>
      <c r="GG49" s="187"/>
      <c r="GH49" s="16"/>
      <c r="GI49" s="16"/>
      <c r="GJ49" s="16"/>
      <c r="GK49" s="16"/>
      <c r="GL49" s="178"/>
      <c r="GM49" s="186"/>
      <c r="GN49" s="187"/>
      <c r="GO49" s="16"/>
      <c r="GP49" s="16"/>
      <c r="GQ49" s="16"/>
      <c r="GR49" s="16"/>
      <c r="GS49" s="178"/>
      <c r="GT49" s="186"/>
      <c r="GU49" s="187"/>
      <c r="GV49" s="16"/>
      <c r="GW49" s="16"/>
      <c r="GX49" s="16"/>
      <c r="GY49" s="16"/>
      <c r="GZ49" s="178"/>
      <c r="HA49" s="186"/>
      <c r="HB49" s="187"/>
      <c r="HC49" s="16"/>
      <c r="HD49" s="16"/>
      <c r="HE49" s="16"/>
      <c r="HF49" s="16"/>
      <c r="HG49" s="178"/>
      <c r="HH49" s="186"/>
      <c r="HI49" s="187"/>
      <c r="HJ49" s="16"/>
      <c r="HK49" s="16"/>
      <c r="HL49" s="16"/>
      <c r="HM49" s="16"/>
      <c r="HN49" s="178"/>
      <c r="HO49" s="186"/>
      <c r="HP49" s="187"/>
      <c r="HQ49" s="16"/>
      <c r="HR49" s="16"/>
      <c r="HS49" s="16"/>
      <c r="HT49" s="16"/>
      <c r="HU49" s="178"/>
      <c r="HV49" s="186"/>
      <c r="HW49" s="187"/>
      <c r="HX49" s="16"/>
      <c r="HY49" s="16"/>
      <c r="HZ49" s="16"/>
      <c r="IA49" s="16"/>
      <c r="IB49" s="178"/>
      <c r="IC49" s="186"/>
      <c r="ID49" s="187"/>
      <c r="IE49" s="16"/>
      <c r="IF49" s="16"/>
      <c r="IG49" s="16"/>
      <c r="IH49" s="16"/>
      <c r="II49" s="178"/>
      <c r="IJ49" s="186"/>
      <c r="IK49" s="187"/>
      <c r="IL49" s="16"/>
      <c r="IM49" s="16"/>
      <c r="IN49" s="16"/>
      <c r="IO49" s="16"/>
      <c r="IP49" s="178"/>
      <c r="IQ49" s="186"/>
      <c r="IR49" s="187"/>
      <c r="IS49" s="16"/>
      <c r="IT49" s="16"/>
      <c r="IU49" s="16"/>
      <c r="IV49" s="16"/>
      <c r="IW49" s="178"/>
      <c r="IX49" s="186"/>
      <c r="IY49" s="187"/>
      <c r="IZ49" s="16"/>
      <c r="JA49" s="16"/>
      <c r="JB49" s="16"/>
      <c r="JC49" s="16"/>
      <c r="JD49" s="178"/>
      <c r="JE49" s="186"/>
      <c r="JF49" s="187"/>
      <c r="JG49" s="16"/>
      <c r="JH49" s="16"/>
      <c r="JI49" s="16"/>
      <c r="JJ49" s="16"/>
      <c r="JK49" s="178"/>
      <c r="JL49" s="186"/>
      <c r="JM49" s="187"/>
      <c r="JN49" s="16"/>
      <c r="JO49" s="16"/>
      <c r="JP49" s="16"/>
      <c r="JQ49" s="16"/>
      <c r="JR49" s="178"/>
      <c r="JS49" s="186"/>
      <c r="JT49" s="187"/>
      <c r="JU49" s="16"/>
      <c r="JV49" s="16"/>
      <c r="JW49" s="16"/>
      <c r="JX49" s="16"/>
      <c r="JY49" s="178"/>
      <c r="JZ49" s="186"/>
      <c r="KA49" s="187"/>
      <c r="KB49" s="16"/>
      <c r="KC49" s="16"/>
      <c r="KD49" s="16"/>
      <c r="KE49" s="16"/>
      <c r="KF49" s="178"/>
      <c r="KG49" s="186"/>
      <c r="KH49" s="187"/>
      <c r="KI49" s="16"/>
      <c r="KJ49" s="16"/>
      <c r="KK49" s="16"/>
      <c r="KL49" s="16"/>
      <c r="KM49" s="178"/>
      <c r="KN49" s="186"/>
      <c r="KO49" s="187"/>
      <c r="KP49" s="16"/>
      <c r="KQ49" s="16"/>
      <c r="KR49" s="16"/>
      <c r="KS49" s="16"/>
      <c r="KT49" s="178"/>
      <c r="KU49" s="186"/>
      <c r="KV49" s="187"/>
      <c r="KW49" s="16"/>
      <c r="KX49" s="16"/>
      <c r="KY49" s="16"/>
      <c r="KZ49" s="16"/>
      <c r="LA49" s="178"/>
      <c r="LB49" s="186"/>
      <c r="LC49" s="187"/>
      <c r="LD49" s="16"/>
      <c r="LE49" s="16"/>
      <c r="LF49" s="16"/>
      <c r="LG49" s="16"/>
      <c r="LH49" s="178"/>
      <c r="LI49" s="186"/>
      <c r="LJ49" s="187"/>
      <c r="LK49" s="16"/>
      <c r="LL49" s="16"/>
      <c r="LM49" s="16"/>
      <c r="LN49" s="16"/>
      <c r="LO49" s="178"/>
      <c r="LP49" s="186"/>
      <c r="LQ49" s="187"/>
      <c r="LR49" s="16"/>
      <c r="LS49" s="16"/>
      <c r="LT49" s="16"/>
      <c r="LU49" s="16"/>
      <c r="LV49" s="178"/>
      <c r="LW49" s="186"/>
      <c r="LX49" s="187"/>
      <c r="LY49" s="16"/>
      <c r="LZ49" s="16"/>
      <c r="MA49" s="16"/>
      <c r="MB49" s="16"/>
      <c r="MC49" s="178"/>
      <c r="MD49" s="186"/>
      <c r="ME49" s="187"/>
      <c r="MF49" s="16"/>
      <c r="MG49" s="16"/>
      <c r="MH49" s="16"/>
      <c r="MI49" s="16"/>
      <c r="MJ49" s="178"/>
      <c r="MK49" s="186"/>
      <c r="ML49" s="187"/>
      <c r="MM49" s="16"/>
      <c r="MN49" s="16"/>
      <c r="MO49" s="16"/>
      <c r="MP49" s="16"/>
      <c r="MQ49" s="178"/>
      <c r="MR49" s="186"/>
      <c r="MS49" s="187"/>
      <c r="MT49" s="16"/>
      <c r="MU49" s="16"/>
      <c r="MV49" s="16"/>
      <c r="MW49" s="16"/>
      <c r="MX49" s="178"/>
      <c r="MY49" s="186"/>
      <c r="MZ49" s="184"/>
      <c r="NC49" s="194"/>
    </row>
    <row r="50" spans="1:367" ht="15" thickBot="1" x14ac:dyDescent="0.35">
      <c r="A50" s="220"/>
      <c r="B50" s="269"/>
      <c r="C50" s="187"/>
      <c r="D50" s="16"/>
      <c r="E50" s="178"/>
      <c r="F50" s="186"/>
      <c r="G50" s="187"/>
      <c r="H50" s="16"/>
      <c r="I50" s="16"/>
      <c r="J50" s="16"/>
      <c r="K50" s="16"/>
      <c r="L50" s="178"/>
      <c r="M50" s="186"/>
      <c r="N50" s="187"/>
      <c r="O50" s="16"/>
      <c r="P50" s="16"/>
      <c r="Q50" s="16"/>
      <c r="R50" s="16"/>
      <c r="S50" s="178"/>
      <c r="T50" s="186"/>
      <c r="U50" s="187"/>
      <c r="V50" s="16"/>
      <c r="W50" s="16"/>
      <c r="X50" s="16"/>
      <c r="Y50" s="16"/>
      <c r="Z50" s="178"/>
      <c r="AA50" s="186"/>
      <c r="AB50" s="187"/>
      <c r="AC50" s="16"/>
      <c r="AD50" s="16"/>
      <c r="AE50" s="16"/>
      <c r="AF50" s="16"/>
      <c r="AG50" s="178"/>
      <c r="AH50" s="186"/>
      <c r="AI50" s="187"/>
      <c r="AJ50" s="16"/>
      <c r="AK50" s="16"/>
      <c r="AL50" s="16"/>
      <c r="AM50" s="16"/>
      <c r="AN50" s="178"/>
      <c r="AO50" s="186"/>
      <c r="AP50" s="187"/>
      <c r="AQ50" s="16"/>
      <c r="AR50" s="16"/>
      <c r="AS50" s="16"/>
      <c r="AT50" s="16"/>
      <c r="AU50" s="178"/>
      <c r="AV50" s="186"/>
      <c r="AW50" s="187"/>
      <c r="AX50" s="16"/>
      <c r="AY50" s="16"/>
      <c r="AZ50" s="16"/>
      <c r="BA50" s="16"/>
      <c r="BB50" s="178"/>
      <c r="BC50" s="186"/>
      <c r="BD50" s="187"/>
      <c r="BE50" s="16"/>
      <c r="BF50" s="16"/>
      <c r="BG50" s="16"/>
      <c r="BH50" s="16"/>
      <c r="BI50" s="178"/>
      <c r="BJ50" s="186"/>
      <c r="BK50" s="187"/>
      <c r="BL50" s="16"/>
      <c r="BM50" s="16"/>
      <c r="BN50" s="16"/>
      <c r="BO50" s="16"/>
      <c r="BP50" s="178"/>
      <c r="BQ50" s="186"/>
      <c r="BR50" s="187"/>
      <c r="BS50" s="16"/>
      <c r="BT50" s="16"/>
      <c r="BU50" s="16"/>
      <c r="BV50" s="16"/>
      <c r="BW50" s="178"/>
      <c r="BX50" s="186"/>
      <c r="BY50" s="187"/>
      <c r="BZ50" s="16"/>
      <c r="CA50" s="16"/>
      <c r="CB50" s="16"/>
      <c r="CC50" s="16"/>
      <c r="CD50" s="178"/>
      <c r="CE50" s="186"/>
      <c r="CF50" s="187"/>
      <c r="CG50" s="16"/>
      <c r="CH50" s="16"/>
      <c r="CI50" s="16"/>
      <c r="CJ50" s="16"/>
      <c r="CK50" s="178"/>
      <c r="CL50" s="186"/>
      <c r="CM50" s="187"/>
      <c r="CN50" s="16"/>
      <c r="CO50" s="16"/>
      <c r="CP50" s="16"/>
      <c r="CQ50" s="16"/>
      <c r="CR50" s="178"/>
      <c r="CS50" s="186"/>
      <c r="CT50" s="187"/>
      <c r="CU50" s="16"/>
      <c r="CV50" s="16"/>
      <c r="CW50" s="16"/>
      <c r="CX50" s="16"/>
      <c r="CY50" s="178"/>
      <c r="CZ50" s="186"/>
      <c r="DA50" s="187"/>
      <c r="DB50" s="16"/>
      <c r="DC50" s="16"/>
      <c r="DD50" s="16"/>
      <c r="DE50" s="16"/>
      <c r="DF50" s="178"/>
      <c r="DG50" s="186"/>
      <c r="DH50" s="187"/>
      <c r="DI50" s="16"/>
      <c r="DJ50" s="16"/>
      <c r="DK50" s="16"/>
      <c r="DL50" s="16"/>
      <c r="DM50" s="178"/>
      <c r="DN50" s="186"/>
      <c r="DO50" s="187"/>
      <c r="DP50" s="16"/>
      <c r="DQ50" s="16"/>
      <c r="DR50" s="16"/>
      <c r="DS50" s="16"/>
      <c r="DT50" s="178"/>
      <c r="DU50" s="186"/>
      <c r="DV50" s="187"/>
      <c r="DW50" s="16"/>
      <c r="DX50" s="16"/>
      <c r="DY50" s="16"/>
      <c r="DZ50" s="16"/>
      <c r="EA50" s="178"/>
      <c r="EB50" s="186"/>
      <c r="EC50" s="187"/>
      <c r="ED50" s="16"/>
      <c r="EE50" s="16"/>
      <c r="EF50" s="16"/>
      <c r="EG50" s="16"/>
      <c r="EH50" s="178"/>
      <c r="EI50" s="186"/>
      <c r="EJ50" s="187"/>
      <c r="EK50" s="16"/>
      <c r="EL50" s="16"/>
      <c r="EM50" s="16"/>
      <c r="EN50" s="16"/>
      <c r="EO50" s="178"/>
      <c r="EP50" s="186"/>
      <c r="EQ50" s="187"/>
      <c r="ER50" s="16"/>
      <c r="ES50" s="16"/>
      <c r="ET50" s="16"/>
      <c r="EU50" s="16"/>
      <c r="EV50" s="178"/>
      <c r="EW50" s="186"/>
      <c r="EX50" s="187"/>
      <c r="EY50" s="16"/>
      <c r="EZ50" s="16"/>
      <c r="FA50" s="16"/>
      <c r="FB50" s="16"/>
      <c r="FC50" s="178"/>
      <c r="FD50" s="186"/>
      <c r="FE50" s="187"/>
      <c r="FF50" s="16"/>
      <c r="FG50" s="16"/>
      <c r="FH50" s="16"/>
      <c r="FI50" s="16"/>
      <c r="FJ50" s="178"/>
      <c r="FK50" s="186"/>
      <c r="FL50" s="187"/>
      <c r="FM50" s="16"/>
      <c r="FN50" s="16"/>
      <c r="FO50" s="16"/>
      <c r="FP50" s="16"/>
      <c r="FQ50" s="178"/>
      <c r="FR50" s="186"/>
      <c r="FS50" s="187"/>
      <c r="FT50" s="16"/>
      <c r="FU50" s="16"/>
      <c r="FV50" s="16"/>
      <c r="FW50" s="16"/>
      <c r="FX50" s="178"/>
      <c r="FY50" s="186"/>
      <c r="FZ50" s="187"/>
      <c r="GA50" s="16"/>
      <c r="GB50" s="16"/>
      <c r="GC50" s="16"/>
      <c r="GD50" s="16"/>
      <c r="GE50" s="178"/>
      <c r="GF50" s="186"/>
      <c r="GG50" s="187"/>
      <c r="GH50" s="16"/>
      <c r="GI50" s="16"/>
      <c r="GJ50" s="16"/>
      <c r="GK50" s="16"/>
      <c r="GL50" s="178"/>
      <c r="GM50" s="186"/>
      <c r="GN50" s="187"/>
      <c r="GO50" s="16"/>
      <c r="GP50" s="16"/>
      <c r="GQ50" s="16"/>
      <c r="GR50" s="16"/>
      <c r="GS50" s="178"/>
      <c r="GT50" s="186"/>
      <c r="GU50" s="187"/>
      <c r="GV50" s="16"/>
      <c r="GW50" s="16"/>
      <c r="GX50" s="16"/>
      <c r="GY50" s="16"/>
      <c r="GZ50" s="178"/>
      <c r="HA50" s="186"/>
      <c r="HB50" s="187"/>
      <c r="HC50" s="16"/>
      <c r="HD50" s="16"/>
      <c r="HE50" s="16"/>
      <c r="HF50" s="16"/>
      <c r="HG50" s="178"/>
      <c r="HH50" s="186"/>
      <c r="HI50" s="187"/>
      <c r="HJ50" s="16"/>
      <c r="HK50" s="16"/>
      <c r="HL50" s="16"/>
      <c r="HM50" s="16"/>
      <c r="HN50" s="178"/>
      <c r="HO50" s="186"/>
      <c r="HP50" s="187"/>
      <c r="HQ50" s="16"/>
      <c r="HR50" s="16"/>
      <c r="HS50" s="16"/>
      <c r="HT50" s="16"/>
      <c r="HU50" s="178"/>
      <c r="HV50" s="186"/>
      <c r="HW50" s="187"/>
      <c r="HX50" s="16"/>
      <c r="HY50" s="16"/>
      <c r="HZ50" s="16"/>
      <c r="IA50" s="16"/>
      <c r="IB50" s="178"/>
      <c r="IC50" s="186"/>
      <c r="ID50" s="187"/>
      <c r="IE50" s="16"/>
      <c r="IF50" s="16"/>
      <c r="IG50" s="16"/>
      <c r="IH50" s="16"/>
      <c r="II50" s="178"/>
      <c r="IJ50" s="186"/>
      <c r="IK50" s="187"/>
      <c r="IL50" s="16"/>
      <c r="IM50" s="16"/>
      <c r="IN50" s="16"/>
      <c r="IO50" s="16"/>
      <c r="IP50" s="178"/>
      <c r="IQ50" s="186"/>
      <c r="IR50" s="187"/>
      <c r="IS50" s="16"/>
      <c r="IT50" s="16"/>
      <c r="IU50" s="16"/>
      <c r="IV50" s="16"/>
      <c r="IW50" s="178"/>
      <c r="IX50" s="186"/>
      <c r="IY50" s="187"/>
      <c r="IZ50" s="16"/>
      <c r="JA50" s="16"/>
      <c r="JB50" s="16"/>
      <c r="JC50" s="16"/>
      <c r="JD50" s="178"/>
      <c r="JE50" s="186"/>
      <c r="JF50" s="187"/>
      <c r="JG50" s="16"/>
      <c r="JH50" s="16"/>
      <c r="JI50" s="16"/>
      <c r="JJ50" s="16"/>
      <c r="JK50" s="178"/>
      <c r="JL50" s="186"/>
      <c r="JM50" s="187"/>
      <c r="JN50" s="16"/>
      <c r="JO50" s="16"/>
      <c r="JP50" s="16"/>
      <c r="JQ50" s="16"/>
      <c r="JR50" s="178"/>
      <c r="JS50" s="186"/>
      <c r="JT50" s="187"/>
      <c r="JU50" s="16"/>
      <c r="JV50" s="16"/>
      <c r="JW50" s="16"/>
      <c r="JX50" s="16"/>
      <c r="JY50" s="178"/>
      <c r="JZ50" s="186"/>
      <c r="KA50" s="187"/>
      <c r="KB50" s="16"/>
      <c r="KC50" s="16"/>
      <c r="KD50" s="16"/>
      <c r="KE50" s="16"/>
      <c r="KF50" s="178"/>
      <c r="KG50" s="186"/>
      <c r="KH50" s="187"/>
      <c r="KI50" s="16"/>
      <c r="KJ50" s="16"/>
      <c r="KK50" s="16"/>
      <c r="KL50" s="16"/>
      <c r="KM50" s="178"/>
      <c r="KN50" s="186"/>
      <c r="KO50" s="187"/>
      <c r="KP50" s="16"/>
      <c r="KQ50" s="16"/>
      <c r="KR50" s="16"/>
      <c r="KS50" s="16"/>
      <c r="KT50" s="178"/>
      <c r="KU50" s="186"/>
      <c r="KV50" s="187"/>
      <c r="KW50" s="16"/>
      <c r="KX50" s="16"/>
      <c r="KY50" s="16"/>
      <c r="KZ50" s="16"/>
      <c r="LA50" s="178"/>
      <c r="LB50" s="186"/>
      <c r="LC50" s="187"/>
      <c r="LD50" s="16"/>
      <c r="LE50" s="16"/>
      <c r="LF50" s="16"/>
      <c r="LG50" s="16"/>
      <c r="LH50" s="178"/>
      <c r="LI50" s="186"/>
      <c r="LJ50" s="187"/>
      <c r="LK50" s="16"/>
      <c r="LL50" s="16"/>
      <c r="LM50" s="16"/>
      <c r="LN50" s="16"/>
      <c r="LO50" s="178"/>
      <c r="LP50" s="186"/>
      <c r="LQ50" s="187"/>
      <c r="LR50" s="16"/>
      <c r="LS50" s="16"/>
      <c r="LT50" s="16"/>
      <c r="LU50" s="16"/>
      <c r="LV50" s="178"/>
      <c r="LW50" s="186"/>
      <c r="LX50" s="187"/>
      <c r="LY50" s="16"/>
      <c r="LZ50" s="16"/>
      <c r="MA50" s="16"/>
      <c r="MB50" s="16"/>
      <c r="MC50" s="178"/>
      <c r="MD50" s="186"/>
      <c r="ME50" s="187"/>
      <c r="MF50" s="16"/>
      <c r="MG50" s="16"/>
      <c r="MH50" s="16"/>
      <c r="MI50" s="16"/>
      <c r="MJ50" s="178"/>
      <c r="MK50" s="186"/>
      <c r="ML50" s="187"/>
      <c r="MM50" s="16"/>
      <c r="MN50" s="16"/>
      <c r="MO50" s="16"/>
      <c r="MP50" s="16"/>
      <c r="MQ50" s="178"/>
      <c r="MR50" s="186"/>
      <c r="MS50" s="187"/>
      <c r="MT50" s="16"/>
      <c r="MU50" s="16"/>
      <c r="MV50" s="16"/>
      <c r="MW50" s="16"/>
      <c r="MX50" s="178"/>
      <c r="MY50" s="186"/>
      <c r="MZ50" s="184"/>
      <c r="NC50" s="194"/>
    </row>
    <row r="51" spans="1:367" ht="15" thickBot="1" x14ac:dyDescent="0.35">
      <c r="A51" s="220"/>
      <c r="B51" s="269"/>
      <c r="C51" s="192"/>
      <c r="D51" s="182"/>
      <c r="E51" s="183"/>
      <c r="F51" s="193"/>
      <c r="G51" s="192"/>
      <c r="H51" s="182"/>
      <c r="I51" s="182"/>
      <c r="J51" s="182"/>
      <c r="K51" s="182"/>
      <c r="L51" s="183"/>
      <c r="M51" s="193"/>
      <c r="N51" s="192"/>
      <c r="O51" s="182"/>
      <c r="P51" s="182"/>
      <c r="Q51" s="182"/>
      <c r="R51" s="182"/>
      <c r="S51" s="183"/>
      <c r="T51" s="193"/>
      <c r="U51" s="192"/>
      <c r="V51" s="182"/>
      <c r="W51" s="182"/>
      <c r="X51" s="182"/>
      <c r="Y51" s="182"/>
      <c r="Z51" s="183"/>
      <c r="AA51" s="193"/>
      <c r="AB51" s="192"/>
      <c r="AC51" s="182"/>
      <c r="AD51" s="182"/>
      <c r="AE51" s="182"/>
      <c r="AF51" s="182"/>
      <c r="AG51" s="183"/>
      <c r="AH51" s="193"/>
      <c r="AI51" s="192"/>
      <c r="AJ51" s="182"/>
      <c r="AK51" s="182"/>
      <c r="AL51" s="182"/>
      <c r="AM51" s="182"/>
      <c r="AN51" s="183"/>
      <c r="AO51" s="193"/>
      <c r="AP51" s="192"/>
      <c r="AQ51" s="182"/>
      <c r="AR51" s="182"/>
      <c r="AS51" s="182"/>
      <c r="AT51" s="182"/>
      <c r="AU51" s="183"/>
      <c r="AV51" s="193"/>
      <c r="AW51" s="192"/>
      <c r="AX51" s="182"/>
      <c r="AY51" s="182"/>
      <c r="AZ51" s="182"/>
      <c r="BA51" s="182"/>
      <c r="BB51" s="183"/>
      <c r="BC51" s="193"/>
      <c r="BD51" s="192"/>
      <c r="BE51" s="182"/>
      <c r="BF51" s="182"/>
      <c r="BG51" s="182"/>
      <c r="BH51" s="182"/>
      <c r="BI51" s="183"/>
      <c r="BJ51" s="193"/>
      <c r="BK51" s="192"/>
      <c r="BL51" s="182"/>
      <c r="BM51" s="182"/>
      <c r="BN51" s="182"/>
      <c r="BO51" s="182"/>
      <c r="BP51" s="183"/>
      <c r="BQ51" s="193"/>
      <c r="BR51" s="192"/>
      <c r="BS51" s="182"/>
      <c r="BT51" s="182"/>
      <c r="BU51" s="182"/>
      <c r="BV51" s="182"/>
      <c r="BW51" s="183"/>
      <c r="BX51" s="193"/>
      <c r="BY51" s="192"/>
      <c r="BZ51" s="182"/>
      <c r="CA51" s="182"/>
      <c r="CB51" s="182"/>
      <c r="CC51" s="182"/>
      <c r="CD51" s="183"/>
      <c r="CE51" s="193"/>
      <c r="CF51" s="192"/>
      <c r="CG51" s="182"/>
      <c r="CH51" s="182"/>
      <c r="CI51" s="182"/>
      <c r="CJ51" s="182"/>
      <c r="CK51" s="183"/>
      <c r="CL51" s="193"/>
      <c r="CM51" s="192"/>
      <c r="CN51" s="182"/>
      <c r="CO51" s="182"/>
      <c r="CP51" s="182"/>
      <c r="CQ51" s="182"/>
      <c r="CR51" s="183"/>
      <c r="CS51" s="193"/>
      <c r="CT51" s="192"/>
      <c r="CU51" s="182"/>
      <c r="CV51" s="182"/>
      <c r="CW51" s="182"/>
      <c r="CX51" s="182"/>
      <c r="CY51" s="183"/>
      <c r="CZ51" s="193"/>
      <c r="DA51" s="192"/>
      <c r="DB51" s="182"/>
      <c r="DC51" s="182"/>
      <c r="DD51" s="182"/>
      <c r="DE51" s="182"/>
      <c r="DF51" s="183"/>
      <c r="DG51" s="193"/>
      <c r="DH51" s="192"/>
      <c r="DI51" s="182"/>
      <c r="DJ51" s="182"/>
      <c r="DK51" s="182"/>
      <c r="DL51" s="182"/>
      <c r="DM51" s="183"/>
      <c r="DN51" s="193"/>
      <c r="DO51" s="192"/>
      <c r="DP51" s="182"/>
      <c r="DQ51" s="182"/>
      <c r="DR51" s="182"/>
      <c r="DS51" s="182"/>
      <c r="DT51" s="183"/>
      <c r="DU51" s="193"/>
      <c r="DV51" s="192"/>
      <c r="DW51" s="182"/>
      <c r="DX51" s="182"/>
      <c r="DY51" s="182"/>
      <c r="DZ51" s="182"/>
      <c r="EA51" s="183"/>
      <c r="EB51" s="193"/>
      <c r="EC51" s="192"/>
      <c r="ED51" s="182"/>
      <c r="EE51" s="182"/>
      <c r="EF51" s="182"/>
      <c r="EG51" s="182"/>
      <c r="EH51" s="183"/>
      <c r="EI51" s="193"/>
      <c r="EJ51" s="192"/>
      <c r="EK51" s="182"/>
      <c r="EL51" s="182"/>
      <c r="EM51" s="182"/>
      <c r="EN51" s="182"/>
      <c r="EO51" s="183"/>
      <c r="EP51" s="193"/>
      <c r="EQ51" s="192"/>
      <c r="ER51" s="182"/>
      <c r="ES51" s="182"/>
      <c r="ET51" s="182"/>
      <c r="EU51" s="182"/>
      <c r="EV51" s="183"/>
      <c r="EW51" s="193"/>
      <c r="EX51" s="192"/>
      <c r="EY51" s="182"/>
      <c r="EZ51" s="182"/>
      <c r="FA51" s="182"/>
      <c r="FB51" s="182"/>
      <c r="FC51" s="183"/>
      <c r="FD51" s="193"/>
      <c r="FE51" s="192"/>
      <c r="FF51" s="182"/>
      <c r="FG51" s="182"/>
      <c r="FH51" s="182"/>
      <c r="FI51" s="182"/>
      <c r="FJ51" s="183"/>
      <c r="FK51" s="193"/>
      <c r="FL51" s="192"/>
      <c r="FM51" s="182"/>
      <c r="FN51" s="182"/>
      <c r="FO51" s="182"/>
      <c r="FP51" s="182"/>
      <c r="FQ51" s="183"/>
      <c r="FR51" s="193"/>
      <c r="FS51" s="192"/>
      <c r="FT51" s="182"/>
      <c r="FU51" s="182"/>
      <c r="FV51" s="182"/>
      <c r="FW51" s="182"/>
      <c r="FX51" s="183"/>
      <c r="FY51" s="193"/>
      <c r="FZ51" s="192"/>
      <c r="GA51" s="182"/>
      <c r="GB51" s="182"/>
      <c r="GC51" s="182"/>
      <c r="GD51" s="182"/>
      <c r="GE51" s="183"/>
      <c r="GF51" s="193"/>
      <c r="GG51" s="192"/>
      <c r="GH51" s="182"/>
      <c r="GI51" s="182"/>
      <c r="GJ51" s="182"/>
      <c r="GK51" s="182"/>
      <c r="GL51" s="183"/>
      <c r="GM51" s="193"/>
      <c r="GN51" s="192"/>
      <c r="GO51" s="182"/>
      <c r="GP51" s="182"/>
      <c r="GQ51" s="182"/>
      <c r="GR51" s="182"/>
      <c r="GS51" s="183"/>
      <c r="GT51" s="193"/>
      <c r="GU51" s="192"/>
      <c r="GV51" s="182"/>
      <c r="GW51" s="182"/>
      <c r="GX51" s="182"/>
      <c r="GY51" s="182"/>
      <c r="GZ51" s="183"/>
      <c r="HA51" s="193"/>
      <c r="HB51" s="192"/>
      <c r="HC51" s="182"/>
      <c r="HD51" s="182"/>
      <c r="HE51" s="182"/>
      <c r="HF51" s="182"/>
      <c r="HG51" s="183"/>
      <c r="HH51" s="193"/>
      <c r="HI51" s="192"/>
      <c r="HJ51" s="182"/>
      <c r="HK51" s="182"/>
      <c r="HL51" s="182"/>
      <c r="HM51" s="182"/>
      <c r="HN51" s="183"/>
      <c r="HO51" s="193"/>
      <c r="HP51" s="192"/>
      <c r="HQ51" s="182"/>
      <c r="HR51" s="182"/>
      <c r="HS51" s="182"/>
      <c r="HT51" s="182"/>
      <c r="HU51" s="183"/>
      <c r="HV51" s="193"/>
      <c r="HW51" s="192"/>
      <c r="HX51" s="182"/>
      <c r="HY51" s="182"/>
      <c r="HZ51" s="182"/>
      <c r="IA51" s="182"/>
      <c r="IB51" s="183"/>
      <c r="IC51" s="193"/>
      <c r="ID51" s="192"/>
      <c r="IE51" s="182"/>
      <c r="IF51" s="182"/>
      <c r="IG51" s="182"/>
      <c r="IH51" s="182"/>
      <c r="II51" s="183"/>
      <c r="IJ51" s="193"/>
      <c r="IK51" s="192"/>
      <c r="IL51" s="182"/>
      <c r="IM51" s="182"/>
      <c r="IN51" s="182"/>
      <c r="IO51" s="182"/>
      <c r="IP51" s="183"/>
      <c r="IQ51" s="193"/>
      <c r="IR51" s="192"/>
      <c r="IS51" s="182"/>
      <c r="IT51" s="182"/>
      <c r="IU51" s="182"/>
      <c r="IV51" s="182"/>
      <c r="IW51" s="183"/>
      <c r="IX51" s="193"/>
      <c r="IY51" s="192"/>
      <c r="IZ51" s="182"/>
      <c r="JA51" s="182"/>
      <c r="JB51" s="182"/>
      <c r="JC51" s="182"/>
      <c r="JD51" s="183"/>
      <c r="JE51" s="193"/>
      <c r="JF51" s="192"/>
      <c r="JG51" s="182"/>
      <c r="JH51" s="182"/>
      <c r="JI51" s="182"/>
      <c r="JJ51" s="182"/>
      <c r="JK51" s="183"/>
      <c r="JL51" s="193"/>
      <c r="JM51" s="192"/>
      <c r="JN51" s="182"/>
      <c r="JO51" s="182"/>
      <c r="JP51" s="182"/>
      <c r="JQ51" s="182"/>
      <c r="JR51" s="183"/>
      <c r="JS51" s="193"/>
      <c r="JT51" s="192"/>
      <c r="JU51" s="182"/>
      <c r="JV51" s="182"/>
      <c r="JW51" s="182"/>
      <c r="JX51" s="182"/>
      <c r="JY51" s="183"/>
      <c r="JZ51" s="193"/>
      <c r="KA51" s="192"/>
      <c r="KB51" s="182"/>
      <c r="KC51" s="182"/>
      <c r="KD51" s="182"/>
      <c r="KE51" s="182"/>
      <c r="KF51" s="183"/>
      <c r="KG51" s="193"/>
      <c r="KH51" s="192"/>
      <c r="KI51" s="182"/>
      <c r="KJ51" s="182"/>
      <c r="KK51" s="182"/>
      <c r="KL51" s="182"/>
      <c r="KM51" s="183"/>
      <c r="KN51" s="193"/>
      <c r="KO51" s="192"/>
      <c r="KP51" s="182"/>
      <c r="KQ51" s="182"/>
      <c r="KR51" s="182"/>
      <c r="KS51" s="182"/>
      <c r="KT51" s="183"/>
      <c r="KU51" s="193"/>
      <c r="KV51" s="192"/>
      <c r="KW51" s="182"/>
      <c r="KX51" s="182"/>
      <c r="KY51" s="182"/>
      <c r="KZ51" s="182"/>
      <c r="LA51" s="183"/>
      <c r="LB51" s="193"/>
      <c r="LC51" s="192"/>
      <c r="LD51" s="182"/>
      <c r="LE51" s="182"/>
      <c r="LF51" s="182"/>
      <c r="LG51" s="182"/>
      <c r="LH51" s="183"/>
      <c r="LI51" s="193"/>
      <c r="LJ51" s="192"/>
      <c r="LK51" s="182"/>
      <c r="LL51" s="182"/>
      <c r="LM51" s="182"/>
      <c r="LN51" s="182"/>
      <c r="LO51" s="183"/>
      <c r="LP51" s="193"/>
      <c r="LQ51" s="192"/>
      <c r="LR51" s="182"/>
      <c r="LS51" s="182"/>
      <c r="LT51" s="182"/>
      <c r="LU51" s="182"/>
      <c r="LV51" s="183"/>
      <c r="LW51" s="193"/>
      <c r="LX51" s="192"/>
      <c r="LY51" s="182"/>
      <c r="LZ51" s="182"/>
      <c r="MA51" s="182"/>
      <c r="MB51" s="182"/>
      <c r="MC51" s="183"/>
      <c r="MD51" s="193"/>
      <c r="ME51" s="192"/>
      <c r="MF51" s="182"/>
      <c r="MG51" s="182"/>
      <c r="MH51" s="182"/>
      <c r="MI51" s="182"/>
      <c r="MJ51" s="183"/>
      <c r="MK51" s="193"/>
      <c r="ML51" s="192"/>
      <c r="MM51" s="182"/>
      <c r="MN51" s="182"/>
      <c r="MO51" s="182"/>
      <c r="MP51" s="182"/>
      <c r="MQ51" s="183"/>
      <c r="MR51" s="193"/>
      <c r="MS51" s="192"/>
      <c r="MT51" s="182"/>
      <c r="MU51" s="182"/>
      <c r="MV51" s="182"/>
      <c r="MW51" s="182"/>
      <c r="MX51" s="183"/>
      <c r="MY51" s="193"/>
      <c r="MZ51" s="196"/>
      <c r="NA51" s="177"/>
      <c r="NB51" s="177"/>
      <c r="NC51" s="197"/>
    </row>
  </sheetData>
  <mergeCells count="70">
    <mergeCell ref="AI2:AO2"/>
    <mergeCell ref="CF2:CL2"/>
    <mergeCell ref="LY1:NC1"/>
    <mergeCell ref="IR2:IX2"/>
    <mergeCell ref="KO2:KU2"/>
    <mergeCell ref="LX2:MD2"/>
    <mergeCell ref="BJ1:CN1"/>
    <mergeCell ref="IL1:JO1"/>
    <mergeCell ref="HB2:HH2"/>
    <mergeCell ref="IK2:IQ2"/>
    <mergeCell ref="JM2:JS2"/>
    <mergeCell ref="JF2:JL2"/>
    <mergeCell ref="LQ2:LW2"/>
    <mergeCell ref="CO1:DR1"/>
    <mergeCell ref="EQ2:EW2"/>
    <mergeCell ref="DS1:EW1"/>
    <mergeCell ref="BD2:BJ2"/>
    <mergeCell ref="CM2:CS2"/>
    <mergeCell ref="C1:AG1"/>
    <mergeCell ref="LJ2:LP2"/>
    <mergeCell ref="U2:AA2"/>
    <mergeCell ref="HI2:HO2"/>
    <mergeCell ref="BY2:CE2"/>
    <mergeCell ref="LC2:LI2"/>
    <mergeCell ref="AH1:BI1"/>
    <mergeCell ref="EX2:FD2"/>
    <mergeCell ref="IY2:JE2"/>
    <mergeCell ref="JP1:KT1"/>
    <mergeCell ref="AP2:AV2"/>
    <mergeCell ref="KV2:LB2"/>
    <mergeCell ref="HW2:IC2"/>
    <mergeCell ref="AB2:AH2"/>
    <mergeCell ref="DO2:DU2"/>
    <mergeCell ref="FZ2:GF2"/>
    <mergeCell ref="EX1:GA1"/>
    <mergeCell ref="GB1:HF1"/>
    <mergeCell ref="KU1:LX1"/>
    <mergeCell ref="HG1:IK1"/>
    <mergeCell ref="FL2:FR2"/>
    <mergeCell ref="MZ2:NC2"/>
    <mergeCell ref="DV2:EB2"/>
    <mergeCell ref="GG2:GM2"/>
    <mergeCell ref="HP2:HV2"/>
    <mergeCell ref="EC2:EI2"/>
    <mergeCell ref="ME2:MK2"/>
    <mergeCell ref="JT2:JZ2"/>
    <mergeCell ref="KH2:KN2"/>
    <mergeCell ref="MS2:MY2"/>
    <mergeCell ref="ML2:MR2"/>
    <mergeCell ref="C2:F2"/>
    <mergeCell ref="KA2:KG2"/>
    <mergeCell ref="AW2:BC2"/>
    <mergeCell ref="BK2:BQ2"/>
    <mergeCell ref="DA2:DG2"/>
    <mergeCell ref="EJ2:EP2"/>
    <mergeCell ref="GU2:HA2"/>
    <mergeCell ref="CT2:CZ2"/>
    <mergeCell ref="FE2:FK2"/>
    <mergeCell ref="G2:M2"/>
    <mergeCell ref="FS2:FY2"/>
    <mergeCell ref="N2:T2"/>
    <mergeCell ref="BR2:BX2"/>
    <mergeCell ref="DH2:DN2"/>
    <mergeCell ref="GN2:GT2"/>
    <mergeCell ref="ID2:IJ2"/>
    <mergeCell ref="A1:A3"/>
    <mergeCell ref="B4:B15"/>
    <mergeCell ref="B16:B27"/>
    <mergeCell ref="B28:B39"/>
    <mergeCell ref="B40:B5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6ABB-561A-4D3F-974D-E8404FBF512D}">
  <sheetPr codeName="Sheet3"/>
  <dimension ref="A1:EX197"/>
  <sheetViews>
    <sheetView showGridLines="0" topLeftCell="DT1" zoomScale="92" zoomScaleNormal="92" workbookViewId="0">
      <selection activeCell="EW7" sqref="EW7"/>
    </sheetView>
  </sheetViews>
  <sheetFormatPr baseColWidth="10" defaultColWidth="2.6640625" defaultRowHeight="14.4" outlineLevelCol="1" x14ac:dyDescent="0.3"/>
  <cols>
    <col min="1" max="2" width="15.33203125" hidden="1" customWidth="1" outlineLevel="1"/>
    <col min="3" max="3" width="14.44140625" bestFit="1" customWidth="1" collapsed="1"/>
    <col min="4" max="4" width="15.33203125" style="1" hidden="1" customWidth="1" outlineLevel="1" collapsed="1"/>
    <col min="5" max="5" width="42.5546875" style="1" hidden="1" customWidth="1" outlineLevel="1"/>
    <col min="6" max="6" width="15.33203125" hidden="1" customWidth="1" outlineLevel="1"/>
    <col min="7" max="7" width="12.44140625" bestFit="1" customWidth="1" collapsed="1"/>
    <col min="8" max="8" width="14.5546875" hidden="1" customWidth="1" outlineLevel="1"/>
    <col min="9" max="9" width="15.33203125" hidden="1" customWidth="1" outlineLevel="1"/>
    <col min="10" max="10" width="12.109375" bestFit="1" customWidth="1" collapsed="1"/>
    <col min="11" max="11" width="11" hidden="1" customWidth="1" outlineLevel="1"/>
    <col min="12" max="13" width="15.33203125" hidden="1" customWidth="1" outlineLevel="1"/>
    <col min="14" max="14" width="20" style="74" bestFit="1" customWidth="1" collapsed="1"/>
    <col min="15" max="15" width="14.44140625" style="73" hidden="1" customWidth="1" outlineLevel="1"/>
    <col min="16" max="31" width="15.33203125" hidden="1" customWidth="1" outlineLevel="1"/>
    <col min="32" max="32" width="15.33203125" style="74" hidden="1" customWidth="1" outlineLevel="1"/>
    <col min="33" max="33" width="15.33203125" style="73" customWidth="1" collapsed="1"/>
    <col min="34" max="34" width="14" style="73" bestFit="1" customWidth="1"/>
    <col min="35" max="37" width="15.33203125" hidden="1" customWidth="1" outlineLevel="1"/>
    <col min="38" max="38" width="15.33203125" style="74" hidden="1" customWidth="1" outlineLevel="1"/>
    <col min="39" max="39" width="19.44140625" style="73" bestFit="1" customWidth="1" collapsed="1"/>
    <col min="40" max="43" width="15.33203125" hidden="1" customWidth="1" outlineLevel="1"/>
    <col min="44" max="44" width="15.33203125" customWidth="1" collapsed="1"/>
    <col min="45" max="45" width="15.33203125" style="74" customWidth="1"/>
    <col min="46" max="46" width="17.88671875" style="73" bestFit="1" customWidth="1"/>
    <col min="47" max="50" width="15.33203125" hidden="1" customWidth="1" outlineLevel="1"/>
    <col min="51" max="51" width="15.33203125" customWidth="1" collapsed="1"/>
    <col min="52" max="52" width="15.33203125" style="74" customWidth="1"/>
    <col min="53" max="53" width="18.33203125" style="73" bestFit="1" customWidth="1"/>
    <col min="54" max="56" width="15.33203125" hidden="1" customWidth="1" outlineLevel="1"/>
    <col min="57" max="57" width="15.33203125" style="74" hidden="1" customWidth="1" outlineLevel="1"/>
    <col min="58" max="58" width="19.5546875" style="73" bestFit="1" customWidth="1" collapsed="1"/>
    <col min="59" max="61" width="15.33203125" hidden="1" customWidth="1" outlineLevel="1"/>
    <col min="62" max="62" width="15.33203125" style="74" hidden="1" customWidth="1" outlineLevel="1"/>
    <col min="63" max="63" width="18.33203125" style="73" bestFit="1" customWidth="1" collapsed="1"/>
    <col min="64" max="66" width="15.33203125" hidden="1" customWidth="1" outlineLevel="1"/>
    <col min="67" max="67" width="15.33203125" style="74" hidden="1" customWidth="1" outlineLevel="1"/>
    <col min="68" max="68" width="19.109375" style="73" bestFit="1" customWidth="1" collapsed="1"/>
    <col min="69" max="71" width="15.33203125" hidden="1" customWidth="1" outlineLevel="1"/>
    <col min="72" max="72" width="15.33203125" style="74" hidden="1" customWidth="1" outlineLevel="1"/>
    <col min="73" max="73" width="16.5546875" style="73" bestFit="1" customWidth="1" collapsed="1"/>
    <col min="74" max="76" width="15.33203125" hidden="1" customWidth="1" outlineLevel="1"/>
    <col min="77" max="77" width="16.5546875" style="74" hidden="1" customWidth="1" outlineLevel="1"/>
    <col min="78" max="78" width="15" style="73" bestFit="1" customWidth="1" collapsed="1"/>
    <col min="79" max="81" width="15.33203125" hidden="1" customWidth="1" outlineLevel="1"/>
    <col min="82" max="82" width="15" style="74" hidden="1" customWidth="1" outlineLevel="1"/>
    <col min="83" max="83" width="14.109375" style="73" bestFit="1" customWidth="1" collapsed="1"/>
    <col min="84" max="86" width="15.33203125" hidden="1" customWidth="1" outlineLevel="1"/>
    <col min="87" max="87" width="13" style="74" hidden="1" customWidth="1" outlineLevel="1"/>
    <col min="88" max="88" width="12.6640625" style="73" bestFit="1" customWidth="1" collapsed="1"/>
    <col min="89" max="91" width="15.33203125" hidden="1" customWidth="1" outlineLevel="1"/>
    <col min="92" max="92" width="12.6640625" style="74" hidden="1" customWidth="1" outlineLevel="1"/>
    <col min="93" max="93" width="11.5546875" style="73" bestFit="1" customWidth="1" collapsed="1"/>
    <col min="94" max="97" width="15.33203125" hidden="1" customWidth="1" outlineLevel="1"/>
    <col min="98" max="98" width="15.33203125" style="74" hidden="1" customWidth="1" outlineLevel="1"/>
    <col min="99" max="99" width="15.33203125" style="73" customWidth="1" collapsed="1"/>
    <col min="100" max="103" width="15.33203125" hidden="1" customWidth="1" outlineLevel="1"/>
    <col min="104" max="104" width="15.33203125" customWidth="1" collapsed="1"/>
    <col min="105" max="105" width="15.33203125" style="74" customWidth="1"/>
    <col min="106" max="106" width="15.33203125" style="73" customWidth="1"/>
    <col min="107" max="110" width="15.33203125" hidden="1" customWidth="1" outlineLevel="1"/>
    <col min="111" max="111" width="15.33203125" customWidth="1" collapsed="1"/>
    <col min="112" max="112" width="15.33203125" style="74" customWidth="1"/>
    <col min="113" max="113" width="15.33203125" style="73" customWidth="1"/>
    <col min="114" max="116" width="15.33203125" hidden="1" customWidth="1" outlineLevel="1"/>
    <col min="117" max="117" width="14" style="74" hidden="1" customWidth="1" outlineLevel="1"/>
    <col min="118" max="118" width="15.109375" style="73" customWidth="1" collapsed="1"/>
    <col min="119" max="122" width="15.33203125" hidden="1" customWidth="1" outlineLevel="1"/>
    <col min="123" max="123" width="15.33203125" customWidth="1" collapsed="1"/>
    <col min="124" max="124" width="15.33203125" style="74" customWidth="1"/>
    <col min="125" max="125" width="13.5546875" style="73" bestFit="1" customWidth="1"/>
    <col min="126" max="129" width="15.33203125" hidden="1" customWidth="1" outlineLevel="1"/>
    <col min="130" max="130" width="15.33203125" customWidth="1" collapsed="1"/>
    <col min="131" max="131" width="15.33203125" style="74" customWidth="1"/>
    <col min="132" max="132" width="15.33203125" style="73" customWidth="1"/>
    <col min="133" max="136" width="15.33203125" hidden="1" customWidth="1" outlineLevel="1"/>
    <col min="137" max="137" width="15.33203125" customWidth="1" collapsed="1"/>
    <col min="138" max="138" width="15.33203125" style="74" customWidth="1"/>
    <col min="139" max="139" width="15.33203125" style="73" customWidth="1"/>
    <col min="140" max="143" width="15.33203125" hidden="1" customWidth="1" outlineLevel="1"/>
    <col min="144" max="144" width="15.33203125" customWidth="1" collapsed="1"/>
    <col min="145" max="145" width="15.33203125" style="74" customWidth="1"/>
    <col min="146" max="146" width="15.33203125" style="73" customWidth="1"/>
    <col min="147" max="149" width="15.33203125" hidden="1" customWidth="1" outlineLevel="1"/>
    <col min="150" max="150" width="13.33203125" style="74" hidden="1" customWidth="1" outlineLevel="1"/>
    <col min="151" max="151" width="16.44140625" style="73" bestFit="1" customWidth="1" collapsed="1"/>
    <col min="152" max="152" width="18.6640625" style="1" bestFit="1" customWidth="1"/>
    <col min="153" max="153" width="18.33203125" style="131" bestFit="1" customWidth="1"/>
    <col min="154" max="156" width="15.33203125" customWidth="1"/>
    <col min="157" max="160" width="12.109375" customWidth="1"/>
  </cols>
  <sheetData>
    <row r="1" spans="1:154" s="8" customFormat="1" ht="71.25" customHeight="1" x14ac:dyDescent="0.3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231" t="s">
        <v>39</v>
      </c>
      <c r="O1" s="237" t="s">
        <v>40</v>
      </c>
      <c r="P1" s="8" t="s">
        <v>41</v>
      </c>
      <c r="Q1" s="8" t="s">
        <v>42</v>
      </c>
      <c r="R1" s="8" t="s">
        <v>43</v>
      </c>
      <c r="S1" s="8" t="s">
        <v>44</v>
      </c>
      <c r="T1" s="8" t="s">
        <v>45</v>
      </c>
      <c r="U1" s="8" t="s">
        <v>46</v>
      </c>
      <c r="V1" s="8" t="s">
        <v>47</v>
      </c>
      <c r="W1" s="8" t="s">
        <v>48</v>
      </c>
      <c r="X1" s="8" t="s">
        <v>49</v>
      </c>
      <c r="Y1" s="8" t="s">
        <v>50</v>
      </c>
      <c r="Z1" s="8" t="s">
        <v>51</v>
      </c>
      <c r="AA1" s="8" t="s">
        <v>52</v>
      </c>
      <c r="AB1" s="8" t="s">
        <v>53</v>
      </c>
      <c r="AC1" s="8" t="s">
        <v>54</v>
      </c>
      <c r="AD1" s="8" t="s">
        <v>55</v>
      </c>
      <c r="AE1" s="8" t="s">
        <v>56</v>
      </c>
      <c r="AF1" s="239" t="s">
        <v>57</v>
      </c>
      <c r="AG1" s="237" t="s">
        <v>58</v>
      </c>
      <c r="AH1" s="237" t="s">
        <v>59</v>
      </c>
      <c r="AI1" s="70" t="s">
        <v>60</v>
      </c>
      <c r="AJ1" s="70" t="s">
        <v>61</v>
      </c>
      <c r="AK1" s="70" t="s">
        <v>62</v>
      </c>
      <c r="AL1" s="78" t="s">
        <v>63</v>
      </c>
      <c r="AM1" s="237" t="s">
        <v>64</v>
      </c>
      <c r="AN1" s="70" t="s">
        <v>65</v>
      </c>
      <c r="AO1" s="70" t="s">
        <v>66</v>
      </c>
      <c r="AP1" s="70" t="s">
        <v>67</v>
      </c>
      <c r="AQ1" s="70" t="s">
        <v>68</v>
      </c>
      <c r="AR1" s="72" t="s">
        <v>69</v>
      </c>
      <c r="AS1" s="75" t="s">
        <v>70</v>
      </c>
      <c r="AT1" s="237" t="s">
        <v>71</v>
      </c>
      <c r="AU1" s="70" t="s">
        <v>72</v>
      </c>
      <c r="AV1" s="70" t="s">
        <v>73</v>
      </c>
      <c r="AW1" s="70" t="s">
        <v>74</v>
      </c>
      <c r="AX1" s="70" t="s">
        <v>75</v>
      </c>
      <c r="AY1" s="72" t="s">
        <v>76</v>
      </c>
      <c r="AZ1" s="75" t="s">
        <v>77</v>
      </c>
      <c r="BA1" s="237" t="s">
        <v>78</v>
      </c>
      <c r="BB1" s="70" t="s">
        <v>79</v>
      </c>
      <c r="BC1" s="70" t="s">
        <v>80</v>
      </c>
      <c r="BD1" s="70" t="s">
        <v>81</v>
      </c>
      <c r="BE1" s="78" t="s">
        <v>82</v>
      </c>
      <c r="BF1" s="237" t="s">
        <v>83</v>
      </c>
      <c r="BG1" s="70" t="s">
        <v>84</v>
      </c>
      <c r="BH1" s="70" t="s">
        <v>85</v>
      </c>
      <c r="BI1" s="70" t="s">
        <v>86</v>
      </c>
      <c r="BJ1" s="78" t="s">
        <v>87</v>
      </c>
      <c r="BK1" s="237" t="s">
        <v>88</v>
      </c>
      <c r="BL1" s="70" t="s">
        <v>89</v>
      </c>
      <c r="BM1" s="70" t="s">
        <v>90</v>
      </c>
      <c r="BN1" s="70" t="s">
        <v>91</v>
      </c>
      <c r="BO1" s="78" t="s">
        <v>92</v>
      </c>
      <c r="BP1" s="237" t="s">
        <v>93</v>
      </c>
      <c r="BQ1" s="70" t="s">
        <v>94</v>
      </c>
      <c r="BR1" s="70" t="s">
        <v>95</v>
      </c>
      <c r="BS1" s="70" t="s">
        <v>96</v>
      </c>
      <c r="BT1" s="78" t="s">
        <v>97</v>
      </c>
      <c r="BU1" s="237" t="s">
        <v>98</v>
      </c>
      <c r="BV1" s="70" t="s">
        <v>99</v>
      </c>
      <c r="BW1" s="70" t="s">
        <v>100</v>
      </c>
      <c r="BX1" s="70" t="s">
        <v>101</v>
      </c>
      <c r="BY1" s="78" t="s">
        <v>102</v>
      </c>
      <c r="BZ1" s="237" t="s">
        <v>103</v>
      </c>
      <c r="CA1" s="70" t="s">
        <v>104</v>
      </c>
      <c r="CB1" s="70" t="s">
        <v>105</v>
      </c>
      <c r="CC1" s="70" t="s">
        <v>106</v>
      </c>
      <c r="CD1" s="78" t="s">
        <v>107</v>
      </c>
      <c r="CE1" s="237" t="s">
        <v>108</v>
      </c>
      <c r="CF1" s="70" t="s">
        <v>109</v>
      </c>
      <c r="CG1" s="70" t="s">
        <v>110</v>
      </c>
      <c r="CH1" s="70" t="s">
        <v>111</v>
      </c>
      <c r="CI1" s="78" t="s">
        <v>112</v>
      </c>
      <c r="CJ1" s="237" t="s">
        <v>113</v>
      </c>
      <c r="CK1" s="70" t="s">
        <v>114</v>
      </c>
      <c r="CL1" s="70" t="s">
        <v>115</v>
      </c>
      <c r="CM1" s="70" t="s">
        <v>116</v>
      </c>
      <c r="CN1" s="78" t="s">
        <v>117</v>
      </c>
      <c r="CO1" s="82" t="s">
        <v>118</v>
      </c>
      <c r="CP1" s="70" t="s">
        <v>119</v>
      </c>
      <c r="CQ1" s="70" t="s">
        <v>120</v>
      </c>
      <c r="CR1" s="70" t="s">
        <v>121</v>
      </c>
      <c r="CS1" s="70" t="s">
        <v>122</v>
      </c>
      <c r="CT1" s="78" t="s">
        <v>123</v>
      </c>
      <c r="CU1" s="237" t="s">
        <v>124</v>
      </c>
      <c r="CV1" s="70" t="s">
        <v>125</v>
      </c>
      <c r="CW1" s="70" t="s">
        <v>126</v>
      </c>
      <c r="CX1" s="70" t="s">
        <v>127</v>
      </c>
      <c r="CY1" s="70" t="s">
        <v>128</v>
      </c>
      <c r="CZ1" s="72" t="s">
        <v>129</v>
      </c>
      <c r="DA1" s="75" t="s">
        <v>130</v>
      </c>
      <c r="DB1" s="237" t="s">
        <v>131</v>
      </c>
      <c r="DC1" s="70" t="s">
        <v>132</v>
      </c>
      <c r="DD1" s="70" t="s">
        <v>133</v>
      </c>
      <c r="DE1" s="70" t="s">
        <v>134</v>
      </c>
      <c r="DF1" s="70" t="s">
        <v>135</v>
      </c>
      <c r="DG1" s="72" t="s">
        <v>136</v>
      </c>
      <c r="DH1" s="75" t="s">
        <v>137</v>
      </c>
      <c r="DI1" s="237" t="s">
        <v>138</v>
      </c>
      <c r="DJ1" s="70" t="s">
        <v>139</v>
      </c>
      <c r="DK1" s="70" t="s">
        <v>140</v>
      </c>
      <c r="DL1" s="70" t="s">
        <v>141</v>
      </c>
      <c r="DM1" s="78" t="s">
        <v>142</v>
      </c>
      <c r="DN1" s="237" t="s">
        <v>143</v>
      </c>
      <c r="DO1" s="70" t="s">
        <v>144</v>
      </c>
      <c r="DP1" s="70" t="s">
        <v>145</v>
      </c>
      <c r="DQ1" s="70" t="s">
        <v>146</v>
      </c>
      <c r="DR1" s="70" t="s">
        <v>147</v>
      </c>
      <c r="DS1" s="72" t="s">
        <v>148</v>
      </c>
      <c r="DT1" s="75" t="s">
        <v>149</v>
      </c>
      <c r="DU1" s="237" t="s">
        <v>150</v>
      </c>
      <c r="DV1" s="70" t="s">
        <v>151</v>
      </c>
      <c r="DW1" s="70" t="s">
        <v>152</v>
      </c>
      <c r="DX1" s="70" t="s">
        <v>153</v>
      </c>
      <c r="DY1" s="70" t="s">
        <v>154</v>
      </c>
      <c r="DZ1" s="72" t="s">
        <v>155</v>
      </c>
      <c r="EA1" s="75" t="s">
        <v>156</v>
      </c>
      <c r="EB1" s="237" t="s">
        <v>157</v>
      </c>
      <c r="EC1" s="70" t="s">
        <v>158</v>
      </c>
      <c r="ED1" s="70" t="s">
        <v>159</v>
      </c>
      <c r="EE1" s="70" t="s">
        <v>160</v>
      </c>
      <c r="EF1" s="70" t="s">
        <v>161</v>
      </c>
      <c r="EG1" s="72" t="s">
        <v>162</v>
      </c>
      <c r="EH1" s="75" t="s">
        <v>163</v>
      </c>
      <c r="EI1" s="237" t="s">
        <v>164</v>
      </c>
      <c r="EJ1" s="70" t="s">
        <v>165</v>
      </c>
      <c r="EK1" s="70" t="s">
        <v>166</v>
      </c>
      <c r="EL1" s="70" t="s">
        <v>167</v>
      </c>
      <c r="EM1" s="70" t="s">
        <v>168</v>
      </c>
      <c r="EN1" s="72" t="s">
        <v>169</v>
      </c>
      <c r="EO1" s="75" t="s">
        <v>170</v>
      </c>
      <c r="EP1" s="237" t="s">
        <v>171</v>
      </c>
      <c r="EQ1" s="70" t="s">
        <v>172</v>
      </c>
      <c r="ER1" s="70" t="s">
        <v>173</v>
      </c>
      <c r="ES1" s="70" t="s">
        <v>174</v>
      </c>
      <c r="ET1" s="78" t="s">
        <v>175</v>
      </c>
      <c r="EU1" s="237" t="s">
        <v>176</v>
      </c>
      <c r="EV1" s="132" t="s">
        <v>177</v>
      </c>
      <c r="EW1" s="133" t="s">
        <v>178</v>
      </c>
      <c r="EX1" s="8" t="s">
        <v>179</v>
      </c>
    </row>
    <row r="2" spans="1:154" s="3" customFormat="1" ht="12.75" customHeight="1" x14ac:dyDescent="0.3">
      <c r="A2" s="3" t="s">
        <v>180</v>
      </c>
      <c r="B2" s="3" t="s">
        <v>181</v>
      </c>
      <c r="C2" s="3" t="s">
        <v>182</v>
      </c>
      <c r="D2" s="85" t="s">
        <v>183</v>
      </c>
      <c r="E2" s="85" t="s">
        <v>184</v>
      </c>
      <c r="F2" s="3">
        <v>3300</v>
      </c>
      <c r="G2" s="3">
        <v>3300</v>
      </c>
      <c r="H2" s="3">
        <v>180</v>
      </c>
      <c r="J2" s="229">
        <f>BaseDeDatos[[#This Row],[Budget CS]]+BaseDeDatos[[#This Row],[Change Orders Budget]]</f>
        <v>180</v>
      </c>
      <c r="K2" s="92">
        <f>IFERROR(VLOOKUP(G2, DATA!H:I, 2, FALSE), 0)+BaseDeDatos[[#This Row],[Labor Spend on Design errors]]+BaseDeDatos[[#This Row],[Labor
Spent Customer changes]]</f>
        <v>284.5</v>
      </c>
      <c r="L2" s="92"/>
      <c r="M2" s="92"/>
      <c r="N2" s="232">
        <f t="shared" ref="N2:N33" si="0">AK2+AP2+AW2+CQ2+CX2+DE2+DL2+DQ2+DX2+EE2+EL2+ES2</f>
        <v>1</v>
      </c>
      <c r="O2" s="238">
        <f t="shared" ref="O2:O33" si="1">J2*S2</f>
        <v>284.5</v>
      </c>
      <c r="P2" s="39">
        <v>29.7</v>
      </c>
      <c r="Q2" s="89">
        <f>BaseDeDatos[[#This Row],[Budget]]*BaseDeDatos[[#This Row],[Labor Rate from CS]]</f>
        <v>5346</v>
      </c>
      <c r="R2" s="94">
        <f>BaseDeDatos[[#This Row],[Labor
Spent]]*BaseDeDatos[[#This Row],[Labor Rate from CS]]</f>
        <v>8449.65</v>
      </c>
      <c r="S2" s="42">
        <f t="shared" ref="S2:S33" si="2">K2/J2</f>
        <v>1.5805555555555555</v>
      </c>
      <c r="T2" s="98">
        <v>496097</v>
      </c>
      <c r="U2" s="98">
        <v>48903</v>
      </c>
      <c r="V2" s="98">
        <v>42280.98</v>
      </c>
      <c r="W2" s="98">
        <v>122365.88</v>
      </c>
      <c r="X2" s="98">
        <v>122365.88</v>
      </c>
      <c r="Y2" s="98"/>
      <c r="Z2" s="98"/>
      <c r="AA2" s="39">
        <v>404454.78</v>
      </c>
      <c r="AB2" s="89">
        <f t="shared" ref="AB2:AB33" si="3">AA2-X2-Q2</f>
        <v>276742.90000000002</v>
      </c>
      <c r="AC2" s="120">
        <f>SUM(AB2,X2,R2,BaseDeDatos[[#This Row],[Additionals cost]])</f>
        <v>449839.41000000003</v>
      </c>
      <c r="AD2" s="117">
        <v>0.1847</v>
      </c>
      <c r="AE2" s="117">
        <v>0.18210000000000001</v>
      </c>
      <c r="AF2" s="240">
        <f t="shared" ref="AF2:AF33" si="4">(T2-SUM(X2,AB2,R2))/T2</f>
        <v>0.17847027899785717</v>
      </c>
      <c r="AG2" s="226"/>
      <c r="AH2" s="226" t="s">
        <v>185</v>
      </c>
      <c r="AI2" s="227">
        <f>VLOOKUP(AH2,DATA!$B$13:$C$19,2,0)</f>
        <v>100</v>
      </c>
      <c r="AJ2" s="4">
        <f>VLOOKUP($AH$1,DATA!$B$24:$C$45,2,0)</f>
        <v>0.05</v>
      </c>
      <c r="AK2" s="3">
        <f>BaseDeDatos[[#This Row],[Read info
Status]]*(AJ2)/100</f>
        <v>0.05</v>
      </c>
      <c r="AL2" s="84">
        <f t="shared" ref="AL2:AL33" si="5">AJ2*$J2</f>
        <v>9</v>
      </c>
      <c r="AM2" s="226" t="s">
        <v>185</v>
      </c>
      <c r="AN2" s="227">
        <f>VLOOKUP(AM2,DATA!$B$13:$C$19,2,0)</f>
        <v>100</v>
      </c>
      <c r="AO2" s="9">
        <f>VLOOKUP($AM$1,DATA!$B$24:$C$45,2,0)</f>
        <v>0.05</v>
      </c>
      <c r="AP2" s="9">
        <f t="shared" ref="AP2:AP33" si="6">AN2*AO2/100</f>
        <v>0.05</v>
      </c>
      <c r="AQ2" s="3">
        <f t="shared" ref="AQ2:AQ33" si="7">AO2*$J2</f>
        <v>9</v>
      </c>
      <c r="AR2" s="6"/>
      <c r="AS2" s="95"/>
      <c r="AT2" s="226" t="s">
        <v>185</v>
      </c>
      <c r="AU2" s="227">
        <f>VLOOKUP(AT2,DATA!$B$13:$C$19,2,0)</f>
        <v>100</v>
      </c>
      <c r="AV2" s="9">
        <f>VLOOKUP($AT$1,DATA!$B$24:$C$45,2,0)</f>
        <v>0.01</v>
      </c>
      <c r="AW2" s="9">
        <f t="shared" ref="AW2:AW33" si="8">AU2*AV2/100</f>
        <v>0.01</v>
      </c>
      <c r="AX2" s="3">
        <f t="shared" ref="AX2:AX33" si="9">AV2*$J2</f>
        <v>1.8</v>
      </c>
      <c r="AY2" s="6"/>
      <c r="AZ2" s="95"/>
      <c r="BA2" s="226" t="s">
        <v>185</v>
      </c>
      <c r="BB2" s="227">
        <f>VLOOKUP(BA2,DATA!$B$13:$C$19,2,0)</f>
        <v>100</v>
      </c>
      <c r="BC2" s="9">
        <f>VLOOKUP($BA$1,DATA!$B$24:$C$45,2,0)</f>
        <v>0.01</v>
      </c>
      <c r="BD2" s="9">
        <f t="shared" ref="BD2:BD33" si="10">BB2*BC2/100</f>
        <v>0.01</v>
      </c>
      <c r="BE2" s="84">
        <f t="shared" ref="BE2:BE33" si="11">BC2*$J2</f>
        <v>1.8</v>
      </c>
      <c r="BF2" s="226" t="s">
        <v>185</v>
      </c>
      <c r="BG2" s="227">
        <f>VLOOKUP(BF2,DATA!$B$13:$C$19,2,0)</f>
        <v>100</v>
      </c>
      <c r="BH2" s="9">
        <f>VLOOKUP($BF$1,DATA!$B$24:$C$45,2,0)</f>
        <v>0.08</v>
      </c>
      <c r="BI2" s="9">
        <f t="shared" ref="BI2:BI33" si="12">BG2*BH2/100</f>
        <v>0.08</v>
      </c>
      <c r="BJ2" s="84">
        <f t="shared" ref="BJ2:BJ33" si="13">BH2*$J2</f>
        <v>14.4</v>
      </c>
      <c r="BK2" s="226" t="s">
        <v>185</v>
      </c>
      <c r="BL2" s="227">
        <f>VLOOKUP(BK2,DATA!$B$13:$C$19,2,0)</f>
        <v>100</v>
      </c>
      <c r="BM2" s="9">
        <f>VLOOKUP($BK$1,DATA!$B$24:$C$45,2,0)</f>
        <v>0.18</v>
      </c>
      <c r="BN2" s="9">
        <f t="shared" ref="BN2:BN33" si="14">BL2*BM2/100</f>
        <v>0.18</v>
      </c>
      <c r="BO2" s="84">
        <f t="shared" ref="BO2:BO33" si="15">BM2*$J2</f>
        <v>32.4</v>
      </c>
      <c r="BP2" s="226" t="s">
        <v>185</v>
      </c>
      <c r="BQ2" s="227">
        <f>VLOOKUP(BP2,DATA!$B$13:$C$19,2,0)</f>
        <v>100</v>
      </c>
      <c r="BR2" s="9">
        <f>VLOOKUP($BP$1,DATA!$B$24:$C$45,2,0)</f>
        <v>0.28000000000000003</v>
      </c>
      <c r="BS2" s="9">
        <f t="shared" ref="BS2:BS33" si="16">BQ2*BR2/100</f>
        <v>0.28000000000000003</v>
      </c>
      <c r="BT2" s="84">
        <f t="shared" ref="BT2:BT33" si="17">BR2*$J2</f>
        <v>50.400000000000006</v>
      </c>
      <c r="BU2" s="226" t="s">
        <v>185</v>
      </c>
      <c r="BV2" s="227">
        <f>VLOOKUP(BU2,DATA!$B$13:$C$19,2,0)</f>
        <v>100</v>
      </c>
      <c r="BW2" s="9">
        <f>VLOOKUP($BU$1,DATA!$B$24:$C$45,2,0)</f>
        <v>0.15</v>
      </c>
      <c r="BX2" s="9">
        <f t="shared" ref="BX2:BX33" si="18">BV2*BW2/100</f>
        <v>0.15</v>
      </c>
      <c r="BY2" s="84">
        <f t="shared" ref="BY2:BY33" si="19">BW2*$J2</f>
        <v>27</v>
      </c>
      <c r="BZ2" s="226" t="s">
        <v>185</v>
      </c>
      <c r="CA2" s="227">
        <f>VLOOKUP(BZ2,DATA!$B$13:$C$19,2,0)</f>
        <v>100</v>
      </c>
      <c r="CB2" s="9">
        <f>VLOOKUP($BZ$1,DATA!$B$24:$C$45,2,0)</f>
        <v>0.16</v>
      </c>
      <c r="CC2" s="9">
        <f t="shared" ref="CC2:CC33" si="20">CA2*CB2/100</f>
        <v>0.16</v>
      </c>
      <c r="CD2" s="84">
        <f t="shared" ref="CD2:CD33" si="21">CB2*$J2</f>
        <v>28.8</v>
      </c>
      <c r="CE2" s="226" t="s">
        <v>185</v>
      </c>
      <c r="CF2" s="227">
        <f>VLOOKUP(CE2,DATA!$B$13:$C$19,2,0)</f>
        <v>100</v>
      </c>
      <c r="CG2" s="9">
        <f>VLOOKUP($CE$1,DATA!$B$24:$C$45,2,0)</f>
        <v>0.13</v>
      </c>
      <c r="CH2" s="9">
        <f t="shared" ref="CH2:CH33" si="22">CF2*CG2/100</f>
        <v>0.13</v>
      </c>
      <c r="CI2" s="84">
        <f t="shared" ref="CI2:CI33" si="23">CG2*$J2</f>
        <v>23.400000000000002</v>
      </c>
      <c r="CJ2" s="226" t="s">
        <v>185</v>
      </c>
      <c r="CK2" s="227">
        <f>VLOOKUP(CJ2,DATA!$B$13:$C$19,2,0)</f>
        <v>100</v>
      </c>
      <c r="CL2" s="9">
        <f>VLOOKUP($CJ$1,DATA!$B$24:$C$45,2,0)</f>
        <v>0.01</v>
      </c>
      <c r="CM2" s="9">
        <f t="shared" ref="CM2:CM33" si="24">CK2*CL2/100</f>
        <v>0.01</v>
      </c>
      <c r="CN2" s="84">
        <f t="shared" ref="CN2:CN33" si="25">CL2*$J2</f>
        <v>1.8</v>
      </c>
      <c r="CO2" s="96">
        <f t="shared" ref="CO2:CO33" si="26">CM2+CH2+CC2+BX2+BS2+BN2+BI2+BD2</f>
        <v>1</v>
      </c>
      <c r="CP2" s="9">
        <f>VLOOKUP($CO$1,DATA!$B$24:$C$45,2,0)</f>
        <v>0.54</v>
      </c>
      <c r="CQ2" s="9">
        <f t="shared" ref="CQ2:CQ33" si="27">CP2*CO2</f>
        <v>0.54</v>
      </c>
      <c r="CR2" s="3">
        <f t="shared" ref="CR2:CR33" si="28">CP2*$J2</f>
        <v>97.2</v>
      </c>
      <c r="CS2" s="129">
        <f t="shared" ref="CS2:CS33" si="29">CQ2*$J2</f>
        <v>97.2</v>
      </c>
      <c r="CT2" s="242">
        <f t="shared" ref="CT2:CT33" si="30">CR2-CS2</f>
        <v>0</v>
      </c>
      <c r="CU2" s="226" t="s">
        <v>185</v>
      </c>
      <c r="CV2" s="227">
        <f>VLOOKUP(CU2,DATA!$B$13:$C$19,2,0)</f>
        <v>100</v>
      </c>
      <c r="CW2" s="9">
        <f>VLOOKUP($CU$1,DATA!$B$24:$C$45,2,0)</f>
        <v>0.02</v>
      </c>
      <c r="CX2" s="9">
        <f t="shared" ref="CX2:CX33" si="31">CV2*CW2/100</f>
        <v>0.02</v>
      </c>
      <c r="CY2" s="3">
        <f t="shared" ref="CY2:CY33" si="32">CW2*$J2</f>
        <v>3.6</v>
      </c>
      <c r="CZ2" s="6"/>
      <c r="DA2" s="95"/>
      <c r="DB2" s="226" t="s">
        <v>185</v>
      </c>
      <c r="DC2" s="227">
        <f>VLOOKUP(DB2,DATA!$B$13:$C$19,2,0)</f>
        <v>100</v>
      </c>
      <c r="DD2" s="9">
        <f>VLOOKUP($DB$1,DATA!$B$24:$C$45,2,0)</f>
        <v>0.01</v>
      </c>
      <c r="DE2" s="9">
        <f t="shared" ref="DE2:DE33" si="33">DC2*DD2/100</f>
        <v>0.01</v>
      </c>
      <c r="DF2" s="3">
        <f t="shared" ref="DF2:DF33" si="34">DD2*$J2</f>
        <v>1.8</v>
      </c>
      <c r="DG2" s="6"/>
      <c r="DH2" s="95"/>
      <c r="DI2" s="226" t="s">
        <v>185</v>
      </c>
      <c r="DJ2" s="227">
        <f>VLOOKUP(DI2,DATA!$B$13:$C$19,2,0)</f>
        <v>100</v>
      </c>
      <c r="DK2" s="9">
        <f>VLOOKUP($DI$1,DATA!$B$24:$C$45,2,0)</f>
        <v>0.03</v>
      </c>
      <c r="DL2" s="9">
        <f t="shared" ref="DL2:DL33" si="35">DJ2*DK2/100</f>
        <v>0.03</v>
      </c>
      <c r="DM2" s="84">
        <f t="shared" ref="DM2:DM33" si="36">DK2*$J2</f>
        <v>5.3999999999999995</v>
      </c>
      <c r="DN2" s="226" t="s">
        <v>185</v>
      </c>
      <c r="DO2" s="227">
        <f>VLOOKUP(DN2,DATA!$B$13:$C$19,2,0)</f>
        <v>100</v>
      </c>
      <c r="DP2" s="9">
        <f>VLOOKUP($DN$1,DATA!$B$24:$C$45,2,0)</f>
        <v>7.0000000000000007E-2</v>
      </c>
      <c r="DQ2" s="9">
        <f t="shared" ref="DQ2:DQ33" si="37">DO2*DP2/100</f>
        <v>7.0000000000000007E-2</v>
      </c>
      <c r="DR2" s="3">
        <f t="shared" ref="DR2:DR33" si="38">DP2*$J2</f>
        <v>12.600000000000001</v>
      </c>
      <c r="DS2" s="6"/>
      <c r="DT2" s="95"/>
      <c r="DU2" s="226" t="s">
        <v>185</v>
      </c>
      <c r="DV2" s="227">
        <f>VLOOKUP(DU2,DATA!$B$13:$C$19,2,0)</f>
        <v>100</v>
      </c>
      <c r="DW2" s="9">
        <f>VLOOKUP($DU$1,DATA!$B$24:$C$45,2,0)</f>
        <v>0.04</v>
      </c>
      <c r="DX2" s="9">
        <f t="shared" ref="DX2:DX33" si="39">DV2*DW2/100</f>
        <v>0.04</v>
      </c>
      <c r="DY2" s="3">
        <f t="shared" ref="DY2:DY33" si="40">DW2*$J2</f>
        <v>7.2</v>
      </c>
      <c r="DZ2" s="6"/>
      <c r="EA2" s="95"/>
      <c r="EB2" s="226" t="s">
        <v>185</v>
      </c>
      <c r="EC2" s="227">
        <f>VLOOKUP(EB2,DATA!$B$13:$C$19,2,0)</f>
        <v>100</v>
      </c>
      <c r="ED2" s="9">
        <f>VLOOKUP($EB$1,DATA!$B$24:$C$45,2,0)</f>
        <v>0.05</v>
      </c>
      <c r="EE2" s="9">
        <f t="shared" ref="EE2:EE33" si="41">EC2*ED2/100</f>
        <v>0.05</v>
      </c>
      <c r="EF2" s="3">
        <f t="shared" ref="EF2:EF33" si="42">ED2*$J2</f>
        <v>9</v>
      </c>
      <c r="EG2" s="6"/>
      <c r="EH2" s="95"/>
      <c r="EI2" s="226" t="s">
        <v>185</v>
      </c>
      <c r="EJ2" s="227">
        <f>VLOOKUP(EI2,DATA!$B$13:$C$19,2,0)</f>
        <v>100</v>
      </c>
      <c r="EK2" s="9">
        <f>VLOOKUP($EI$1,DATA!$B$24:$C$45,2,0)</f>
        <v>0.1</v>
      </c>
      <c r="EL2" s="9">
        <f t="shared" ref="EL2:EL33" si="43">EJ2*EK2/100</f>
        <v>0.1</v>
      </c>
      <c r="EM2" s="3">
        <f t="shared" ref="EM2:EM33" si="44">EK2*$J2</f>
        <v>18</v>
      </c>
      <c r="EN2" s="6"/>
      <c r="EO2" s="95"/>
      <c r="EP2" s="226" t="s">
        <v>185</v>
      </c>
      <c r="EQ2" s="227">
        <f>VLOOKUP(EP2,DATA!$B$13:$C$19,2,0)</f>
        <v>100</v>
      </c>
      <c r="ER2" s="9">
        <f>VLOOKUP($EP$1,DATA!$B$24:$C$45,2,0)</f>
        <v>0.03</v>
      </c>
      <c r="ES2" s="9">
        <f t="shared" ref="ES2:ES33" si="45">EQ2*ER2/100</f>
        <v>0.03</v>
      </c>
      <c r="ET2" s="84">
        <f t="shared" ref="ET2:ET33" si="46">ER2*$J2</f>
        <v>5.3999999999999995</v>
      </c>
      <c r="EU2" s="244">
        <f t="shared" ref="EU2:EU33" si="47">SUM(
    IF(AH2&lt;&gt;"Finished",AL2,0) + N("READ INFO"),
    IF(AM2&lt;&gt;"Finished",AQ2,0) + N("LONG LEAD"),
    IF(AT2&lt;&gt;"Finished",AX2,0) + N("SWITCH LAYOUT"),
    IF(CJ2&lt;&gt;"Finished",CT2,0) + N("DESIGN"),
    IF(CU2&lt;&gt;"Finished",CY2,0) + N("REVISION"),
    IF(DB2&lt;&gt;"Finished",DF2,0) + N("CUST APRVL"),
    IF(DI2&lt;&gt;"Finished",DM2,0) + N("MEETINGS"),
    IF(DN2&lt;&gt;"Finished",DR2,0) + N("PURCHASING"),
    IF(DU2&lt;&gt;"Finished",DY2,0) + N("HANDOFF"),
    IF(EB2&lt;&gt;"Finished",EF2,0) + N("SUPPORT"),
    IF(EI2&lt;&gt;"Finished",EM2,0) + N("DOCUMENTATTION"),
    IF(EP2&lt;&gt;"Finished",ET2,0) + N("REDLINES"),
)</f>
        <v>0</v>
      </c>
      <c r="EV2" s="85" t="s">
        <v>186</v>
      </c>
      <c r="EW2" s="134" t="s">
        <v>187</v>
      </c>
      <c r="EX2" s="6"/>
    </row>
    <row r="3" spans="1:154" s="3" customFormat="1" ht="12.75" customHeight="1" x14ac:dyDescent="0.3">
      <c r="A3" s="3" t="s">
        <v>188</v>
      </c>
      <c r="B3" s="3" t="s">
        <v>189</v>
      </c>
      <c r="C3" s="3" t="s">
        <v>190</v>
      </c>
      <c r="D3" s="85" t="s">
        <v>191</v>
      </c>
      <c r="E3" s="85" t="s">
        <v>192</v>
      </c>
      <c r="F3" s="3">
        <v>3364</v>
      </c>
      <c r="G3" s="3">
        <v>3364</v>
      </c>
      <c r="H3" s="3">
        <v>70</v>
      </c>
      <c r="J3" s="229">
        <f>BaseDeDatos[[#This Row],[Budget CS]]+BaseDeDatos[[#This Row],[Change Orders Budget]]</f>
        <v>70</v>
      </c>
      <c r="K3" s="92">
        <f>IFERROR(VLOOKUP(G3, DATA!H:I, 2, FALSE), 0)+BaseDeDatos[[#This Row],[Labor Spend on Design errors]]+BaseDeDatos[[#This Row],[Labor
Spent Customer changes]]</f>
        <v>68</v>
      </c>
      <c r="L3" s="92"/>
      <c r="M3" s="92"/>
      <c r="N3" s="232">
        <f t="shared" si="0"/>
        <v>0.97000000000000008</v>
      </c>
      <c r="O3" s="238">
        <f t="shared" si="1"/>
        <v>68</v>
      </c>
      <c r="P3" s="39">
        <v>33.43</v>
      </c>
      <c r="Q3" s="89">
        <f>BaseDeDatos[[#This Row],[Budget]]*BaseDeDatos[[#This Row],[Labor Rate from CS]]</f>
        <v>2340.1</v>
      </c>
      <c r="R3" s="94">
        <f>BaseDeDatos[[#This Row],[Labor
Spent]]*BaseDeDatos[[#This Row],[Labor Rate from CS]]</f>
        <v>2273.2399999999998</v>
      </c>
      <c r="S3" s="42">
        <f t="shared" si="2"/>
        <v>0.97142857142857142</v>
      </c>
      <c r="T3" s="39">
        <v>254842</v>
      </c>
      <c r="U3" s="89"/>
      <c r="V3" s="39"/>
      <c r="W3" s="98">
        <v>28587.58</v>
      </c>
      <c r="X3" s="98">
        <v>28587.58</v>
      </c>
      <c r="Y3" s="98"/>
      <c r="Z3" s="98"/>
      <c r="AA3" s="39">
        <v>207598.51</v>
      </c>
      <c r="AB3" s="89">
        <f t="shared" si="3"/>
        <v>176670.83</v>
      </c>
      <c r="AC3" s="175">
        <f>SUM(AB3,X3,R3,BaseDeDatos[[#This Row],[Additionals cost]])</f>
        <v>207531.64999999997</v>
      </c>
      <c r="AD3" s="224">
        <v>0.18540000000000001</v>
      </c>
      <c r="AE3" s="117">
        <v>0.18540000000000001</v>
      </c>
      <c r="AF3" s="241">
        <f t="shared" si="4"/>
        <v>0.18564581191483365</v>
      </c>
      <c r="AG3" s="226">
        <v>46009</v>
      </c>
      <c r="AH3" s="226" t="s">
        <v>185</v>
      </c>
      <c r="AI3" s="227">
        <f>VLOOKUP(AH3,DATA!$B$13:$C$19,2,0)</f>
        <v>100</v>
      </c>
      <c r="AJ3" s="4">
        <f>VLOOKUP($AH$1,DATA!$B$24:$C$45,2,0)</f>
        <v>0.05</v>
      </c>
      <c r="AK3" s="3">
        <f>BaseDeDatos[[#This Row],[Read info
Status]]*(AJ3)/100</f>
        <v>0.05</v>
      </c>
      <c r="AL3" s="84">
        <f t="shared" si="5"/>
        <v>3.5</v>
      </c>
      <c r="AM3" s="226" t="s">
        <v>185</v>
      </c>
      <c r="AN3" s="227">
        <f>VLOOKUP(AM3,DATA!$B$13:$C$19,2,0)</f>
        <v>100</v>
      </c>
      <c r="AO3" s="9">
        <f>VLOOKUP($AM$1,DATA!$B$24:$C$45,2,0)</f>
        <v>0.05</v>
      </c>
      <c r="AP3" s="9">
        <f t="shared" si="6"/>
        <v>0.05</v>
      </c>
      <c r="AQ3" s="3">
        <f t="shared" si="7"/>
        <v>3.5</v>
      </c>
      <c r="AR3" s="6">
        <v>46034</v>
      </c>
      <c r="AS3" s="95">
        <v>46034</v>
      </c>
      <c r="AT3" s="226" t="s">
        <v>185</v>
      </c>
      <c r="AU3" s="227">
        <f>VLOOKUP(AT3,DATA!$B$13:$C$19,2,0)</f>
        <v>100</v>
      </c>
      <c r="AV3" s="9">
        <f>VLOOKUP($AT$1,DATA!$B$24:$C$45,2,0)</f>
        <v>0.01</v>
      </c>
      <c r="AW3" s="9">
        <f t="shared" si="8"/>
        <v>0.01</v>
      </c>
      <c r="AX3" s="3">
        <f t="shared" si="9"/>
        <v>0.70000000000000007</v>
      </c>
      <c r="AY3" s="6">
        <v>46048</v>
      </c>
      <c r="AZ3" s="95">
        <v>46051</v>
      </c>
      <c r="BA3" s="226" t="s">
        <v>185</v>
      </c>
      <c r="BB3" s="227">
        <f>VLOOKUP(BA3,DATA!$B$13:$C$19,2,0)</f>
        <v>100</v>
      </c>
      <c r="BC3" s="9">
        <f>VLOOKUP($BA$1,DATA!$B$24:$C$45,2,0)</f>
        <v>0.01</v>
      </c>
      <c r="BD3" s="9">
        <f t="shared" si="10"/>
        <v>0.01</v>
      </c>
      <c r="BE3" s="84">
        <f t="shared" si="11"/>
        <v>0.70000000000000007</v>
      </c>
      <c r="BF3" s="226" t="s">
        <v>185</v>
      </c>
      <c r="BG3" s="227">
        <f>VLOOKUP(BF3,DATA!$B$13:$C$19,2,0)</f>
        <v>100</v>
      </c>
      <c r="BH3" s="9">
        <f>VLOOKUP($BF$1,DATA!$B$24:$C$45,2,0)</f>
        <v>0.08</v>
      </c>
      <c r="BI3" s="9">
        <f t="shared" si="12"/>
        <v>0.08</v>
      </c>
      <c r="BJ3" s="84">
        <f t="shared" si="13"/>
        <v>5.6000000000000005</v>
      </c>
      <c r="BK3" s="226" t="s">
        <v>185</v>
      </c>
      <c r="BL3" s="227">
        <f>VLOOKUP(BK3,DATA!$B$13:$C$19,2,0)</f>
        <v>100</v>
      </c>
      <c r="BM3" s="9">
        <f>VLOOKUP($BK$1,DATA!$B$24:$C$45,2,0)</f>
        <v>0.18</v>
      </c>
      <c r="BN3" s="9">
        <f t="shared" si="14"/>
        <v>0.18</v>
      </c>
      <c r="BO3" s="84">
        <f t="shared" si="15"/>
        <v>12.6</v>
      </c>
      <c r="BP3" s="226" t="s">
        <v>185</v>
      </c>
      <c r="BQ3" s="227">
        <f>VLOOKUP(BP3,DATA!$B$13:$C$19,2,0)</f>
        <v>100</v>
      </c>
      <c r="BR3" s="9">
        <f>VLOOKUP($BP$1,DATA!$B$24:$C$45,2,0)</f>
        <v>0.28000000000000003</v>
      </c>
      <c r="BS3" s="9">
        <f t="shared" si="16"/>
        <v>0.28000000000000003</v>
      </c>
      <c r="BT3" s="84">
        <f t="shared" si="17"/>
        <v>19.600000000000001</v>
      </c>
      <c r="BU3" s="226" t="s">
        <v>185</v>
      </c>
      <c r="BV3" s="227">
        <f>VLOOKUP(BU3,DATA!$B$13:$C$19,2,0)</f>
        <v>100</v>
      </c>
      <c r="BW3" s="9">
        <f>VLOOKUP($BU$1,DATA!$B$24:$C$45,2,0)</f>
        <v>0.15</v>
      </c>
      <c r="BX3" s="9">
        <f t="shared" si="18"/>
        <v>0.15</v>
      </c>
      <c r="BY3" s="84">
        <f t="shared" si="19"/>
        <v>10.5</v>
      </c>
      <c r="BZ3" s="226" t="s">
        <v>185</v>
      </c>
      <c r="CA3" s="227">
        <f>VLOOKUP(BZ3,DATA!$B$13:$C$19,2,0)</f>
        <v>100</v>
      </c>
      <c r="CB3" s="9">
        <f>VLOOKUP($BZ$1,DATA!$B$24:$C$45,2,0)</f>
        <v>0.16</v>
      </c>
      <c r="CC3" s="9">
        <f t="shared" si="20"/>
        <v>0.16</v>
      </c>
      <c r="CD3" s="84">
        <f t="shared" si="21"/>
        <v>11.200000000000001</v>
      </c>
      <c r="CE3" s="226" t="s">
        <v>185</v>
      </c>
      <c r="CF3" s="227">
        <f>VLOOKUP(CE3,DATA!$B$13:$C$19,2,0)</f>
        <v>100</v>
      </c>
      <c r="CG3" s="9">
        <f>VLOOKUP($CE$1,DATA!$B$24:$C$45,2,0)</f>
        <v>0.13</v>
      </c>
      <c r="CH3" s="9">
        <f t="shared" si="22"/>
        <v>0.13</v>
      </c>
      <c r="CI3" s="84">
        <f t="shared" si="23"/>
        <v>9.1</v>
      </c>
      <c r="CJ3" s="226" t="s">
        <v>185</v>
      </c>
      <c r="CK3" s="227">
        <f>VLOOKUP(CJ3,DATA!$B$13:$C$19,2,0)</f>
        <v>100</v>
      </c>
      <c r="CL3" s="9">
        <f>VLOOKUP($CJ$1,DATA!$B$24:$C$45,2,0)</f>
        <v>0.01</v>
      </c>
      <c r="CM3" s="9">
        <f t="shared" si="24"/>
        <v>0.01</v>
      </c>
      <c r="CN3" s="84">
        <f t="shared" si="25"/>
        <v>0.70000000000000007</v>
      </c>
      <c r="CO3" s="96">
        <f t="shared" si="26"/>
        <v>1</v>
      </c>
      <c r="CP3" s="9">
        <f>VLOOKUP($CO$1,DATA!$B$24:$C$45,2,0)</f>
        <v>0.54</v>
      </c>
      <c r="CQ3" s="9">
        <f t="shared" si="27"/>
        <v>0.54</v>
      </c>
      <c r="CR3" s="3">
        <f t="shared" si="28"/>
        <v>37.800000000000004</v>
      </c>
      <c r="CS3" s="7">
        <f t="shared" si="29"/>
        <v>37.800000000000004</v>
      </c>
      <c r="CT3" s="243">
        <f t="shared" si="30"/>
        <v>0</v>
      </c>
      <c r="CU3" s="226" t="s">
        <v>185</v>
      </c>
      <c r="CV3" s="227">
        <f>VLOOKUP(CU3,DATA!$B$13:$C$19,2,0)</f>
        <v>100</v>
      </c>
      <c r="CW3" s="9">
        <f>VLOOKUP($CU$1,DATA!$B$24:$C$45,2,0)</f>
        <v>0.02</v>
      </c>
      <c r="CX3" s="9">
        <f t="shared" si="31"/>
        <v>0.02</v>
      </c>
      <c r="CY3" s="3">
        <f t="shared" si="32"/>
        <v>1.4000000000000001</v>
      </c>
      <c r="CZ3" s="6"/>
      <c r="DA3" s="95"/>
      <c r="DB3" s="226" t="s">
        <v>185</v>
      </c>
      <c r="DC3" s="227">
        <f>VLOOKUP(DB3,DATA!$B$13:$C$19,2,0)</f>
        <v>100</v>
      </c>
      <c r="DD3" s="9">
        <f>VLOOKUP($DB$1,DATA!$B$24:$C$45,2,0)</f>
        <v>0.01</v>
      </c>
      <c r="DE3" s="9">
        <f t="shared" si="33"/>
        <v>0.01</v>
      </c>
      <c r="DF3" s="3">
        <f t="shared" si="34"/>
        <v>0.70000000000000007</v>
      </c>
      <c r="DG3" s="6"/>
      <c r="DH3" s="95"/>
      <c r="DI3" s="226" t="s">
        <v>185</v>
      </c>
      <c r="DJ3" s="227">
        <f>VLOOKUP(DI3,DATA!$B$13:$C$19,2,0)</f>
        <v>100</v>
      </c>
      <c r="DK3" s="9">
        <f>VLOOKUP($DI$1,DATA!$B$24:$C$45,2,0)</f>
        <v>0.03</v>
      </c>
      <c r="DL3" s="9">
        <f t="shared" si="35"/>
        <v>0.03</v>
      </c>
      <c r="DM3" s="84">
        <f t="shared" si="36"/>
        <v>2.1</v>
      </c>
      <c r="DN3" s="226" t="s">
        <v>185</v>
      </c>
      <c r="DO3" s="227">
        <f>VLOOKUP(DN3,DATA!$B$13:$C$19,2,0)</f>
        <v>100</v>
      </c>
      <c r="DP3" s="9">
        <f>VLOOKUP($DN$1,DATA!$B$24:$C$45,2,0)</f>
        <v>7.0000000000000007E-2</v>
      </c>
      <c r="DQ3" s="9">
        <f t="shared" si="37"/>
        <v>7.0000000000000007E-2</v>
      </c>
      <c r="DR3" s="3">
        <f t="shared" si="38"/>
        <v>4.9000000000000004</v>
      </c>
      <c r="DS3" s="6"/>
      <c r="DT3" s="95"/>
      <c r="DU3" s="226" t="s">
        <v>185</v>
      </c>
      <c r="DV3" s="227">
        <f>VLOOKUP(DU3,DATA!$B$13:$C$19,2,0)</f>
        <v>100</v>
      </c>
      <c r="DW3" s="9">
        <f>VLOOKUP($DU$1,DATA!$B$24:$C$45,2,0)</f>
        <v>0.04</v>
      </c>
      <c r="DX3" s="9">
        <f t="shared" si="39"/>
        <v>0.04</v>
      </c>
      <c r="DY3" s="3">
        <f t="shared" si="40"/>
        <v>2.8000000000000003</v>
      </c>
      <c r="DZ3" s="6"/>
      <c r="EA3" s="95"/>
      <c r="EB3" s="226" t="s">
        <v>185</v>
      </c>
      <c r="EC3" s="227">
        <f>VLOOKUP(EB3,DATA!$B$13:$C$19,2,0)</f>
        <v>100</v>
      </c>
      <c r="ED3" s="9">
        <f>VLOOKUP($EB$1,DATA!$B$24:$C$45,2,0)</f>
        <v>0.05</v>
      </c>
      <c r="EE3" s="9">
        <f t="shared" si="41"/>
        <v>0.05</v>
      </c>
      <c r="EF3" s="3">
        <f t="shared" si="42"/>
        <v>3.5</v>
      </c>
      <c r="EG3" s="6"/>
      <c r="EH3" s="95"/>
      <c r="EI3" s="226" t="s">
        <v>185</v>
      </c>
      <c r="EJ3" s="227">
        <f>VLOOKUP(EI3,DATA!$B$13:$C$19,2,0)</f>
        <v>100</v>
      </c>
      <c r="EK3" s="9">
        <f>VLOOKUP($EI$1,DATA!$B$24:$C$45,2,0)</f>
        <v>0.1</v>
      </c>
      <c r="EL3" s="9">
        <f t="shared" si="43"/>
        <v>0.1</v>
      </c>
      <c r="EM3" s="3">
        <f t="shared" si="44"/>
        <v>7</v>
      </c>
      <c r="EN3" s="6"/>
      <c r="EO3" s="95"/>
      <c r="EP3" s="226" t="s">
        <v>193</v>
      </c>
      <c r="EQ3" s="227">
        <f>VLOOKUP(EP3,DATA!$B$13:$C$19,2,0)</f>
        <v>0</v>
      </c>
      <c r="ER3" s="9">
        <f>VLOOKUP($EP$1,DATA!$B$24:$C$45,2,0)</f>
        <v>0.03</v>
      </c>
      <c r="ES3" s="9">
        <f t="shared" si="45"/>
        <v>0</v>
      </c>
      <c r="ET3" s="84">
        <f t="shared" si="46"/>
        <v>2.1</v>
      </c>
      <c r="EU3" s="245">
        <f t="shared" si="47"/>
        <v>2.1</v>
      </c>
      <c r="EV3" s="85" t="s">
        <v>187</v>
      </c>
      <c r="EW3" s="134" t="s">
        <v>186</v>
      </c>
      <c r="EX3" s="6"/>
    </row>
    <row r="4" spans="1:154" s="3" customFormat="1" ht="12.75" customHeight="1" x14ac:dyDescent="0.3">
      <c r="A4" s="3" t="s">
        <v>188</v>
      </c>
      <c r="B4" s="3" t="s">
        <v>194</v>
      </c>
      <c r="C4" s="3" t="s">
        <v>195</v>
      </c>
      <c r="D4" s="85" t="s">
        <v>196</v>
      </c>
      <c r="E4" s="85" t="s">
        <v>196</v>
      </c>
      <c r="F4" s="3">
        <v>3365</v>
      </c>
      <c r="G4" s="3">
        <v>3365</v>
      </c>
      <c r="H4" s="3">
        <v>40</v>
      </c>
      <c r="J4" s="229">
        <f>BaseDeDatos[[#This Row],[Budget CS]]+BaseDeDatos[[#This Row],[Change Orders Budget]]</f>
        <v>40</v>
      </c>
      <c r="K4" s="92">
        <f>IFERROR(VLOOKUP(G4, DATA!H:I, 2, FALSE), 0)+BaseDeDatos[[#This Row],[Labor Spend on Design errors]]+BaseDeDatos[[#This Row],[Labor
Spent Customer changes]]</f>
        <v>1</v>
      </c>
      <c r="L4" s="92"/>
      <c r="M4" s="92"/>
      <c r="N4" s="232">
        <f t="shared" si="0"/>
        <v>0</v>
      </c>
      <c r="O4" s="238">
        <f t="shared" si="1"/>
        <v>1</v>
      </c>
      <c r="P4" s="39">
        <v>33.43</v>
      </c>
      <c r="Q4" s="89">
        <f>BaseDeDatos[[#This Row],[Budget]]*BaseDeDatos[[#This Row],[Labor Rate from CS]]</f>
        <v>1337.2</v>
      </c>
      <c r="R4" s="94">
        <f>BaseDeDatos[[#This Row],[Labor
Spent]]*BaseDeDatos[[#This Row],[Labor Rate from CS]]</f>
        <v>33.43</v>
      </c>
      <c r="S4" s="42">
        <f t="shared" si="2"/>
        <v>2.5000000000000001E-2</v>
      </c>
      <c r="T4" s="98">
        <v>113384</v>
      </c>
      <c r="U4" s="89"/>
      <c r="V4" s="39"/>
      <c r="W4" s="98">
        <v>16335</v>
      </c>
      <c r="X4" s="98">
        <v>16335</v>
      </c>
      <c r="Y4" s="39"/>
      <c r="Z4" s="39"/>
      <c r="AA4" s="39">
        <v>91575.64</v>
      </c>
      <c r="AB4" s="175">
        <f t="shared" si="3"/>
        <v>73903.44</v>
      </c>
      <c r="AC4" s="175">
        <f>SUM(AB4,X4,R4,BaseDeDatos[[#This Row],[Additionals cost]])</f>
        <v>90271.87</v>
      </c>
      <c r="AD4" s="224">
        <v>0.1923</v>
      </c>
      <c r="AE4" s="97"/>
      <c r="AF4" s="241">
        <f t="shared" si="4"/>
        <v>0.20383943060749316</v>
      </c>
      <c r="AG4" s="226"/>
      <c r="AH4" s="226" t="s">
        <v>193</v>
      </c>
      <c r="AI4" s="227">
        <f>VLOOKUP(AH4,DATA!$B$13:$C$19,2,0)</f>
        <v>0</v>
      </c>
      <c r="AJ4" s="6"/>
      <c r="AK4" s="3">
        <f>BaseDeDatos[[#This Row],[Read info
Status]]*(AJ4)/100</f>
        <v>0</v>
      </c>
      <c r="AL4" s="84">
        <f t="shared" si="5"/>
        <v>0</v>
      </c>
      <c r="AM4" s="226" t="s">
        <v>193</v>
      </c>
      <c r="AN4" s="227">
        <f>VLOOKUP(AM4,DATA!$B$13:$C$19,2,0)</f>
        <v>0</v>
      </c>
      <c r="AO4" s="9">
        <f>VLOOKUP($AM$1,DATA!$B$24:$C$45,2,0)</f>
        <v>0.05</v>
      </c>
      <c r="AP4" s="9">
        <f t="shared" si="6"/>
        <v>0</v>
      </c>
      <c r="AQ4" s="3">
        <f t="shared" si="7"/>
        <v>2</v>
      </c>
      <c r="AR4" s="6"/>
      <c r="AS4" s="95"/>
      <c r="AT4" s="226" t="s">
        <v>193</v>
      </c>
      <c r="AU4" s="227">
        <f>VLOOKUP(AT4,DATA!$B$13:$C$19,2,0)</f>
        <v>0</v>
      </c>
      <c r="AV4" s="9">
        <f>VLOOKUP($AT$1,DATA!$B$24:$C$45,2,0)</f>
        <v>0.01</v>
      </c>
      <c r="AW4" s="9">
        <f t="shared" si="8"/>
        <v>0</v>
      </c>
      <c r="AX4" s="3">
        <f t="shared" si="9"/>
        <v>0.4</v>
      </c>
      <c r="AY4" s="6"/>
      <c r="AZ4" s="95"/>
      <c r="BA4" s="226" t="s">
        <v>193</v>
      </c>
      <c r="BB4" s="227">
        <f>VLOOKUP(BA4,DATA!$B$13:$C$19,2,0)</f>
        <v>0</v>
      </c>
      <c r="BC4" s="9">
        <f>VLOOKUP($BA$1,DATA!$B$24:$C$45,2,0)</f>
        <v>0.01</v>
      </c>
      <c r="BD4" s="9">
        <f t="shared" si="10"/>
        <v>0</v>
      </c>
      <c r="BE4" s="84">
        <f t="shared" si="11"/>
        <v>0.4</v>
      </c>
      <c r="BF4" s="226" t="s">
        <v>193</v>
      </c>
      <c r="BG4" s="227">
        <f>VLOOKUP(BF4,DATA!$B$13:$C$19,2,0)</f>
        <v>0</v>
      </c>
      <c r="BH4" s="9">
        <f>VLOOKUP($BF$1,DATA!$B$24:$C$45,2,0)</f>
        <v>0.08</v>
      </c>
      <c r="BI4" s="9">
        <f t="shared" si="12"/>
        <v>0</v>
      </c>
      <c r="BJ4" s="84">
        <f t="shared" si="13"/>
        <v>3.2</v>
      </c>
      <c r="BK4" s="226" t="s">
        <v>193</v>
      </c>
      <c r="BL4" s="227">
        <f>VLOOKUP(BK4,DATA!$B$13:$C$19,2,0)</f>
        <v>0</v>
      </c>
      <c r="BM4" s="9">
        <f>VLOOKUP($BK$1,DATA!$B$24:$C$45,2,0)</f>
        <v>0.18</v>
      </c>
      <c r="BN4" s="9">
        <f t="shared" si="14"/>
        <v>0</v>
      </c>
      <c r="BO4" s="84">
        <f t="shared" si="15"/>
        <v>7.1999999999999993</v>
      </c>
      <c r="BP4" s="226" t="s">
        <v>193</v>
      </c>
      <c r="BQ4" s="227">
        <f>VLOOKUP(BP4,DATA!$B$13:$C$19,2,0)</f>
        <v>0</v>
      </c>
      <c r="BR4" s="9">
        <f>VLOOKUP($BP$1,DATA!$B$24:$C$45,2,0)</f>
        <v>0.28000000000000003</v>
      </c>
      <c r="BS4" s="9">
        <f t="shared" si="16"/>
        <v>0</v>
      </c>
      <c r="BT4" s="84">
        <f t="shared" si="17"/>
        <v>11.200000000000001</v>
      </c>
      <c r="BU4" s="226" t="s">
        <v>193</v>
      </c>
      <c r="BV4" s="227">
        <f>VLOOKUP(BU4,DATA!$B$13:$C$19,2,0)</f>
        <v>0</v>
      </c>
      <c r="BW4" s="9">
        <f>VLOOKUP($BU$1,DATA!$B$24:$C$45,2,0)</f>
        <v>0.15</v>
      </c>
      <c r="BX4" s="9">
        <f t="shared" si="18"/>
        <v>0</v>
      </c>
      <c r="BY4" s="84">
        <f t="shared" si="19"/>
        <v>6</v>
      </c>
      <c r="BZ4" s="226" t="s">
        <v>193</v>
      </c>
      <c r="CA4" s="227">
        <f>VLOOKUP(BZ4,DATA!$B$13:$C$19,2,0)</f>
        <v>0</v>
      </c>
      <c r="CB4" s="9">
        <f>VLOOKUP($BZ$1,DATA!$B$24:$C$45,2,0)</f>
        <v>0.16</v>
      </c>
      <c r="CC4" s="9">
        <f t="shared" si="20"/>
        <v>0</v>
      </c>
      <c r="CD4" s="84">
        <f t="shared" si="21"/>
        <v>6.4</v>
      </c>
      <c r="CE4" s="226" t="s">
        <v>193</v>
      </c>
      <c r="CF4" s="227">
        <f>VLOOKUP(CE4,DATA!$B$13:$C$19,2,0)</f>
        <v>0</v>
      </c>
      <c r="CG4" s="9">
        <f>VLOOKUP($CE$1,DATA!$B$24:$C$45,2,0)</f>
        <v>0.13</v>
      </c>
      <c r="CH4" s="9">
        <f t="shared" si="22"/>
        <v>0</v>
      </c>
      <c r="CI4" s="84">
        <f t="shared" si="23"/>
        <v>5.2</v>
      </c>
      <c r="CJ4" s="226" t="s">
        <v>193</v>
      </c>
      <c r="CK4" s="227">
        <f>VLOOKUP(CJ4,DATA!$B$13:$C$19,2,0)</f>
        <v>0</v>
      </c>
      <c r="CL4" s="9">
        <f>VLOOKUP($CJ$1,DATA!$B$24:$C$45,2,0)</f>
        <v>0.01</v>
      </c>
      <c r="CM4" s="9">
        <f t="shared" si="24"/>
        <v>0</v>
      </c>
      <c r="CN4" s="84">
        <f t="shared" si="25"/>
        <v>0.4</v>
      </c>
      <c r="CO4" s="96">
        <f t="shared" si="26"/>
        <v>0</v>
      </c>
      <c r="CP4" s="9">
        <f>VLOOKUP($CO$1,DATA!$B$24:$C$45,2,0)</f>
        <v>0.54</v>
      </c>
      <c r="CQ4" s="9">
        <f t="shared" si="27"/>
        <v>0</v>
      </c>
      <c r="CR4" s="3">
        <f t="shared" si="28"/>
        <v>21.6</v>
      </c>
      <c r="CS4" s="7">
        <f t="shared" si="29"/>
        <v>0</v>
      </c>
      <c r="CT4" s="243">
        <f t="shared" si="30"/>
        <v>21.6</v>
      </c>
      <c r="CU4" s="226" t="s">
        <v>193</v>
      </c>
      <c r="CV4" s="227">
        <f>VLOOKUP(CU4,DATA!$B$13:$C$19,2,0)</f>
        <v>0</v>
      </c>
      <c r="CW4" s="9">
        <f>VLOOKUP($CU$1,DATA!$B$24:$C$45,2,0)</f>
        <v>0.02</v>
      </c>
      <c r="CX4" s="9">
        <f t="shared" si="31"/>
        <v>0</v>
      </c>
      <c r="CY4" s="3">
        <f t="shared" si="32"/>
        <v>0.8</v>
      </c>
      <c r="CZ4" s="6"/>
      <c r="DA4" s="95"/>
      <c r="DB4" s="226" t="s">
        <v>193</v>
      </c>
      <c r="DC4" s="227">
        <f>VLOOKUP(DB4,DATA!$B$13:$C$19,2,0)</f>
        <v>0</v>
      </c>
      <c r="DD4" s="9">
        <f>VLOOKUP($DB$1,DATA!$B$24:$C$45,2,0)</f>
        <v>0.01</v>
      </c>
      <c r="DE4" s="9">
        <f t="shared" si="33"/>
        <v>0</v>
      </c>
      <c r="DF4" s="3">
        <f t="shared" si="34"/>
        <v>0.4</v>
      </c>
      <c r="DG4" s="6"/>
      <c r="DH4" s="95"/>
      <c r="DI4" s="226" t="s">
        <v>193</v>
      </c>
      <c r="DJ4" s="227">
        <f>VLOOKUP(DI4,DATA!$B$13:$C$19,2,0)</f>
        <v>0</v>
      </c>
      <c r="DK4" s="9">
        <f>VLOOKUP($DI$1,DATA!$B$24:$C$45,2,0)</f>
        <v>0.03</v>
      </c>
      <c r="DL4" s="9">
        <f t="shared" si="35"/>
        <v>0</v>
      </c>
      <c r="DM4" s="84">
        <f t="shared" si="36"/>
        <v>1.2</v>
      </c>
      <c r="DN4" s="226" t="s">
        <v>193</v>
      </c>
      <c r="DO4" s="227">
        <f>VLOOKUP(DN4,DATA!$B$13:$C$19,2,0)</f>
        <v>0</v>
      </c>
      <c r="DP4" s="9">
        <f>VLOOKUP($DN$1,DATA!$B$24:$C$45,2,0)</f>
        <v>7.0000000000000007E-2</v>
      </c>
      <c r="DQ4" s="9">
        <f t="shared" si="37"/>
        <v>0</v>
      </c>
      <c r="DR4" s="3">
        <f t="shared" si="38"/>
        <v>2.8000000000000003</v>
      </c>
      <c r="DS4" s="6"/>
      <c r="DT4" s="95"/>
      <c r="DU4" s="226" t="s">
        <v>193</v>
      </c>
      <c r="DV4" s="227">
        <f>VLOOKUP(DU4,DATA!$B$13:$C$19,2,0)</f>
        <v>0</v>
      </c>
      <c r="DW4" s="9">
        <f>VLOOKUP($DU$1,DATA!$B$24:$C$45,2,0)</f>
        <v>0.04</v>
      </c>
      <c r="DX4" s="9">
        <f t="shared" si="39"/>
        <v>0</v>
      </c>
      <c r="DY4" s="3">
        <f t="shared" si="40"/>
        <v>1.6</v>
      </c>
      <c r="DZ4" s="6"/>
      <c r="EA4" s="95"/>
      <c r="EB4" s="226" t="s">
        <v>193</v>
      </c>
      <c r="EC4" s="227">
        <f>VLOOKUP(EB4,DATA!$B$13:$C$19,2,0)</f>
        <v>0</v>
      </c>
      <c r="ED4" s="9">
        <f>VLOOKUP($EB$1,DATA!$B$24:$C$45,2,0)</f>
        <v>0.05</v>
      </c>
      <c r="EE4" s="9">
        <f t="shared" si="41"/>
        <v>0</v>
      </c>
      <c r="EF4" s="3">
        <f t="shared" si="42"/>
        <v>2</v>
      </c>
      <c r="EG4" s="6"/>
      <c r="EH4" s="95"/>
      <c r="EI4" s="226" t="s">
        <v>193</v>
      </c>
      <c r="EJ4" s="227">
        <f>VLOOKUP(EI4,DATA!$B$13:$C$19,2,0)</f>
        <v>0</v>
      </c>
      <c r="EK4" s="9">
        <f>VLOOKUP($EI$1,DATA!$B$24:$C$45,2,0)</f>
        <v>0.1</v>
      </c>
      <c r="EL4" s="9">
        <f t="shared" si="43"/>
        <v>0</v>
      </c>
      <c r="EM4" s="3">
        <f t="shared" si="44"/>
        <v>4</v>
      </c>
      <c r="EN4" s="6"/>
      <c r="EO4" s="95"/>
      <c r="EP4" s="226" t="s">
        <v>193</v>
      </c>
      <c r="EQ4" s="227">
        <f>VLOOKUP(EP4,DATA!$B$13:$C$19,2,0)</f>
        <v>0</v>
      </c>
      <c r="ER4" s="9">
        <f>VLOOKUP($EP$1,DATA!$B$24:$C$45,2,0)</f>
        <v>0.03</v>
      </c>
      <c r="ES4" s="9">
        <f t="shared" si="45"/>
        <v>0</v>
      </c>
      <c r="ET4" s="84">
        <f t="shared" si="46"/>
        <v>1.2</v>
      </c>
      <c r="EU4" s="245">
        <f t="shared" si="47"/>
        <v>38</v>
      </c>
      <c r="EV4" s="85" t="s">
        <v>186</v>
      </c>
      <c r="EW4" s="134" t="s">
        <v>197</v>
      </c>
      <c r="EX4" s="6"/>
    </row>
    <row r="5" spans="1:154" ht="12.75" customHeight="1" x14ac:dyDescent="0.3">
      <c r="A5" s="3" t="s">
        <v>188</v>
      </c>
      <c r="B5" s="3" t="s">
        <v>181</v>
      </c>
      <c r="C5" s="3" t="s">
        <v>198</v>
      </c>
      <c r="D5" s="85" t="s">
        <v>199</v>
      </c>
      <c r="E5" s="85" t="s">
        <v>200</v>
      </c>
      <c r="F5" s="3">
        <v>3366</v>
      </c>
      <c r="G5" s="3">
        <v>3366</v>
      </c>
      <c r="H5" s="3">
        <v>24</v>
      </c>
      <c r="I5" s="3"/>
      <c r="J5" s="229">
        <f>BaseDeDatos[[#This Row],[Budget CS]]+BaseDeDatos[[#This Row],[Change Orders Budget]]</f>
        <v>24</v>
      </c>
      <c r="K5" s="92">
        <f>IFERROR(VLOOKUP(G5, DATA!H:I, 2, FALSE), 0)+BaseDeDatos[[#This Row],[Labor Spend on Design errors]]+BaseDeDatos[[#This Row],[Labor
Spent Customer changes]]</f>
        <v>17</v>
      </c>
      <c r="L5" s="92"/>
      <c r="M5" s="92"/>
      <c r="N5" s="232">
        <f t="shared" si="0"/>
        <v>0.8984000000000002</v>
      </c>
      <c r="O5" s="238">
        <f t="shared" si="1"/>
        <v>17</v>
      </c>
      <c r="P5" s="39">
        <v>33.43</v>
      </c>
      <c r="Q5" s="89">
        <f>BaseDeDatos[[#This Row],[Budget]]*BaseDeDatos[[#This Row],[Labor Rate from CS]]</f>
        <v>802.31999999999994</v>
      </c>
      <c r="R5" s="94">
        <f>BaseDeDatos[[#This Row],[Labor
Spent]]*BaseDeDatos[[#This Row],[Labor Rate from CS]]</f>
        <v>568.30999999999995</v>
      </c>
      <c r="S5" s="42">
        <f t="shared" si="2"/>
        <v>0.70833333333333337</v>
      </c>
      <c r="T5" s="39">
        <v>21035.56</v>
      </c>
      <c r="U5" s="89"/>
      <c r="V5" s="39"/>
      <c r="W5" s="39">
        <v>2096</v>
      </c>
      <c r="X5" s="39">
        <v>2096</v>
      </c>
      <c r="Y5" s="39"/>
      <c r="Z5" s="39"/>
      <c r="AA5" s="39">
        <v>17200.62</v>
      </c>
      <c r="AB5" s="89">
        <f t="shared" si="3"/>
        <v>14302.3</v>
      </c>
      <c r="AC5" s="175">
        <f>SUM(AB5,X5,R5,BaseDeDatos[[#This Row],[Additionals cost]])</f>
        <v>16966.61</v>
      </c>
      <c r="AD5" s="224">
        <v>0.18229999999999999</v>
      </c>
      <c r="AE5" s="224">
        <v>0.18229999999999999</v>
      </c>
      <c r="AF5" s="241">
        <f t="shared" si="4"/>
        <v>0.19343197899176445</v>
      </c>
      <c r="AG5" s="226">
        <v>46035</v>
      </c>
      <c r="AH5" s="226" t="s">
        <v>185</v>
      </c>
      <c r="AI5" s="227">
        <f>VLOOKUP(AH5,DATA!$B$13:$C$19,2,0)</f>
        <v>100</v>
      </c>
      <c r="AJ5" s="5"/>
      <c r="AK5" s="3">
        <f>BaseDeDatos[[#This Row],[Read info
Status]]*(AJ5)/100</f>
        <v>0</v>
      </c>
      <c r="AL5" s="84">
        <f t="shared" si="5"/>
        <v>0</v>
      </c>
      <c r="AM5" s="226" t="s">
        <v>185</v>
      </c>
      <c r="AN5" s="227">
        <f>VLOOKUP(AM5,DATA!$B$13:$C$19,2,0)</f>
        <v>100</v>
      </c>
      <c r="AO5" s="9">
        <f>VLOOKUP($AM$1,DATA!$B$24:$C$45,2,0)</f>
        <v>0.05</v>
      </c>
      <c r="AP5" s="9">
        <f t="shared" si="6"/>
        <v>0.05</v>
      </c>
      <c r="AQ5" s="3">
        <f t="shared" si="7"/>
        <v>1.2000000000000002</v>
      </c>
      <c r="AR5" s="6"/>
      <c r="AS5" s="95"/>
      <c r="AT5" s="226" t="s">
        <v>185</v>
      </c>
      <c r="AU5" s="227">
        <f>VLOOKUP(AT5,DATA!$B$13:$C$19,2,0)</f>
        <v>100</v>
      </c>
      <c r="AV5" s="9">
        <f>VLOOKUP($AT$1,DATA!$B$24:$C$45,2,0)</f>
        <v>0.01</v>
      </c>
      <c r="AW5" s="9">
        <f t="shared" si="8"/>
        <v>0.01</v>
      </c>
      <c r="AX5" s="3">
        <f t="shared" si="9"/>
        <v>0.24</v>
      </c>
      <c r="AY5" s="6"/>
      <c r="AZ5" s="95"/>
      <c r="BA5" s="226" t="s">
        <v>185</v>
      </c>
      <c r="BB5" s="227">
        <f>VLOOKUP(BA5,DATA!$B$13:$C$19,2,0)</f>
        <v>100</v>
      </c>
      <c r="BC5" s="9">
        <f>VLOOKUP($BA$1,DATA!$B$24:$C$45,2,0)</f>
        <v>0.01</v>
      </c>
      <c r="BD5" s="9">
        <f t="shared" si="10"/>
        <v>0.01</v>
      </c>
      <c r="BE5" s="84">
        <f t="shared" si="11"/>
        <v>0.24</v>
      </c>
      <c r="BF5" s="226" t="s">
        <v>185</v>
      </c>
      <c r="BG5" s="227">
        <f>VLOOKUP(BF5,DATA!$B$13:$C$19,2,0)</f>
        <v>100</v>
      </c>
      <c r="BH5" s="9">
        <f>VLOOKUP($BF$1,DATA!$B$24:$C$45,2,0)</f>
        <v>0.08</v>
      </c>
      <c r="BI5" s="9">
        <f t="shared" si="12"/>
        <v>0.08</v>
      </c>
      <c r="BJ5" s="84">
        <f t="shared" si="13"/>
        <v>1.92</v>
      </c>
      <c r="BK5" s="226" t="s">
        <v>185</v>
      </c>
      <c r="BL5" s="227">
        <f>VLOOKUP(BK5,DATA!$B$13:$C$19,2,0)</f>
        <v>100</v>
      </c>
      <c r="BM5" s="9">
        <f>VLOOKUP($BK$1,DATA!$B$24:$C$45,2,0)</f>
        <v>0.18</v>
      </c>
      <c r="BN5" s="9">
        <f t="shared" si="14"/>
        <v>0.18</v>
      </c>
      <c r="BO5" s="84">
        <f t="shared" si="15"/>
        <v>4.32</v>
      </c>
      <c r="BP5" s="226" t="s">
        <v>185</v>
      </c>
      <c r="BQ5" s="227">
        <f>VLOOKUP(BP5,DATA!$B$13:$C$19,2,0)</f>
        <v>100</v>
      </c>
      <c r="BR5" s="9">
        <f>VLOOKUP($BP$1,DATA!$B$24:$C$45,2,0)</f>
        <v>0.28000000000000003</v>
      </c>
      <c r="BS5" s="9">
        <f t="shared" si="16"/>
        <v>0.28000000000000003</v>
      </c>
      <c r="BT5" s="84">
        <f t="shared" si="17"/>
        <v>6.7200000000000006</v>
      </c>
      <c r="BU5" s="226" t="s">
        <v>185</v>
      </c>
      <c r="BV5" s="227">
        <f>VLOOKUP(BU5,DATA!$B$13:$C$19,2,0)</f>
        <v>100</v>
      </c>
      <c r="BW5" s="9">
        <f>VLOOKUP($BU$1,DATA!$B$24:$C$45,2,0)</f>
        <v>0.15</v>
      </c>
      <c r="BX5" s="9">
        <f t="shared" si="18"/>
        <v>0.15</v>
      </c>
      <c r="BY5" s="84">
        <f t="shared" si="19"/>
        <v>3.5999999999999996</v>
      </c>
      <c r="BZ5" s="226" t="s">
        <v>201</v>
      </c>
      <c r="CA5" s="227">
        <f>VLOOKUP(BZ5,DATA!$B$13:$C$19,2,0)</f>
        <v>75</v>
      </c>
      <c r="CB5" s="9">
        <f>VLOOKUP($BZ$1,DATA!$B$24:$C$45,2,0)</f>
        <v>0.16</v>
      </c>
      <c r="CC5" s="9">
        <f t="shared" si="20"/>
        <v>0.12</v>
      </c>
      <c r="CD5" s="84">
        <f t="shared" si="21"/>
        <v>3.84</v>
      </c>
      <c r="CE5" s="226" t="s">
        <v>185</v>
      </c>
      <c r="CF5" s="227">
        <f>VLOOKUP(CE5,DATA!$B$13:$C$19,2,0)</f>
        <v>100</v>
      </c>
      <c r="CG5" s="9">
        <f>VLOOKUP($CE$1,DATA!$B$24:$C$45,2,0)</f>
        <v>0.13</v>
      </c>
      <c r="CH5" s="9">
        <f t="shared" si="22"/>
        <v>0.13</v>
      </c>
      <c r="CI5" s="84">
        <f t="shared" si="23"/>
        <v>3.12</v>
      </c>
      <c r="CJ5" s="226" t="s">
        <v>185</v>
      </c>
      <c r="CK5" s="227">
        <f>VLOOKUP(CJ5,DATA!$B$13:$C$19,2,0)</f>
        <v>100</v>
      </c>
      <c r="CL5" s="9">
        <f>VLOOKUP($CJ$1,DATA!$B$24:$C$45,2,0)</f>
        <v>0.01</v>
      </c>
      <c r="CM5" s="9">
        <f t="shared" si="24"/>
        <v>0.01</v>
      </c>
      <c r="CN5" s="84">
        <f t="shared" si="25"/>
        <v>0.24</v>
      </c>
      <c r="CO5" s="96">
        <f t="shared" si="26"/>
        <v>0.96000000000000008</v>
      </c>
      <c r="CP5" s="9">
        <f>VLOOKUP($CO$1,DATA!$B$24:$C$45,2,0)</f>
        <v>0.54</v>
      </c>
      <c r="CQ5" s="9">
        <f t="shared" si="27"/>
        <v>0.51840000000000008</v>
      </c>
      <c r="CR5" s="3">
        <f t="shared" si="28"/>
        <v>12.96</v>
      </c>
      <c r="CS5" s="7">
        <f t="shared" si="29"/>
        <v>12.441600000000001</v>
      </c>
      <c r="CT5" s="243">
        <f t="shared" si="30"/>
        <v>0.51839999999999975</v>
      </c>
      <c r="CU5" s="226" t="s">
        <v>185</v>
      </c>
      <c r="CV5" s="227">
        <f>VLOOKUP(CU5,DATA!$B$13:$C$19,2,0)</f>
        <v>100</v>
      </c>
      <c r="CW5" s="9">
        <f>VLOOKUP($CU$1,DATA!$B$24:$C$45,2,0)</f>
        <v>0.02</v>
      </c>
      <c r="CX5" s="9">
        <f t="shared" si="31"/>
        <v>0.02</v>
      </c>
      <c r="CY5" s="3">
        <f t="shared" si="32"/>
        <v>0.48</v>
      </c>
      <c r="CZ5" s="6"/>
      <c r="DA5" s="95"/>
      <c r="DB5" s="226" t="s">
        <v>185</v>
      </c>
      <c r="DC5" s="227">
        <f>VLOOKUP(DB5,DATA!$B$13:$C$19,2,0)</f>
        <v>100</v>
      </c>
      <c r="DD5" s="9">
        <f>VLOOKUP($DB$1,DATA!$B$24:$C$45,2,0)</f>
        <v>0.01</v>
      </c>
      <c r="DE5" s="9">
        <f t="shared" si="33"/>
        <v>0.01</v>
      </c>
      <c r="DF5" s="3">
        <f t="shared" si="34"/>
        <v>0.24</v>
      </c>
      <c r="DG5" s="6"/>
      <c r="DH5" s="95"/>
      <c r="DI5" s="226" t="s">
        <v>185</v>
      </c>
      <c r="DJ5" s="227">
        <f>VLOOKUP(DI5,DATA!$B$13:$C$19,2,0)</f>
        <v>100</v>
      </c>
      <c r="DK5" s="9">
        <f>VLOOKUP($DI$1,DATA!$B$24:$C$45,2,0)</f>
        <v>0.03</v>
      </c>
      <c r="DL5" s="9">
        <f t="shared" si="35"/>
        <v>0.03</v>
      </c>
      <c r="DM5" s="84">
        <f t="shared" si="36"/>
        <v>0.72</v>
      </c>
      <c r="DN5" s="226" t="s">
        <v>185</v>
      </c>
      <c r="DO5" s="227">
        <f>VLOOKUP(DN5,DATA!$B$13:$C$19,2,0)</f>
        <v>100</v>
      </c>
      <c r="DP5" s="9">
        <f>VLOOKUP($DN$1,DATA!$B$24:$C$45,2,0)</f>
        <v>7.0000000000000007E-2</v>
      </c>
      <c r="DQ5" s="9">
        <f t="shared" si="37"/>
        <v>7.0000000000000007E-2</v>
      </c>
      <c r="DR5" s="3">
        <f t="shared" si="38"/>
        <v>1.6800000000000002</v>
      </c>
      <c r="DS5" s="6"/>
      <c r="DT5" s="95"/>
      <c r="DU5" s="226" t="s">
        <v>185</v>
      </c>
      <c r="DV5" s="227">
        <f>VLOOKUP(DU5,DATA!$B$13:$C$19,2,0)</f>
        <v>100</v>
      </c>
      <c r="DW5" s="9">
        <f>VLOOKUP($DU$1,DATA!$B$24:$C$45,2,0)</f>
        <v>0.04</v>
      </c>
      <c r="DX5" s="9">
        <f t="shared" si="39"/>
        <v>0.04</v>
      </c>
      <c r="DY5" s="3">
        <f t="shared" si="40"/>
        <v>0.96</v>
      </c>
      <c r="DZ5" s="6"/>
      <c r="EA5" s="95"/>
      <c r="EB5" s="226" t="s">
        <v>185</v>
      </c>
      <c r="EC5" s="227">
        <f>VLOOKUP(EB5,DATA!$B$13:$C$19,2,0)</f>
        <v>100</v>
      </c>
      <c r="ED5" s="9">
        <f>VLOOKUP($EB$1,DATA!$B$24:$C$45,2,0)</f>
        <v>0.05</v>
      </c>
      <c r="EE5" s="9">
        <f t="shared" si="41"/>
        <v>0.05</v>
      </c>
      <c r="EF5" s="3">
        <f t="shared" si="42"/>
        <v>1.2000000000000002</v>
      </c>
      <c r="EG5" s="6"/>
      <c r="EH5" s="95"/>
      <c r="EI5" s="226" t="s">
        <v>185</v>
      </c>
      <c r="EJ5" s="227">
        <f>VLOOKUP(EI5,DATA!$B$13:$C$19,2,0)</f>
        <v>100</v>
      </c>
      <c r="EK5" s="9">
        <f>VLOOKUP($EI$1,DATA!$B$24:$C$45,2,0)</f>
        <v>0.1</v>
      </c>
      <c r="EL5" s="9">
        <f t="shared" si="43"/>
        <v>0.1</v>
      </c>
      <c r="EM5" s="3">
        <f t="shared" si="44"/>
        <v>2.4000000000000004</v>
      </c>
      <c r="EN5" s="6"/>
      <c r="EO5" s="95"/>
      <c r="EP5" s="226" t="s">
        <v>193</v>
      </c>
      <c r="EQ5" s="227">
        <f>VLOOKUP(EP5,DATA!$B$13:$C$19,2,0)</f>
        <v>0</v>
      </c>
      <c r="ER5" s="9">
        <f>VLOOKUP($EP$1,DATA!$B$24:$C$45,2,0)</f>
        <v>0.03</v>
      </c>
      <c r="ES5" s="9">
        <f t="shared" si="45"/>
        <v>0</v>
      </c>
      <c r="ET5" s="84">
        <f t="shared" si="46"/>
        <v>0.72</v>
      </c>
      <c r="EU5" s="245">
        <f t="shared" si="47"/>
        <v>0.72</v>
      </c>
      <c r="EV5" s="85" t="s">
        <v>186</v>
      </c>
      <c r="EW5" s="134" t="s">
        <v>187</v>
      </c>
      <c r="EX5" s="6"/>
    </row>
    <row r="6" spans="1:154" x14ac:dyDescent="0.3">
      <c r="A6" s="3" t="s">
        <v>180</v>
      </c>
      <c r="B6" s="3" t="s">
        <v>189</v>
      </c>
      <c r="C6" s="3" t="s">
        <v>202</v>
      </c>
      <c r="D6" s="85" t="s">
        <v>203</v>
      </c>
      <c r="E6" s="85" t="s">
        <v>204</v>
      </c>
      <c r="F6" s="3">
        <v>3268</v>
      </c>
      <c r="G6" s="3" t="s">
        <v>205</v>
      </c>
      <c r="H6" s="3">
        <v>300</v>
      </c>
      <c r="I6" s="3"/>
      <c r="J6" s="229">
        <f>BaseDeDatos[[#This Row],[Budget CS]]+BaseDeDatos[[#This Row],[Change Orders Budget]]</f>
        <v>300</v>
      </c>
      <c r="K6" s="92">
        <f>IFERROR(VLOOKUP(G6, DATA!H:I, 2, FALSE), 0)+BaseDeDatos[[#This Row],[Labor Spend on Design errors]]+BaseDeDatos[[#This Row],[Labor
Spent Customer changes]]</f>
        <v>544.5</v>
      </c>
      <c r="L6" s="92"/>
      <c r="M6" s="92"/>
      <c r="N6" s="232">
        <f t="shared" si="0"/>
        <v>1</v>
      </c>
      <c r="O6" s="238">
        <f t="shared" si="1"/>
        <v>544.5</v>
      </c>
      <c r="P6" s="39">
        <v>31.45</v>
      </c>
      <c r="Q6" s="89">
        <f>BaseDeDatos[[#This Row],[Budget]]*BaseDeDatos[[#This Row],[Labor Rate from CS]]</f>
        <v>9435</v>
      </c>
      <c r="R6" s="94">
        <f>BaseDeDatos[[#This Row],[Labor
Spent]]*BaseDeDatos[[#This Row],[Labor Rate from CS]]</f>
        <v>17124.524999999998</v>
      </c>
      <c r="S6" s="42">
        <f t="shared" si="2"/>
        <v>1.8149999999999999</v>
      </c>
      <c r="T6" s="98">
        <v>1377200</v>
      </c>
      <c r="U6" s="98">
        <v>83640</v>
      </c>
      <c r="V6" s="98">
        <v>68146.28</v>
      </c>
      <c r="W6" s="98">
        <v>111874.65</v>
      </c>
      <c r="X6" s="98">
        <v>111874.65</v>
      </c>
      <c r="Y6" s="98"/>
      <c r="Z6" s="98"/>
      <c r="AA6" s="39">
        <v>1135731.1200000001</v>
      </c>
      <c r="AB6" s="89">
        <f t="shared" si="3"/>
        <v>1014421.4700000001</v>
      </c>
      <c r="AC6" s="120">
        <f>SUM(AB6,X6,R6,BaseDeDatos[[#This Row],[Additionals cost]])</f>
        <v>1211566.925</v>
      </c>
      <c r="AD6" s="117">
        <v>0.17530000000000001</v>
      </c>
      <c r="AE6" s="117">
        <v>0.17560000000000001</v>
      </c>
      <c r="AF6" s="240">
        <f t="shared" si="4"/>
        <v>0.16974974949172233</v>
      </c>
      <c r="AG6" s="226"/>
      <c r="AH6" s="226" t="s">
        <v>185</v>
      </c>
      <c r="AI6" s="227">
        <f>VLOOKUP(AH6,DATA!$B$13:$C$19,2,0)</f>
        <v>100</v>
      </c>
      <c r="AJ6" s="4">
        <f>VLOOKUP($AH$1,DATA!$B$24:$C$45,2,0)</f>
        <v>0.05</v>
      </c>
      <c r="AK6" s="3">
        <f>BaseDeDatos[[#This Row],[Read info
Status]]*(AJ6)/100</f>
        <v>0.05</v>
      </c>
      <c r="AL6" s="84">
        <f t="shared" si="5"/>
        <v>15</v>
      </c>
      <c r="AM6" s="226" t="s">
        <v>185</v>
      </c>
      <c r="AN6" s="227">
        <f>VLOOKUP(AM6,DATA!$B$13:$C$19,2,0)</f>
        <v>100</v>
      </c>
      <c r="AO6" s="9">
        <f>VLOOKUP($AM$1,DATA!$B$24:$C$45,2,0)</f>
        <v>0.05</v>
      </c>
      <c r="AP6" s="9">
        <f t="shared" si="6"/>
        <v>0.05</v>
      </c>
      <c r="AQ6" s="3">
        <f t="shared" si="7"/>
        <v>15</v>
      </c>
      <c r="AR6" s="6"/>
      <c r="AS6" s="95"/>
      <c r="AT6" s="226" t="s">
        <v>185</v>
      </c>
      <c r="AU6" s="227">
        <f>VLOOKUP(AT6,DATA!$B$13:$C$19,2,0)</f>
        <v>100</v>
      </c>
      <c r="AV6" s="9">
        <f>VLOOKUP($AT$1,DATA!$B$24:$C$45,2,0)</f>
        <v>0.01</v>
      </c>
      <c r="AW6" s="9">
        <f t="shared" si="8"/>
        <v>0.01</v>
      </c>
      <c r="AX6" s="3">
        <f t="shared" si="9"/>
        <v>3</v>
      </c>
      <c r="AY6" s="6"/>
      <c r="AZ6" s="95"/>
      <c r="BA6" s="226" t="s">
        <v>185</v>
      </c>
      <c r="BB6" s="227">
        <f>VLOOKUP(BA6,DATA!$B$13:$C$19,2,0)</f>
        <v>100</v>
      </c>
      <c r="BC6" s="9">
        <f>VLOOKUP($BA$1,DATA!$B$24:$C$45,2,0)</f>
        <v>0.01</v>
      </c>
      <c r="BD6" s="9">
        <f t="shared" si="10"/>
        <v>0.01</v>
      </c>
      <c r="BE6" s="84">
        <f t="shared" si="11"/>
        <v>3</v>
      </c>
      <c r="BF6" s="226" t="s">
        <v>185</v>
      </c>
      <c r="BG6" s="227">
        <f>VLOOKUP(BF6,DATA!$B$13:$C$19,2,0)</f>
        <v>100</v>
      </c>
      <c r="BH6" s="9">
        <f>VLOOKUP($BF$1,DATA!$B$24:$C$45,2,0)</f>
        <v>0.08</v>
      </c>
      <c r="BI6" s="9">
        <f t="shared" si="12"/>
        <v>0.08</v>
      </c>
      <c r="BJ6" s="84">
        <f t="shared" si="13"/>
        <v>24</v>
      </c>
      <c r="BK6" s="226" t="s">
        <v>185</v>
      </c>
      <c r="BL6" s="227">
        <f>VLOOKUP(BK6,DATA!$B$13:$C$19,2,0)</f>
        <v>100</v>
      </c>
      <c r="BM6" s="9">
        <f>VLOOKUP($BK$1,DATA!$B$24:$C$45,2,0)</f>
        <v>0.18</v>
      </c>
      <c r="BN6" s="9">
        <f t="shared" si="14"/>
        <v>0.18</v>
      </c>
      <c r="BO6" s="84">
        <f t="shared" si="15"/>
        <v>54</v>
      </c>
      <c r="BP6" s="226" t="s">
        <v>185</v>
      </c>
      <c r="BQ6" s="227">
        <f>VLOOKUP(BP6,DATA!$B$13:$C$19,2,0)</f>
        <v>100</v>
      </c>
      <c r="BR6" s="9">
        <f>VLOOKUP($BP$1,DATA!$B$24:$C$45,2,0)</f>
        <v>0.28000000000000003</v>
      </c>
      <c r="BS6" s="9">
        <f t="shared" si="16"/>
        <v>0.28000000000000003</v>
      </c>
      <c r="BT6" s="84">
        <f t="shared" si="17"/>
        <v>84.000000000000014</v>
      </c>
      <c r="BU6" s="226" t="s">
        <v>185</v>
      </c>
      <c r="BV6" s="227">
        <f>VLOOKUP(BU6,DATA!$B$13:$C$19,2,0)</f>
        <v>100</v>
      </c>
      <c r="BW6" s="9">
        <f>VLOOKUP($BU$1,DATA!$B$24:$C$45,2,0)</f>
        <v>0.15</v>
      </c>
      <c r="BX6" s="9">
        <f t="shared" si="18"/>
        <v>0.15</v>
      </c>
      <c r="BY6" s="84">
        <f t="shared" si="19"/>
        <v>45</v>
      </c>
      <c r="BZ6" s="226" t="s">
        <v>185</v>
      </c>
      <c r="CA6" s="227">
        <f>VLOOKUP(BZ6,DATA!$B$13:$C$19,2,0)</f>
        <v>100</v>
      </c>
      <c r="CB6" s="9">
        <f>VLOOKUP($BZ$1,DATA!$B$24:$C$45,2,0)</f>
        <v>0.16</v>
      </c>
      <c r="CC6" s="9">
        <f t="shared" si="20"/>
        <v>0.16</v>
      </c>
      <c r="CD6" s="84">
        <f t="shared" si="21"/>
        <v>48</v>
      </c>
      <c r="CE6" s="226" t="s">
        <v>185</v>
      </c>
      <c r="CF6" s="227">
        <f>VLOOKUP(CE6,DATA!$B$13:$C$19,2,0)</f>
        <v>100</v>
      </c>
      <c r="CG6" s="9">
        <f>VLOOKUP($CE$1,DATA!$B$24:$C$45,2,0)</f>
        <v>0.13</v>
      </c>
      <c r="CH6" s="9">
        <f t="shared" si="22"/>
        <v>0.13</v>
      </c>
      <c r="CI6" s="84">
        <f t="shared" si="23"/>
        <v>39</v>
      </c>
      <c r="CJ6" s="226" t="s">
        <v>185</v>
      </c>
      <c r="CK6" s="227">
        <f>VLOOKUP(CJ6,DATA!$B$13:$C$19,2,0)</f>
        <v>100</v>
      </c>
      <c r="CL6" s="9">
        <f>VLOOKUP($CJ$1,DATA!$B$24:$C$45,2,0)</f>
        <v>0.01</v>
      </c>
      <c r="CM6" s="9">
        <f t="shared" si="24"/>
        <v>0.01</v>
      </c>
      <c r="CN6" s="84">
        <f t="shared" si="25"/>
        <v>3</v>
      </c>
      <c r="CO6" s="96">
        <f t="shared" si="26"/>
        <v>1</v>
      </c>
      <c r="CP6" s="9">
        <f>VLOOKUP($CO$1,DATA!$B$24:$C$45,2,0)</f>
        <v>0.54</v>
      </c>
      <c r="CQ6" s="9">
        <f t="shared" si="27"/>
        <v>0.54</v>
      </c>
      <c r="CR6" s="3">
        <f t="shared" si="28"/>
        <v>162</v>
      </c>
      <c r="CS6" s="129">
        <f t="shared" si="29"/>
        <v>162</v>
      </c>
      <c r="CT6" s="242">
        <f t="shared" si="30"/>
        <v>0</v>
      </c>
      <c r="CU6" s="226" t="s">
        <v>185</v>
      </c>
      <c r="CV6" s="227">
        <f>VLOOKUP(CU6,DATA!$B$13:$C$19,2,0)</f>
        <v>100</v>
      </c>
      <c r="CW6" s="9">
        <f>VLOOKUP($CU$1,DATA!$B$24:$C$45,2,0)</f>
        <v>0.02</v>
      </c>
      <c r="CX6" s="9">
        <f t="shared" si="31"/>
        <v>0.02</v>
      </c>
      <c r="CY6" s="3">
        <f t="shared" si="32"/>
        <v>6</v>
      </c>
      <c r="CZ6" s="6"/>
      <c r="DA6" s="95"/>
      <c r="DB6" s="226" t="s">
        <v>185</v>
      </c>
      <c r="DC6" s="227">
        <f>VLOOKUP(DB6,DATA!$B$13:$C$19,2,0)</f>
        <v>100</v>
      </c>
      <c r="DD6" s="9">
        <f>VLOOKUP($DB$1,DATA!$B$24:$C$45,2,0)</f>
        <v>0.01</v>
      </c>
      <c r="DE6" s="9">
        <f t="shared" si="33"/>
        <v>0.01</v>
      </c>
      <c r="DF6" s="3">
        <f t="shared" si="34"/>
        <v>3</v>
      </c>
      <c r="DG6" s="6"/>
      <c r="DH6" s="95"/>
      <c r="DI6" s="226" t="s">
        <v>185</v>
      </c>
      <c r="DJ6" s="227">
        <f>VLOOKUP(DI6,DATA!$B$13:$C$19,2,0)</f>
        <v>100</v>
      </c>
      <c r="DK6" s="9">
        <f>VLOOKUP($DI$1,DATA!$B$24:$C$45,2,0)</f>
        <v>0.03</v>
      </c>
      <c r="DL6" s="9">
        <f t="shared" si="35"/>
        <v>0.03</v>
      </c>
      <c r="DM6" s="84">
        <f t="shared" si="36"/>
        <v>9</v>
      </c>
      <c r="DN6" s="226" t="s">
        <v>185</v>
      </c>
      <c r="DO6" s="227">
        <f>VLOOKUP(DN6,DATA!$B$13:$C$19,2,0)</f>
        <v>100</v>
      </c>
      <c r="DP6" s="9">
        <f>VLOOKUP($DN$1,DATA!$B$24:$C$45,2,0)</f>
        <v>7.0000000000000007E-2</v>
      </c>
      <c r="DQ6" s="9">
        <f t="shared" si="37"/>
        <v>7.0000000000000007E-2</v>
      </c>
      <c r="DR6" s="3">
        <f t="shared" si="38"/>
        <v>21.000000000000004</v>
      </c>
      <c r="DS6" s="6"/>
      <c r="DT6" s="95"/>
      <c r="DU6" s="226" t="s">
        <v>185</v>
      </c>
      <c r="DV6" s="227">
        <f>VLOOKUP(DU6,DATA!$B$13:$C$19,2,0)</f>
        <v>100</v>
      </c>
      <c r="DW6" s="9">
        <f>VLOOKUP($DU$1,DATA!$B$24:$C$45,2,0)</f>
        <v>0.04</v>
      </c>
      <c r="DX6" s="9">
        <f t="shared" si="39"/>
        <v>0.04</v>
      </c>
      <c r="DY6" s="3">
        <f t="shared" si="40"/>
        <v>12</v>
      </c>
      <c r="DZ6" s="6"/>
      <c r="EA6" s="95"/>
      <c r="EB6" s="226" t="s">
        <v>185</v>
      </c>
      <c r="EC6" s="227">
        <f>VLOOKUP(EB6,DATA!$B$13:$C$19,2,0)</f>
        <v>100</v>
      </c>
      <c r="ED6" s="9">
        <f>VLOOKUP($EB$1,DATA!$B$24:$C$45,2,0)</f>
        <v>0.05</v>
      </c>
      <c r="EE6" s="9">
        <f t="shared" si="41"/>
        <v>0.05</v>
      </c>
      <c r="EF6" s="3">
        <f t="shared" si="42"/>
        <v>15</v>
      </c>
      <c r="EG6" s="6"/>
      <c r="EH6" s="95"/>
      <c r="EI6" s="226" t="s">
        <v>185</v>
      </c>
      <c r="EJ6" s="227">
        <f>VLOOKUP(EI6,DATA!$B$13:$C$19,2,0)</f>
        <v>100</v>
      </c>
      <c r="EK6" s="9">
        <f>VLOOKUP($EI$1,DATA!$B$24:$C$45,2,0)</f>
        <v>0.1</v>
      </c>
      <c r="EL6" s="9">
        <f t="shared" si="43"/>
        <v>0.1</v>
      </c>
      <c r="EM6" s="3">
        <f t="shared" si="44"/>
        <v>30</v>
      </c>
      <c r="EN6" s="6"/>
      <c r="EO6" s="95"/>
      <c r="EP6" s="226" t="s">
        <v>185</v>
      </c>
      <c r="EQ6" s="227">
        <f>VLOOKUP(EP6,DATA!$B$13:$C$19,2,0)</f>
        <v>100</v>
      </c>
      <c r="ER6" s="9">
        <f>VLOOKUP($EP$1,DATA!$B$24:$C$45,2,0)</f>
        <v>0.03</v>
      </c>
      <c r="ES6" s="9">
        <f t="shared" si="45"/>
        <v>0.03</v>
      </c>
      <c r="ET6" s="84">
        <f t="shared" si="46"/>
        <v>9</v>
      </c>
      <c r="EU6" s="244">
        <f t="shared" si="47"/>
        <v>0</v>
      </c>
      <c r="EV6" s="85" t="s">
        <v>186</v>
      </c>
      <c r="EW6" s="134" t="s">
        <v>187</v>
      </c>
      <c r="EX6" s="6"/>
    </row>
    <row r="7" spans="1:154" x14ac:dyDescent="0.3">
      <c r="A7" s="3" t="s">
        <v>180</v>
      </c>
      <c r="B7" s="3" t="s">
        <v>189</v>
      </c>
      <c r="C7" s="3" t="s">
        <v>202</v>
      </c>
      <c r="D7" s="85" t="s">
        <v>206</v>
      </c>
      <c r="E7" s="85" t="s">
        <v>204</v>
      </c>
      <c r="F7" s="3">
        <v>3268</v>
      </c>
      <c r="G7" s="3" t="s">
        <v>207</v>
      </c>
      <c r="H7" s="3">
        <v>30</v>
      </c>
      <c r="I7" s="3"/>
      <c r="J7" s="229">
        <f>BaseDeDatos[[#This Row],[Budget CS]]+BaseDeDatos[[#This Row],[Change Orders Budget]]</f>
        <v>30</v>
      </c>
      <c r="K7" s="92">
        <f>IFERROR(VLOOKUP(G7, DATA!H:I, 2, FALSE), 0)+BaseDeDatos[[#This Row],[Labor Spend on Design errors]]+BaseDeDatos[[#This Row],[Labor
Spent Customer changes]]</f>
        <v>31.5</v>
      </c>
      <c r="L7" s="92"/>
      <c r="M7" s="92"/>
      <c r="N7" s="232">
        <f t="shared" si="0"/>
        <v>1</v>
      </c>
      <c r="O7" s="238">
        <f t="shared" si="1"/>
        <v>31.5</v>
      </c>
      <c r="P7" s="39">
        <v>31.45</v>
      </c>
      <c r="Q7" s="89">
        <f>BaseDeDatos[[#This Row],[Budget]]*BaseDeDatos[[#This Row],[Labor Rate from CS]]</f>
        <v>943.5</v>
      </c>
      <c r="R7" s="94">
        <f>BaseDeDatos[[#This Row],[Labor
Spent]]*BaseDeDatos[[#This Row],[Labor Rate from CS]]</f>
        <v>990.67499999999995</v>
      </c>
      <c r="S7" s="42">
        <f t="shared" si="2"/>
        <v>1.05</v>
      </c>
      <c r="T7" s="98">
        <v>70125</v>
      </c>
      <c r="U7" s="98">
        <v>83640</v>
      </c>
      <c r="V7" s="98">
        <v>68146.28</v>
      </c>
      <c r="W7" s="98">
        <v>25830.639999999999</v>
      </c>
      <c r="X7" s="98">
        <v>25830.639999999999</v>
      </c>
      <c r="Y7" s="98"/>
      <c r="Z7" s="98"/>
      <c r="AA7" s="39">
        <v>59000.45</v>
      </c>
      <c r="AB7" s="89">
        <f t="shared" si="3"/>
        <v>32226.309999999998</v>
      </c>
      <c r="AC7" s="120">
        <f>SUM(AB7,X7,R7,BaseDeDatos[[#This Row],[Additionals cost]])</f>
        <v>127193.905</v>
      </c>
      <c r="AD7" s="117">
        <v>0.15859999999999999</v>
      </c>
      <c r="AE7" s="117">
        <v>0.17560000000000001</v>
      </c>
      <c r="AF7" s="240">
        <f t="shared" si="4"/>
        <v>0.15796613190730838</v>
      </c>
      <c r="AG7" s="226"/>
      <c r="AH7" s="226" t="s">
        <v>185</v>
      </c>
      <c r="AI7" s="227">
        <f>VLOOKUP(AH7,DATA!$B$13:$C$19,2,0)</f>
        <v>100</v>
      </c>
      <c r="AJ7" s="4">
        <f>VLOOKUP($AH$1,DATA!$B$24:$C$45,2,0)</f>
        <v>0.05</v>
      </c>
      <c r="AK7" s="3">
        <f>BaseDeDatos[[#This Row],[Read info
Status]]*(AJ7)/100</f>
        <v>0.05</v>
      </c>
      <c r="AL7" s="84">
        <f t="shared" si="5"/>
        <v>1.5</v>
      </c>
      <c r="AM7" s="226" t="s">
        <v>185</v>
      </c>
      <c r="AN7" s="227">
        <f>VLOOKUP(AM7,DATA!$B$13:$C$19,2,0)</f>
        <v>100</v>
      </c>
      <c r="AO7" s="9">
        <f>VLOOKUP($AM$1,DATA!$B$24:$C$45,2,0)</f>
        <v>0.05</v>
      </c>
      <c r="AP7" s="9">
        <f t="shared" si="6"/>
        <v>0.05</v>
      </c>
      <c r="AQ7" s="3">
        <f t="shared" si="7"/>
        <v>1.5</v>
      </c>
      <c r="AR7" s="6"/>
      <c r="AS7" s="95"/>
      <c r="AT7" s="226" t="s">
        <v>185</v>
      </c>
      <c r="AU7" s="227">
        <f>VLOOKUP(AT7,DATA!$B$13:$C$19,2,0)</f>
        <v>100</v>
      </c>
      <c r="AV7" s="9">
        <f>VLOOKUP($AT$1,DATA!$B$24:$C$45,2,0)</f>
        <v>0.01</v>
      </c>
      <c r="AW7" s="9">
        <f t="shared" si="8"/>
        <v>0.01</v>
      </c>
      <c r="AX7" s="3">
        <f t="shared" si="9"/>
        <v>0.3</v>
      </c>
      <c r="AY7" s="6"/>
      <c r="AZ7" s="95"/>
      <c r="BA7" s="226" t="s">
        <v>185</v>
      </c>
      <c r="BB7" s="227">
        <f>VLOOKUP(BA7,DATA!$B$13:$C$19,2,0)</f>
        <v>100</v>
      </c>
      <c r="BC7" s="9">
        <f>VLOOKUP($BA$1,DATA!$B$24:$C$45,2,0)</f>
        <v>0.01</v>
      </c>
      <c r="BD7" s="9">
        <f t="shared" si="10"/>
        <v>0.01</v>
      </c>
      <c r="BE7" s="84">
        <f t="shared" si="11"/>
        <v>0.3</v>
      </c>
      <c r="BF7" s="226" t="s">
        <v>185</v>
      </c>
      <c r="BG7" s="227">
        <f>VLOOKUP(BF7,DATA!$B$13:$C$19,2,0)</f>
        <v>100</v>
      </c>
      <c r="BH7" s="9">
        <f>VLOOKUP($BF$1,DATA!$B$24:$C$45,2,0)</f>
        <v>0.08</v>
      </c>
      <c r="BI7" s="9">
        <f t="shared" si="12"/>
        <v>0.08</v>
      </c>
      <c r="BJ7" s="84">
        <f t="shared" si="13"/>
        <v>2.4</v>
      </c>
      <c r="BK7" s="226" t="s">
        <v>185</v>
      </c>
      <c r="BL7" s="227">
        <f>VLOOKUP(BK7,DATA!$B$13:$C$19,2,0)</f>
        <v>100</v>
      </c>
      <c r="BM7" s="9">
        <f>VLOOKUP($BK$1,DATA!$B$24:$C$45,2,0)</f>
        <v>0.18</v>
      </c>
      <c r="BN7" s="9">
        <f t="shared" si="14"/>
        <v>0.18</v>
      </c>
      <c r="BO7" s="84">
        <f t="shared" si="15"/>
        <v>5.3999999999999995</v>
      </c>
      <c r="BP7" s="226" t="s">
        <v>185</v>
      </c>
      <c r="BQ7" s="227">
        <f>VLOOKUP(BP7,DATA!$B$13:$C$19,2,0)</f>
        <v>100</v>
      </c>
      <c r="BR7" s="9">
        <f>VLOOKUP($BP$1,DATA!$B$24:$C$45,2,0)</f>
        <v>0.28000000000000003</v>
      </c>
      <c r="BS7" s="9">
        <f t="shared" si="16"/>
        <v>0.28000000000000003</v>
      </c>
      <c r="BT7" s="84">
        <f t="shared" si="17"/>
        <v>8.4</v>
      </c>
      <c r="BU7" s="226" t="s">
        <v>185</v>
      </c>
      <c r="BV7" s="227">
        <f>VLOOKUP(BU7,DATA!$B$13:$C$19,2,0)</f>
        <v>100</v>
      </c>
      <c r="BW7" s="9">
        <f>VLOOKUP($BU$1,DATA!$B$24:$C$45,2,0)</f>
        <v>0.15</v>
      </c>
      <c r="BX7" s="9">
        <f t="shared" si="18"/>
        <v>0.15</v>
      </c>
      <c r="BY7" s="84">
        <f t="shared" si="19"/>
        <v>4.5</v>
      </c>
      <c r="BZ7" s="226" t="s">
        <v>185</v>
      </c>
      <c r="CA7" s="227">
        <f>VLOOKUP(BZ7,DATA!$B$13:$C$19,2,0)</f>
        <v>100</v>
      </c>
      <c r="CB7" s="9">
        <f>VLOOKUP($BZ$1,DATA!$B$24:$C$45,2,0)</f>
        <v>0.16</v>
      </c>
      <c r="CC7" s="9">
        <f t="shared" si="20"/>
        <v>0.16</v>
      </c>
      <c r="CD7" s="84">
        <f t="shared" si="21"/>
        <v>4.8</v>
      </c>
      <c r="CE7" s="226" t="s">
        <v>185</v>
      </c>
      <c r="CF7" s="227">
        <f>VLOOKUP(CE7,DATA!$B$13:$C$19,2,0)</f>
        <v>100</v>
      </c>
      <c r="CG7" s="9">
        <f>VLOOKUP($CE$1,DATA!$B$24:$C$45,2,0)</f>
        <v>0.13</v>
      </c>
      <c r="CH7" s="9">
        <f t="shared" si="22"/>
        <v>0.13</v>
      </c>
      <c r="CI7" s="84">
        <f t="shared" si="23"/>
        <v>3.9000000000000004</v>
      </c>
      <c r="CJ7" s="226" t="s">
        <v>185</v>
      </c>
      <c r="CK7" s="227">
        <f>VLOOKUP(CJ7,DATA!$B$13:$C$19,2,0)</f>
        <v>100</v>
      </c>
      <c r="CL7" s="9">
        <f>VLOOKUP($CJ$1,DATA!$B$24:$C$45,2,0)</f>
        <v>0.01</v>
      </c>
      <c r="CM7" s="9">
        <f t="shared" si="24"/>
        <v>0.01</v>
      </c>
      <c r="CN7" s="84">
        <f t="shared" si="25"/>
        <v>0.3</v>
      </c>
      <c r="CO7" s="96">
        <f t="shared" si="26"/>
        <v>1</v>
      </c>
      <c r="CP7" s="9">
        <f>VLOOKUP($CO$1,DATA!$B$24:$C$45,2,0)</f>
        <v>0.54</v>
      </c>
      <c r="CQ7" s="9">
        <f t="shared" si="27"/>
        <v>0.54</v>
      </c>
      <c r="CR7" s="3">
        <f t="shared" si="28"/>
        <v>16.200000000000003</v>
      </c>
      <c r="CS7" s="129">
        <f t="shared" si="29"/>
        <v>16.200000000000003</v>
      </c>
      <c r="CT7" s="242">
        <f t="shared" si="30"/>
        <v>0</v>
      </c>
      <c r="CU7" s="226" t="s">
        <v>185</v>
      </c>
      <c r="CV7" s="227">
        <f>VLOOKUP(CU7,DATA!$B$13:$C$19,2,0)</f>
        <v>100</v>
      </c>
      <c r="CW7" s="9">
        <f>VLOOKUP($CU$1,DATA!$B$24:$C$45,2,0)</f>
        <v>0.02</v>
      </c>
      <c r="CX7" s="9">
        <f t="shared" si="31"/>
        <v>0.02</v>
      </c>
      <c r="CY7" s="3">
        <f t="shared" si="32"/>
        <v>0.6</v>
      </c>
      <c r="CZ7" s="6"/>
      <c r="DA7" s="95"/>
      <c r="DB7" s="226" t="s">
        <v>185</v>
      </c>
      <c r="DC7" s="227">
        <f>VLOOKUP(DB7,DATA!$B$13:$C$19,2,0)</f>
        <v>100</v>
      </c>
      <c r="DD7" s="9">
        <f>VLOOKUP($DB$1,DATA!$B$24:$C$45,2,0)</f>
        <v>0.01</v>
      </c>
      <c r="DE7" s="9">
        <f t="shared" si="33"/>
        <v>0.01</v>
      </c>
      <c r="DF7" s="3">
        <f t="shared" si="34"/>
        <v>0.3</v>
      </c>
      <c r="DG7" s="6"/>
      <c r="DH7" s="95"/>
      <c r="DI7" s="226" t="s">
        <v>185</v>
      </c>
      <c r="DJ7" s="227">
        <f>VLOOKUP(DI7,DATA!$B$13:$C$19,2,0)</f>
        <v>100</v>
      </c>
      <c r="DK7" s="9">
        <f>VLOOKUP($DI$1,DATA!$B$24:$C$45,2,0)</f>
        <v>0.03</v>
      </c>
      <c r="DL7" s="9">
        <f t="shared" si="35"/>
        <v>0.03</v>
      </c>
      <c r="DM7" s="84">
        <f t="shared" si="36"/>
        <v>0.89999999999999991</v>
      </c>
      <c r="DN7" s="226" t="s">
        <v>185</v>
      </c>
      <c r="DO7" s="227">
        <f>VLOOKUP(DN7,DATA!$B$13:$C$19,2,0)</f>
        <v>100</v>
      </c>
      <c r="DP7" s="9">
        <f>VLOOKUP($DN$1,DATA!$B$24:$C$45,2,0)</f>
        <v>7.0000000000000007E-2</v>
      </c>
      <c r="DQ7" s="9">
        <f t="shared" si="37"/>
        <v>7.0000000000000007E-2</v>
      </c>
      <c r="DR7" s="3">
        <f t="shared" si="38"/>
        <v>2.1</v>
      </c>
      <c r="DS7" s="6"/>
      <c r="DT7" s="95"/>
      <c r="DU7" s="226" t="s">
        <v>185</v>
      </c>
      <c r="DV7" s="227">
        <f>VLOOKUP(DU7,DATA!$B$13:$C$19,2,0)</f>
        <v>100</v>
      </c>
      <c r="DW7" s="9">
        <f>VLOOKUP($DU$1,DATA!$B$24:$C$45,2,0)</f>
        <v>0.04</v>
      </c>
      <c r="DX7" s="9">
        <f t="shared" si="39"/>
        <v>0.04</v>
      </c>
      <c r="DY7" s="3">
        <f t="shared" si="40"/>
        <v>1.2</v>
      </c>
      <c r="DZ7" s="6"/>
      <c r="EA7" s="95"/>
      <c r="EB7" s="226" t="s">
        <v>185</v>
      </c>
      <c r="EC7" s="227">
        <f>VLOOKUP(EB7,DATA!$B$13:$C$19,2,0)</f>
        <v>100</v>
      </c>
      <c r="ED7" s="9">
        <f>VLOOKUP($EB$1,DATA!$B$24:$C$45,2,0)</f>
        <v>0.05</v>
      </c>
      <c r="EE7" s="9">
        <f t="shared" si="41"/>
        <v>0.05</v>
      </c>
      <c r="EF7" s="3">
        <f t="shared" si="42"/>
        <v>1.5</v>
      </c>
      <c r="EG7" s="6"/>
      <c r="EH7" s="95"/>
      <c r="EI7" s="226" t="s">
        <v>185</v>
      </c>
      <c r="EJ7" s="227">
        <f>VLOOKUP(EI7,DATA!$B$13:$C$19,2,0)</f>
        <v>100</v>
      </c>
      <c r="EK7" s="9">
        <f>VLOOKUP($EI$1,DATA!$B$24:$C$45,2,0)</f>
        <v>0.1</v>
      </c>
      <c r="EL7" s="9">
        <f t="shared" si="43"/>
        <v>0.1</v>
      </c>
      <c r="EM7" s="3">
        <f t="shared" si="44"/>
        <v>3</v>
      </c>
      <c r="EN7" s="6"/>
      <c r="EO7" s="95"/>
      <c r="EP7" s="226" t="s">
        <v>185</v>
      </c>
      <c r="EQ7" s="227">
        <f>VLOOKUP(EP7,DATA!$B$13:$C$19,2,0)</f>
        <v>100</v>
      </c>
      <c r="ER7" s="9">
        <f>VLOOKUP($EP$1,DATA!$B$24:$C$45,2,0)</f>
        <v>0.03</v>
      </c>
      <c r="ES7" s="9">
        <f t="shared" si="45"/>
        <v>0.03</v>
      </c>
      <c r="ET7" s="84">
        <f t="shared" si="46"/>
        <v>0.89999999999999991</v>
      </c>
      <c r="EU7" s="244">
        <f t="shared" si="47"/>
        <v>0</v>
      </c>
      <c r="EV7" s="85" t="s">
        <v>186</v>
      </c>
      <c r="EW7" s="134" t="s">
        <v>187</v>
      </c>
      <c r="EX7" s="6"/>
    </row>
    <row r="8" spans="1:154" x14ac:dyDescent="0.3">
      <c r="A8" s="3" t="s">
        <v>180</v>
      </c>
      <c r="B8" s="3" t="s">
        <v>181</v>
      </c>
      <c r="C8" s="3" t="s">
        <v>182</v>
      </c>
      <c r="D8" s="85" t="s">
        <v>208</v>
      </c>
      <c r="E8" s="85"/>
      <c r="F8" s="3">
        <v>3272</v>
      </c>
      <c r="G8" s="3" t="s">
        <v>209</v>
      </c>
      <c r="H8" s="3">
        <v>104</v>
      </c>
      <c r="I8" s="3"/>
      <c r="J8" s="229">
        <f>BaseDeDatos[[#This Row],[Budget CS]]+BaseDeDatos[[#This Row],[Change Orders Budget]]</f>
        <v>104</v>
      </c>
      <c r="K8" s="92">
        <f>IFERROR(VLOOKUP(G8, DATA!H:I, 2, FALSE), 0)+BaseDeDatos[[#This Row],[Labor Spend on Design errors]]+BaseDeDatos[[#This Row],[Labor
Spent Customer changes]]</f>
        <v>173</v>
      </c>
      <c r="L8" s="92"/>
      <c r="M8" s="92"/>
      <c r="N8" s="232">
        <f t="shared" si="0"/>
        <v>1</v>
      </c>
      <c r="O8" s="238">
        <f t="shared" si="1"/>
        <v>173</v>
      </c>
      <c r="P8" s="39">
        <v>31.45</v>
      </c>
      <c r="Q8" s="89">
        <f>BaseDeDatos[[#This Row],[Budget]]*BaseDeDatos[[#This Row],[Labor Rate from CS]]</f>
        <v>3270.7999999999997</v>
      </c>
      <c r="R8" s="94">
        <f>BaseDeDatos[[#This Row],[Labor
Spent]]*BaseDeDatos[[#This Row],[Labor Rate from CS]]</f>
        <v>5440.8499999999995</v>
      </c>
      <c r="S8" s="42">
        <f t="shared" si="2"/>
        <v>1.6634615384615385</v>
      </c>
      <c r="T8" s="98">
        <v>452146</v>
      </c>
      <c r="U8" s="98">
        <v>37083.33</v>
      </c>
      <c r="V8" s="39">
        <v>29631.85</v>
      </c>
      <c r="W8" s="98">
        <v>114791.78</v>
      </c>
      <c r="X8" s="98">
        <v>114791.78</v>
      </c>
      <c r="Y8" s="98"/>
      <c r="Z8" s="98"/>
      <c r="AA8" s="39">
        <v>362409.1</v>
      </c>
      <c r="AB8" s="89">
        <f t="shared" si="3"/>
        <v>244346.52</v>
      </c>
      <c r="AC8" s="120">
        <f>SUM(AB8,X8,R8,BaseDeDatos[[#This Row],[Additionals cost]])</f>
        <v>394210.99999999994</v>
      </c>
      <c r="AD8" s="117">
        <v>0.19850000000000001</v>
      </c>
      <c r="AE8" s="117">
        <v>0.19850000000000001</v>
      </c>
      <c r="AF8" s="240">
        <f t="shared" si="4"/>
        <v>0.19366941209255426</v>
      </c>
      <c r="AG8" s="226"/>
      <c r="AH8" s="226" t="s">
        <v>185</v>
      </c>
      <c r="AI8" s="227">
        <f>VLOOKUP(AH8,DATA!$B$13:$C$19,2,0)</f>
        <v>100</v>
      </c>
      <c r="AJ8" s="4">
        <f>VLOOKUP($AH$1,DATA!$B$24:$C$45,2,0)</f>
        <v>0.05</v>
      </c>
      <c r="AK8" s="3">
        <f>BaseDeDatos[[#This Row],[Read info
Status]]*(AJ8)/100</f>
        <v>0.05</v>
      </c>
      <c r="AL8" s="84">
        <f t="shared" si="5"/>
        <v>5.2</v>
      </c>
      <c r="AM8" s="226" t="s">
        <v>185</v>
      </c>
      <c r="AN8" s="227">
        <f>VLOOKUP(AM8,DATA!$B$13:$C$19,2,0)</f>
        <v>100</v>
      </c>
      <c r="AO8" s="9">
        <f>VLOOKUP($AM$1,DATA!$B$24:$C$45,2,0)</f>
        <v>0.05</v>
      </c>
      <c r="AP8" s="9">
        <f t="shared" si="6"/>
        <v>0.05</v>
      </c>
      <c r="AQ8" s="3">
        <f t="shared" si="7"/>
        <v>5.2</v>
      </c>
      <c r="AR8" s="6"/>
      <c r="AS8" s="95"/>
      <c r="AT8" s="226" t="s">
        <v>185</v>
      </c>
      <c r="AU8" s="227">
        <f>VLOOKUP(AT8,DATA!$B$13:$C$19,2,0)</f>
        <v>100</v>
      </c>
      <c r="AV8" s="9">
        <f>VLOOKUP($AT$1,DATA!$B$24:$C$45,2,0)</f>
        <v>0.01</v>
      </c>
      <c r="AW8" s="9">
        <f t="shared" si="8"/>
        <v>0.01</v>
      </c>
      <c r="AX8" s="3">
        <f t="shared" si="9"/>
        <v>1.04</v>
      </c>
      <c r="AY8" s="6"/>
      <c r="AZ8" s="95"/>
      <c r="BA8" s="226" t="s">
        <v>185</v>
      </c>
      <c r="BB8" s="227">
        <f>VLOOKUP(BA8,DATA!$B$13:$C$19,2,0)</f>
        <v>100</v>
      </c>
      <c r="BC8" s="9">
        <f>VLOOKUP($BA$1,DATA!$B$24:$C$45,2,0)</f>
        <v>0.01</v>
      </c>
      <c r="BD8" s="9">
        <f t="shared" si="10"/>
        <v>0.01</v>
      </c>
      <c r="BE8" s="84">
        <f t="shared" si="11"/>
        <v>1.04</v>
      </c>
      <c r="BF8" s="226" t="s">
        <v>185</v>
      </c>
      <c r="BG8" s="227">
        <f>VLOOKUP(BF8,DATA!$B$13:$C$19,2,0)</f>
        <v>100</v>
      </c>
      <c r="BH8" s="9">
        <f>VLOOKUP($BF$1,DATA!$B$24:$C$45,2,0)</f>
        <v>0.08</v>
      </c>
      <c r="BI8" s="9">
        <f t="shared" si="12"/>
        <v>0.08</v>
      </c>
      <c r="BJ8" s="84">
        <f t="shared" si="13"/>
        <v>8.32</v>
      </c>
      <c r="BK8" s="226" t="s">
        <v>185</v>
      </c>
      <c r="BL8" s="227">
        <f>VLOOKUP(BK8,DATA!$B$13:$C$19,2,0)</f>
        <v>100</v>
      </c>
      <c r="BM8" s="9">
        <f>VLOOKUP($BK$1,DATA!$B$24:$C$45,2,0)</f>
        <v>0.18</v>
      </c>
      <c r="BN8" s="9">
        <f t="shared" si="14"/>
        <v>0.18</v>
      </c>
      <c r="BO8" s="84">
        <f t="shared" si="15"/>
        <v>18.72</v>
      </c>
      <c r="BP8" s="226" t="s">
        <v>185</v>
      </c>
      <c r="BQ8" s="227">
        <f>VLOOKUP(BP8,DATA!$B$13:$C$19,2,0)</f>
        <v>100</v>
      </c>
      <c r="BR8" s="9">
        <f>VLOOKUP($BP$1,DATA!$B$24:$C$45,2,0)</f>
        <v>0.28000000000000003</v>
      </c>
      <c r="BS8" s="9">
        <f t="shared" si="16"/>
        <v>0.28000000000000003</v>
      </c>
      <c r="BT8" s="84">
        <f t="shared" si="17"/>
        <v>29.120000000000005</v>
      </c>
      <c r="BU8" s="226" t="s">
        <v>185</v>
      </c>
      <c r="BV8" s="227">
        <f>VLOOKUP(BU8,DATA!$B$13:$C$19,2,0)</f>
        <v>100</v>
      </c>
      <c r="BW8" s="9">
        <f>VLOOKUP($BU$1,DATA!$B$24:$C$45,2,0)</f>
        <v>0.15</v>
      </c>
      <c r="BX8" s="9">
        <f t="shared" si="18"/>
        <v>0.15</v>
      </c>
      <c r="BY8" s="84">
        <f t="shared" si="19"/>
        <v>15.6</v>
      </c>
      <c r="BZ8" s="226" t="s">
        <v>185</v>
      </c>
      <c r="CA8" s="227">
        <f>VLOOKUP(BZ8,DATA!$B$13:$C$19,2,0)</f>
        <v>100</v>
      </c>
      <c r="CB8" s="9">
        <f>VLOOKUP($BZ$1,DATA!$B$24:$C$45,2,0)</f>
        <v>0.16</v>
      </c>
      <c r="CC8" s="9">
        <f t="shared" si="20"/>
        <v>0.16</v>
      </c>
      <c r="CD8" s="84">
        <f t="shared" si="21"/>
        <v>16.64</v>
      </c>
      <c r="CE8" s="226" t="s">
        <v>185</v>
      </c>
      <c r="CF8" s="227">
        <f>VLOOKUP(CE8,DATA!$B$13:$C$19,2,0)</f>
        <v>100</v>
      </c>
      <c r="CG8" s="9">
        <f>VLOOKUP($CE$1,DATA!$B$24:$C$45,2,0)</f>
        <v>0.13</v>
      </c>
      <c r="CH8" s="9">
        <f t="shared" si="22"/>
        <v>0.13</v>
      </c>
      <c r="CI8" s="84">
        <f t="shared" si="23"/>
        <v>13.52</v>
      </c>
      <c r="CJ8" s="226" t="s">
        <v>185</v>
      </c>
      <c r="CK8" s="227">
        <f>VLOOKUP(CJ8,DATA!$B$13:$C$19,2,0)</f>
        <v>100</v>
      </c>
      <c r="CL8" s="9">
        <f>VLOOKUP($CJ$1,DATA!$B$24:$C$45,2,0)</f>
        <v>0.01</v>
      </c>
      <c r="CM8" s="9">
        <f t="shared" si="24"/>
        <v>0.01</v>
      </c>
      <c r="CN8" s="84">
        <f t="shared" si="25"/>
        <v>1.04</v>
      </c>
      <c r="CO8" s="96">
        <f t="shared" si="26"/>
        <v>1</v>
      </c>
      <c r="CP8" s="9">
        <f>VLOOKUP($CO$1,DATA!$B$24:$C$45,2,0)</f>
        <v>0.54</v>
      </c>
      <c r="CQ8" s="9">
        <f t="shared" si="27"/>
        <v>0.54</v>
      </c>
      <c r="CR8" s="3">
        <f t="shared" si="28"/>
        <v>56.160000000000004</v>
      </c>
      <c r="CS8" s="130">
        <f t="shared" si="29"/>
        <v>56.160000000000004</v>
      </c>
      <c r="CT8" s="242">
        <f t="shared" si="30"/>
        <v>0</v>
      </c>
      <c r="CU8" s="226" t="s">
        <v>185</v>
      </c>
      <c r="CV8" s="227">
        <f>VLOOKUP(CU8,DATA!$B$13:$C$19,2,0)</f>
        <v>100</v>
      </c>
      <c r="CW8" s="9">
        <f>VLOOKUP($CU$1,DATA!$B$24:$C$45,2,0)</f>
        <v>0.02</v>
      </c>
      <c r="CX8" s="9">
        <f t="shared" si="31"/>
        <v>0.02</v>
      </c>
      <c r="CY8" s="3">
        <f t="shared" si="32"/>
        <v>2.08</v>
      </c>
      <c r="CZ8" s="6"/>
      <c r="DA8" s="95"/>
      <c r="DB8" s="226" t="s">
        <v>185</v>
      </c>
      <c r="DC8" s="227">
        <f>VLOOKUP(DB8,DATA!$B$13:$C$19,2,0)</f>
        <v>100</v>
      </c>
      <c r="DD8" s="9">
        <f>VLOOKUP($DB$1,DATA!$B$24:$C$45,2,0)</f>
        <v>0.01</v>
      </c>
      <c r="DE8" s="9">
        <f t="shared" si="33"/>
        <v>0.01</v>
      </c>
      <c r="DF8" s="3">
        <f t="shared" si="34"/>
        <v>1.04</v>
      </c>
      <c r="DG8" s="6"/>
      <c r="DH8" s="95"/>
      <c r="DI8" s="226" t="s">
        <v>185</v>
      </c>
      <c r="DJ8" s="227">
        <f>VLOOKUP(DI8,DATA!$B$13:$C$19,2,0)</f>
        <v>100</v>
      </c>
      <c r="DK8" s="9">
        <f>VLOOKUP($DI$1,DATA!$B$24:$C$45,2,0)</f>
        <v>0.03</v>
      </c>
      <c r="DL8" s="9">
        <f t="shared" si="35"/>
        <v>0.03</v>
      </c>
      <c r="DM8" s="84">
        <f t="shared" si="36"/>
        <v>3.12</v>
      </c>
      <c r="DN8" s="226" t="s">
        <v>185</v>
      </c>
      <c r="DO8" s="227">
        <f>VLOOKUP(DN8,DATA!$B$13:$C$19,2,0)</f>
        <v>100</v>
      </c>
      <c r="DP8" s="9">
        <f>VLOOKUP($DN$1,DATA!$B$24:$C$45,2,0)</f>
        <v>7.0000000000000007E-2</v>
      </c>
      <c r="DQ8" s="9">
        <f t="shared" si="37"/>
        <v>7.0000000000000007E-2</v>
      </c>
      <c r="DR8" s="3">
        <f t="shared" si="38"/>
        <v>7.2800000000000011</v>
      </c>
      <c r="DS8" s="6"/>
      <c r="DT8" s="95"/>
      <c r="DU8" s="226" t="s">
        <v>185</v>
      </c>
      <c r="DV8" s="227">
        <f>VLOOKUP(DU8,DATA!$B$13:$C$19,2,0)</f>
        <v>100</v>
      </c>
      <c r="DW8" s="9">
        <f>VLOOKUP($DU$1,DATA!$B$24:$C$45,2,0)</f>
        <v>0.04</v>
      </c>
      <c r="DX8" s="9">
        <f t="shared" si="39"/>
        <v>0.04</v>
      </c>
      <c r="DY8" s="3">
        <f t="shared" si="40"/>
        <v>4.16</v>
      </c>
      <c r="DZ8" s="6"/>
      <c r="EA8" s="95"/>
      <c r="EB8" s="226" t="s">
        <v>185</v>
      </c>
      <c r="EC8" s="227">
        <f>VLOOKUP(EB8,DATA!$B$13:$C$19,2,0)</f>
        <v>100</v>
      </c>
      <c r="ED8" s="9">
        <f>VLOOKUP($EB$1,DATA!$B$24:$C$45,2,0)</f>
        <v>0.05</v>
      </c>
      <c r="EE8" s="9">
        <f t="shared" si="41"/>
        <v>0.05</v>
      </c>
      <c r="EF8" s="3">
        <f t="shared" si="42"/>
        <v>5.2</v>
      </c>
      <c r="EG8" s="6"/>
      <c r="EH8" s="95"/>
      <c r="EI8" s="226" t="s">
        <v>185</v>
      </c>
      <c r="EJ8" s="227">
        <f>VLOOKUP(EI8,DATA!$B$13:$C$19,2,0)</f>
        <v>100</v>
      </c>
      <c r="EK8" s="9">
        <f>VLOOKUP($EI$1,DATA!$B$24:$C$45,2,0)</f>
        <v>0.1</v>
      </c>
      <c r="EL8" s="9">
        <f t="shared" si="43"/>
        <v>0.1</v>
      </c>
      <c r="EM8" s="3">
        <f t="shared" si="44"/>
        <v>10.4</v>
      </c>
      <c r="EN8" s="6"/>
      <c r="EO8" s="95"/>
      <c r="EP8" s="226" t="s">
        <v>185</v>
      </c>
      <c r="EQ8" s="227">
        <f>VLOOKUP(EP8,DATA!$B$13:$C$19,2,0)</f>
        <v>100</v>
      </c>
      <c r="ER8" s="9">
        <f>VLOOKUP($EP$1,DATA!$B$24:$C$45,2,0)</f>
        <v>0.03</v>
      </c>
      <c r="ES8" s="9">
        <f t="shared" si="45"/>
        <v>0.03</v>
      </c>
      <c r="ET8" s="84">
        <f t="shared" si="46"/>
        <v>3.12</v>
      </c>
      <c r="EU8" s="244">
        <f t="shared" si="47"/>
        <v>0</v>
      </c>
      <c r="EV8" s="85" t="s">
        <v>186</v>
      </c>
      <c r="EW8" s="134" t="s">
        <v>187</v>
      </c>
      <c r="EX8" s="6"/>
    </row>
    <row r="9" spans="1:154" x14ac:dyDescent="0.3">
      <c r="A9" s="3" t="s">
        <v>180</v>
      </c>
      <c r="B9" s="3" t="s">
        <v>181</v>
      </c>
      <c r="C9" s="3" t="s">
        <v>182</v>
      </c>
      <c r="D9" s="85" t="s">
        <v>210</v>
      </c>
      <c r="E9" s="85"/>
      <c r="F9" s="3">
        <v>3272</v>
      </c>
      <c r="G9" s="3" t="s">
        <v>211</v>
      </c>
      <c r="H9" s="3">
        <v>103</v>
      </c>
      <c r="I9" s="3"/>
      <c r="J9" s="229">
        <f>BaseDeDatos[[#This Row],[Budget CS]]+BaseDeDatos[[#This Row],[Change Orders Budget]]</f>
        <v>103</v>
      </c>
      <c r="K9" s="92">
        <f>IFERROR(VLOOKUP(G9, DATA!H:I, 2, FALSE), 0)+BaseDeDatos[[#This Row],[Labor Spend on Design errors]]+BaseDeDatos[[#This Row],[Labor
Spent Customer changes]]</f>
        <v>183</v>
      </c>
      <c r="L9" s="92"/>
      <c r="M9" s="92"/>
      <c r="N9" s="232">
        <f t="shared" si="0"/>
        <v>1</v>
      </c>
      <c r="O9" s="238">
        <f t="shared" si="1"/>
        <v>183</v>
      </c>
      <c r="P9" s="39">
        <v>31.45</v>
      </c>
      <c r="Q9" s="89">
        <f>BaseDeDatos[[#This Row],[Budget]]*BaseDeDatos[[#This Row],[Labor Rate from CS]]</f>
        <v>3239.35</v>
      </c>
      <c r="R9" s="94">
        <f>BaseDeDatos[[#This Row],[Labor
Spent]]*BaseDeDatos[[#This Row],[Labor Rate from CS]]</f>
        <v>5755.3499999999995</v>
      </c>
      <c r="S9" s="42">
        <f t="shared" si="2"/>
        <v>1.7766990291262137</v>
      </c>
      <c r="T9" s="98">
        <v>452146</v>
      </c>
      <c r="U9" s="98">
        <v>37083.33</v>
      </c>
      <c r="V9" s="39">
        <v>29631.85</v>
      </c>
      <c r="W9" s="98">
        <v>114791.78</v>
      </c>
      <c r="X9" s="98">
        <v>114791.78</v>
      </c>
      <c r="Y9" s="98"/>
      <c r="Z9" s="98"/>
      <c r="AA9" s="39">
        <v>362409.1</v>
      </c>
      <c r="AB9" s="89">
        <f t="shared" si="3"/>
        <v>244377.96999999997</v>
      </c>
      <c r="AC9" s="120">
        <f>SUM(AB9,X9,R9,BaseDeDatos[[#This Row],[Additionals cost]])</f>
        <v>394556.94999999995</v>
      </c>
      <c r="AD9" s="117">
        <v>0.19850000000000001</v>
      </c>
      <c r="AE9" s="117">
        <v>0.19850000000000001</v>
      </c>
      <c r="AF9" s="240">
        <f t="shared" si="4"/>
        <v>0.19290428312978555</v>
      </c>
      <c r="AG9" s="226"/>
      <c r="AH9" s="226" t="s">
        <v>185</v>
      </c>
      <c r="AI9" s="227">
        <f>VLOOKUP(AH9,DATA!$B$13:$C$19,2,0)</f>
        <v>100</v>
      </c>
      <c r="AJ9" s="4">
        <f>VLOOKUP($AH$1,DATA!$B$24:$C$45,2,0)</f>
        <v>0.05</v>
      </c>
      <c r="AK9" s="3">
        <f>BaseDeDatos[[#This Row],[Read info
Status]]*(AJ9)/100</f>
        <v>0.05</v>
      </c>
      <c r="AL9" s="84">
        <f t="shared" si="5"/>
        <v>5.15</v>
      </c>
      <c r="AM9" s="226" t="s">
        <v>185</v>
      </c>
      <c r="AN9" s="227">
        <f>VLOOKUP(AM9,DATA!$B$13:$C$19,2,0)</f>
        <v>100</v>
      </c>
      <c r="AO9" s="9">
        <f>VLOOKUP($AM$1,DATA!$B$24:$C$45,2,0)</f>
        <v>0.05</v>
      </c>
      <c r="AP9" s="9">
        <f t="shared" si="6"/>
        <v>0.05</v>
      </c>
      <c r="AQ9" s="3">
        <f t="shared" si="7"/>
        <v>5.15</v>
      </c>
      <c r="AR9" s="6"/>
      <c r="AS9" s="95"/>
      <c r="AT9" s="226" t="s">
        <v>185</v>
      </c>
      <c r="AU9" s="227">
        <f>VLOOKUP(AT9,DATA!$B$13:$C$19,2,0)</f>
        <v>100</v>
      </c>
      <c r="AV9" s="9">
        <f>VLOOKUP($AT$1,DATA!$B$24:$C$45,2,0)</f>
        <v>0.01</v>
      </c>
      <c r="AW9" s="9">
        <f t="shared" si="8"/>
        <v>0.01</v>
      </c>
      <c r="AX9" s="3">
        <f t="shared" si="9"/>
        <v>1.03</v>
      </c>
      <c r="AY9" s="6"/>
      <c r="AZ9" s="95"/>
      <c r="BA9" s="226" t="s">
        <v>185</v>
      </c>
      <c r="BB9" s="227">
        <f>VLOOKUP(BA9,DATA!$B$13:$C$19,2,0)</f>
        <v>100</v>
      </c>
      <c r="BC9" s="9">
        <f>VLOOKUP($BA$1,DATA!$B$24:$C$45,2,0)</f>
        <v>0.01</v>
      </c>
      <c r="BD9" s="9">
        <f t="shared" si="10"/>
        <v>0.01</v>
      </c>
      <c r="BE9" s="84">
        <f t="shared" si="11"/>
        <v>1.03</v>
      </c>
      <c r="BF9" s="226" t="s">
        <v>185</v>
      </c>
      <c r="BG9" s="227">
        <f>VLOOKUP(BF9,DATA!$B$13:$C$19,2,0)</f>
        <v>100</v>
      </c>
      <c r="BH9" s="9">
        <f>VLOOKUP($BF$1,DATA!$B$24:$C$45,2,0)</f>
        <v>0.08</v>
      </c>
      <c r="BI9" s="9">
        <f t="shared" si="12"/>
        <v>0.08</v>
      </c>
      <c r="BJ9" s="84">
        <f t="shared" si="13"/>
        <v>8.24</v>
      </c>
      <c r="BK9" s="226" t="s">
        <v>185</v>
      </c>
      <c r="BL9" s="227">
        <f>VLOOKUP(BK9,DATA!$B$13:$C$19,2,0)</f>
        <v>100</v>
      </c>
      <c r="BM9" s="9">
        <f>VLOOKUP($BK$1,DATA!$B$24:$C$45,2,0)</f>
        <v>0.18</v>
      </c>
      <c r="BN9" s="9">
        <f t="shared" si="14"/>
        <v>0.18</v>
      </c>
      <c r="BO9" s="84">
        <f t="shared" si="15"/>
        <v>18.54</v>
      </c>
      <c r="BP9" s="226" t="s">
        <v>185</v>
      </c>
      <c r="BQ9" s="227">
        <f>VLOOKUP(BP9,DATA!$B$13:$C$19,2,0)</f>
        <v>100</v>
      </c>
      <c r="BR9" s="9">
        <f>VLOOKUP($BP$1,DATA!$B$24:$C$45,2,0)</f>
        <v>0.28000000000000003</v>
      </c>
      <c r="BS9" s="9">
        <f t="shared" si="16"/>
        <v>0.28000000000000003</v>
      </c>
      <c r="BT9" s="84">
        <f t="shared" si="17"/>
        <v>28.840000000000003</v>
      </c>
      <c r="BU9" s="226" t="s">
        <v>185</v>
      </c>
      <c r="BV9" s="227">
        <f>VLOOKUP(BU9,DATA!$B$13:$C$19,2,0)</f>
        <v>100</v>
      </c>
      <c r="BW9" s="9">
        <f>VLOOKUP($BU$1,DATA!$B$24:$C$45,2,0)</f>
        <v>0.15</v>
      </c>
      <c r="BX9" s="9">
        <f t="shared" si="18"/>
        <v>0.15</v>
      </c>
      <c r="BY9" s="84">
        <f t="shared" si="19"/>
        <v>15.45</v>
      </c>
      <c r="BZ9" s="226" t="s">
        <v>185</v>
      </c>
      <c r="CA9" s="227">
        <f>VLOOKUP(BZ9,DATA!$B$13:$C$19,2,0)</f>
        <v>100</v>
      </c>
      <c r="CB9" s="9">
        <f>VLOOKUP($BZ$1,DATA!$B$24:$C$45,2,0)</f>
        <v>0.16</v>
      </c>
      <c r="CC9" s="9">
        <f t="shared" si="20"/>
        <v>0.16</v>
      </c>
      <c r="CD9" s="84">
        <f t="shared" si="21"/>
        <v>16.48</v>
      </c>
      <c r="CE9" s="226" t="s">
        <v>185</v>
      </c>
      <c r="CF9" s="227">
        <f>VLOOKUP(CE9,DATA!$B$13:$C$19,2,0)</f>
        <v>100</v>
      </c>
      <c r="CG9" s="9">
        <f>VLOOKUP($CE$1,DATA!$B$24:$C$45,2,0)</f>
        <v>0.13</v>
      </c>
      <c r="CH9" s="9">
        <f t="shared" si="22"/>
        <v>0.13</v>
      </c>
      <c r="CI9" s="84">
        <f t="shared" si="23"/>
        <v>13.39</v>
      </c>
      <c r="CJ9" s="226" t="s">
        <v>185</v>
      </c>
      <c r="CK9" s="227">
        <f>VLOOKUP(CJ9,DATA!$B$13:$C$19,2,0)</f>
        <v>100</v>
      </c>
      <c r="CL9" s="9">
        <f>VLOOKUP($CJ$1,DATA!$B$24:$C$45,2,0)</f>
        <v>0.01</v>
      </c>
      <c r="CM9" s="9">
        <f t="shared" si="24"/>
        <v>0.01</v>
      </c>
      <c r="CN9" s="84">
        <f t="shared" si="25"/>
        <v>1.03</v>
      </c>
      <c r="CO9" s="96">
        <f t="shared" si="26"/>
        <v>1</v>
      </c>
      <c r="CP9" s="9">
        <f>VLOOKUP($CO$1,DATA!$B$24:$C$45,2,0)</f>
        <v>0.54</v>
      </c>
      <c r="CQ9" s="9">
        <f t="shared" si="27"/>
        <v>0.54</v>
      </c>
      <c r="CR9" s="3">
        <f t="shared" si="28"/>
        <v>55.620000000000005</v>
      </c>
      <c r="CS9" s="130">
        <f t="shared" si="29"/>
        <v>55.620000000000005</v>
      </c>
      <c r="CT9" s="242">
        <f t="shared" si="30"/>
        <v>0</v>
      </c>
      <c r="CU9" s="226" t="s">
        <v>185</v>
      </c>
      <c r="CV9" s="227">
        <f>VLOOKUP(CU9,DATA!$B$13:$C$19,2,0)</f>
        <v>100</v>
      </c>
      <c r="CW9" s="9">
        <f>VLOOKUP($CU$1,DATA!$B$24:$C$45,2,0)</f>
        <v>0.02</v>
      </c>
      <c r="CX9" s="9">
        <f t="shared" si="31"/>
        <v>0.02</v>
      </c>
      <c r="CY9" s="3">
        <f t="shared" si="32"/>
        <v>2.06</v>
      </c>
      <c r="CZ9" s="6"/>
      <c r="DA9" s="95"/>
      <c r="DB9" s="226" t="s">
        <v>185</v>
      </c>
      <c r="DC9" s="227">
        <f>VLOOKUP(DB9,DATA!$B$13:$C$19,2,0)</f>
        <v>100</v>
      </c>
      <c r="DD9" s="9">
        <f>VLOOKUP($DB$1,DATA!$B$24:$C$45,2,0)</f>
        <v>0.01</v>
      </c>
      <c r="DE9" s="9">
        <f t="shared" si="33"/>
        <v>0.01</v>
      </c>
      <c r="DF9" s="3">
        <f t="shared" si="34"/>
        <v>1.03</v>
      </c>
      <c r="DG9" s="6"/>
      <c r="DH9" s="95"/>
      <c r="DI9" s="226" t="s">
        <v>185</v>
      </c>
      <c r="DJ9" s="227">
        <f>VLOOKUP(DI9,DATA!$B$13:$C$19,2,0)</f>
        <v>100</v>
      </c>
      <c r="DK9" s="9">
        <f>VLOOKUP($DI$1,DATA!$B$24:$C$45,2,0)</f>
        <v>0.03</v>
      </c>
      <c r="DL9" s="9">
        <f t="shared" si="35"/>
        <v>0.03</v>
      </c>
      <c r="DM9" s="84">
        <f t="shared" si="36"/>
        <v>3.09</v>
      </c>
      <c r="DN9" s="226" t="s">
        <v>185</v>
      </c>
      <c r="DO9" s="227">
        <f>VLOOKUP(DN9,DATA!$B$13:$C$19,2,0)</f>
        <v>100</v>
      </c>
      <c r="DP9" s="9">
        <f>VLOOKUP($DN$1,DATA!$B$24:$C$45,2,0)</f>
        <v>7.0000000000000007E-2</v>
      </c>
      <c r="DQ9" s="9">
        <f t="shared" si="37"/>
        <v>7.0000000000000007E-2</v>
      </c>
      <c r="DR9" s="3">
        <f t="shared" si="38"/>
        <v>7.2100000000000009</v>
      </c>
      <c r="DS9" s="6"/>
      <c r="DT9" s="95"/>
      <c r="DU9" s="226" t="s">
        <v>185</v>
      </c>
      <c r="DV9" s="227">
        <f>VLOOKUP(DU9,DATA!$B$13:$C$19,2,0)</f>
        <v>100</v>
      </c>
      <c r="DW9" s="9">
        <f>VLOOKUP($DU$1,DATA!$B$24:$C$45,2,0)</f>
        <v>0.04</v>
      </c>
      <c r="DX9" s="9">
        <f t="shared" si="39"/>
        <v>0.04</v>
      </c>
      <c r="DY9" s="3">
        <f t="shared" si="40"/>
        <v>4.12</v>
      </c>
      <c r="DZ9" s="6"/>
      <c r="EA9" s="95"/>
      <c r="EB9" s="226" t="s">
        <v>185</v>
      </c>
      <c r="EC9" s="227">
        <f>VLOOKUP(EB9,DATA!$B$13:$C$19,2,0)</f>
        <v>100</v>
      </c>
      <c r="ED9" s="9">
        <f>VLOOKUP($EB$1,DATA!$B$24:$C$45,2,0)</f>
        <v>0.05</v>
      </c>
      <c r="EE9" s="9">
        <f t="shared" si="41"/>
        <v>0.05</v>
      </c>
      <c r="EF9" s="3">
        <f t="shared" si="42"/>
        <v>5.15</v>
      </c>
      <c r="EG9" s="6"/>
      <c r="EH9" s="95"/>
      <c r="EI9" s="226" t="s">
        <v>185</v>
      </c>
      <c r="EJ9" s="227">
        <f>VLOOKUP(EI9,DATA!$B$13:$C$19,2,0)</f>
        <v>100</v>
      </c>
      <c r="EK9" s="9">
        <f>VLOOKUP($EI$1,DATA!$B$24:$C$45,2,0)</f>
        <v>0.1</v>
      </c>
      <c r="EL9" s="9">
        <f t="shared" si="43"/>
        <v>0.1</v>
      </c>
      <c r="EM9" s="3">
        <f t="shared" si="44"/>
        <v>10.3</v>
      </c>
      <c r="EN9" s="6"/>
      <c r="EO9" s="95"/>
      <c r="EP9" s="226" t="s">
        <v>185</v>
      </c>
      <c r="EQ9" s="227">
        <f>VLOOKUP(EP9,DATA!$B$13:$C$19,2,0)</f>
        <v>100</v>
      </c>
      <c r="ER9" s="9">
        <f>VLOOKUP($EP$1,DATA!$B$24:$C$45,2,0)</f>
        <v>0.03</v>
      </c>
      <c r="ES9" s="9">
        <f t="shared" si="45"/>
        <v>0.03</v>
      </c>
      <c r="ET9" s="84">
        <f t="shared" si="46"/>
        <v>3.09</v>
      </c>
      <c r="EU9" s="244">
        <f t="shared" si="47"/>
        <v>0</v>
      </c>
      <c r="EV9" s="85" t="s">
        <v>186</v>
      </c>
      <c r="EW9" s="134" t="s">
        <v>187</v>
      </c>
      <c r="EX9" s="6"/>
    </row>
    <row r="10" spans="1:154" x14ac:dyDescent="0.3">
      <c r="A10" s="3" t="s">
        <v>180</v>
      </c>
      <c r="B10" s="3" t="s">
        <v>181</v>
      </c>
      <c r="C10" s="3" t="s">
        <v>182</v>
      </c>
      <c r="D10" s="85" t="s">
        <v>212</v>
      </c>
      <c r="E10" s="85"/>
      <c r="F10" s="3">
        <v>3272</v>
      </c>
      <c r="G10" s="3" t="s">
        <v>213</v>
      </c>
      <c r="H10" s="3">
        <v>123</v>
      </c>
      <c r="I10" s="3"/>
      <c r="J10" s="229">
        <f>BaseDeDatos[[#This Row],[Budget CS]]+BaseDeDatos[[#This Row],[Change Orders Budget]]</f>
        <v>123</v>
      </c>
      <c r="K10" s="92">
        <f>IFERROR(VLOOKUP(G10, DATA!H:I, 2, FALSE), 0)+BaseDeDatos[[#This Row],[Labor Spend on Design errors]]+BaseDeDatos[[#This Row],[Labor
Spent Customer changes]]</f>
        <v>206</v>
      </c>
      <c r="L10" s="92"/>
      <c r="M10" s="92"/>
      <c r="N10" s="232">
        <f t="shared" si="0"/>
        <v>1</v>
      </c>
      <c r="O10" s="238">
        <f t="shared" si="1"/>
        <v>206</v>
      </c>
      <c r="P10" s="39">
        <v>31.45</v>
      </c>
      <c r="Q10" s="89">
        <f>BaseDeDatos[[#This Row],[Budget]]*BaseDeDatos[[#This Row],[Labor Rate from CS]]</f>
        <v>3868.35</v>
      </c>
      <c r="R10" s="94">
        <f>BaseDeDatos[[#This Row],[Labor
Spent]]*BaseDeDatos[[#This Row],[Labor Rate from CS]]</f>
        <v>6478.7</v>
      </c>
      <c r="S10" s="42">
        <f t="shared" si="2"/>
        <v>1.6747967479674797</v>
      </c>
      <c r="T10" s="98">
        <v>653494</v>
      </c>
      <c r="U10" s="98">
        <v>37083.33</v>
      </c>
      <c r="V10" s="39">
        <v>29631.85</v>
      </c>
      <c r="W10" s="98">
        <v>101212.59</v>
      </c>
      <c r="X10" s="98">
        <v>101212.59</v>
      </c>
      <c r="Y10" s="98"/>
      <c r="Z10" s="98"/>
      <c r="AA10" s="39">
        <v>523795.55</v>
      </c>
      <c r="AB10" s="89">
        <f t="shared" si="3"/>
        <v>418714.61</v>
      </c>
      <c r="AC10" s="120">
        <f>SUM(AB10,X10,R10,BaseDeDatos[[#This Row],[Additionals cost]])</f>
        <v>556037.74999999988</v>
      </c>
      <c r="AD10" s="117">
        <v>0.19850000000000001</v>
      </c>
      <c r="AE10" s="117">
        <v>0.19850000000000001</v>
      </c>
      <c r="AF10" s="240">
        <f t="shared" si="4"/>
        <v>0.19447477712113667</v>
      </c>
      <c r="AG10" s="226"/>
      <c r="AH10" s="226" t="s">
        <v>185</v>
      </c>
      <c r="AI10" s="227">
        <f>VLOOKUP(AH10,DATA!$B$13:$C$19,2,0)</f>
        <v>100</v>
      </c>
      <c r="AJ10" s="4">
        <f>VLOOKUP($AH$1,DATA!$B$24:$C$45,2,0)</f>
        <v>0.05</v>
      </c>
      <c r="AK10" s="3">
        <f>BaseDeDatos[[#This Row],[Read info
Status]]*(AJ10)/100</f>
        <v>0.05</v>
      </c>
      <c r="AL10" s="84">
        <f t="shared" si="5"/>
        <v>6.15</v>
      </c>
      <c r="AM10" s="226" t="s">
        <v>185</v>
      </c>
      <c r="AN10" s="227">
        <f>VLOOKUP(AM10,DATA!$B$13:$C$19,2,0)</f>
        <v>100</v>
      </c>
      <c r="AO10" s="9">
        <f>VLOOKUP($AM$1,DATA!$B$24:$C$45,2,0)</f>
        <v>0.05</v>
      </c>
      <c r="AP10" s="9">
        <f t="shared" si="6"/>
        <v>0.05</v>
      </c>
      <c r="AQ10" s="3">
        <f t="shared" si="7"/>
        <v>6.15</v>
      </c>
      <c r="AR10" s="6"/>
      <c r="AS10" s="95"/>
      <c r="AT10" s="226" t="s">
        <v>185</v>
      </c>
      <c r="AU10" s="227">
        <f>VLOOKUP(AT10,DATA!$B$13:$C$19,2,0)</f>
        <v>100</v>
      </c>
      <c r="AV10" s="9">
        <f>VLOOKUP($AT$1,DATA!$B$24:$C$45,2,0)</f>
        <v>0.01</v>
      </c>
      <c r="AW10" s="9">
        <f t="shared" si="8"/>
        <v>0.01</v>
      </c>
      <c r="AX10" s="3">
        <f t="shared" si="9"/>
        <v>1.23</v>
      </c>
      <c r="AY10" s="6"/>
      <c r="AZ10" s="95"/>
      <c r="BA10" s="226" t="s">
        <v>185</v>
      </c>
      <c r="BB10" s="227">
        <f>VLOOKUP(BA10,DATA!$B$13:$C$19,2,0)</f>
        <v>100</v>
      </c>
      <c r="BC10" s="9">
        <f>VLOOKUP($BA$1,DATA!$B$24:$C$45,2,0)</f>
        <v>0.01</v>
      </c>
      <c r="BD10" s="9">
        <f t="shared" si="10"/>
        <v>0.01</v>
      </c>
      <c r="BE10" s="84">
        <f t="shared" si="11"/>
        <v>1.23</v>
      </c>
      <c r="BF10" s="226" t="s">
        <v>185</v>
      </c>
      <c r="BG10" s="227">
        <f>VLOOKUP(BF10,DATA!$B$13:$C$19,2,0)</f>
        <v>100</v>
      </c>
      <c r="BH10" s="9">
        <f>VLOOKUP($BF$1,DATA!$B$24:$C$45,2,0)</f>
        <v>0.08</v>
      </c>
      <c r="BI10" s="9">
        <f t="shared" si="12"/>
        <v>0.08</v>
      </c>
      <c r="BJ10" s="84">
        <f t="shared" si="13"/>
        <v>9.84</v>
      </c>
      <c r="BK10" s="226" t="s">
        <v>185</v>
      </c>
      <c r="BL10" s="227">
        <f>VLOOKUP(BK10,DATA!$B$13:$C$19,2,0)</f>
        <v>100</v>
      </c>
      <c r="BM10" s="9">
        <f>VLOOKUP($BK$1,DATA!$B$24:$C$45,2,0)</f>
        <v>0.18</v>
      </c>
      <c r="BN10" s="9">
        <f t="shared" si="14"/>
        <v>0.18</v>
      </c>
      <c r="BO10" s="84">
        <f t="shared" si="15"/>
        <v>22.14</v>
      </c>
      <c r="BP10" s="226" t="s">
        <v>185</v>
      </c>
      <c r="BQ10" s="227">
        <f>VLOOKUP(BP10,DATA!$B$13:$C$19,2,0)</f>
        <v>100</v>
      </c>
      <c r="BR10" s="9">
        <f>VLOOKUP($BP$1,DATA!$B$24:$C$45,2,0)</f>
        <v>0.28000000000000003</v>
      </c>
      <c r="BS10" s="9">
        <f t="shared" si="16"/>
        <v>0.28000000000000003</v>
      </c>
      <c r="BT10" s="84">
        <f t="shared" si="17"/>
        <v>34.440000000000005</v>
      </c>
      <c r="BU10" s="226" t="s">
        <v>185</v>
      </c>
      <c r="BV10" s="227">
        <f>VLOOKUP(BU10,DATA!$B$13:$C$19,2,0)</f>
        <v>100</v>
      </c>
      <c r="BW10" s="9">
        <f>VLOOKUP($BU$1,DATA!$B$24:$C$45,2,0)</f>
        <v>0.15</v>
      </c>
      <c r="BX10" s="9">
        <f t="shared" si="18"/>
        <v>0.15</v>
      </c>
      <c r="BY10" s="84">
        <f t="shared" si="19"/>
        <v>18.45</v>
      </c>
      <c r="BZ10" s="226" t="s">
        <v>185</v>
      </c>
      <c r="CA10" s="227">
        <f>VLOOKUP(BZ10,DATA!$B$13:$C$19,2,0)</f>
        <v>100</v>
      </c>
      <c r="CB10" s="9">
        <f>VLOOKUP($BZ$1,DATA!$B$24:$C$45,2,0)</f>
        <v>0.16</v>
      </c>
      <c r="CC10" s="9">
        <f t="shared" si="20"/>
        <v>0.16</v>
      </c>
      <c r="CD10" s="84">
        <f t="shared" si="21"/>
        <v>19.68</v>
      </c>
      <c r="CE10" s="226" t="s">
        <v>185</v>
      </c>
      <c r="CF10" s="227">
        <f>VLOOKUP(CE10,DATA!$B$13:$C$19,2,0)</f>
        <v>100</v>
      </c>
      <c r="CG10" s="9">
        <f>VLOOKUP($CE$1,DATA!$B$24:$C$45,2,0)</f>
        <v>0.13</v>
      </c>
      <c r="CH10" s="9">
        <f t="shared" si="22"/>
        <v>0.13</v>
      </c>
      <c r="CI10" s="84">
        <f t="shared" si="23"/>
        <v>15.99</v>
      </c>
      <c r="CJ10" s="226" t="s">
        <v>185</v>
      </c>
      <c r="CK10" s="227">
        <f>VLOOKUP(CJ10,DATA!$B$13:$C$19,2,0)</f>
        <v>100</v>
      </c>
      <c r="CL10" s="9">
        <f>VLOOKUP($CJ$1,DATA!$B$24:$C$45,2,0)</f>
        <v>0.01</v>
      </c>
      <c r="CM10" s="9">
        <f t="shared" si="24"/>
        <v>0.01</v>
      </c>
      <c r="CN10" s="84">
        <f t="shared" si="25"/>
        <v>1.23</v>
      </c>
      <c r="CO10" s="96">
        <f t="shared" si="26"/>
        <v>1</v>
      </c>
      <c r="CP10" s="9">
        <f>VLOOKUP($CO$1,DATA!$B$24:$C$45,2,0)</f>
        <v>0.54</v>
      </c>
      <c r="CQ10" s="9">
        <f t="shared" si="27"/>
        <v>0.54</v>
      </c>
      <c r="CR10" s="3">
        <f t="shared" si="28"/>
        <v>66.42</v>
      </c>
      <c r="CS10" s="130">
        <f t="shared" si="29"/>
        <v>66.42</v>
      </c>
      <c r="CT10" s="242">
        <f t="shared" si="30"/>
        <v>0</v>
      </c>
      <c r="CU10" s="226" t="s">
        <v>185</v>
      </c>
      <c r="CV10" s="227">
        <f>VLOOKUP(CU10,DATA!$B$13:$C$19,2,0)</f>
        <v>100</v>
      </c>
      <c r="CW10" s="9">
        <f>VLOOKUP($CU$1,DATA!$B$24:$C$45,2,0)</f>
        <v>0.02</v>
      </c>
      <c r="CX10" s="9">
        <f t="shared" si="31"/>
        <v>0.02</v>
      </c>
      <c r="CY10" s="3">
        <f t="shared" si="32"/>
        <v>2.46</v>
      </c>
      <c r="CZ10" s="6"/>
      <c r="DA10" s="95"/>
      <c r="DB10" s="226" t="s">
        <v>185</v>
      </c>
      <c r="DC10" s="227">
        <f>VLOOKUP(DB10,DATA!$B$13:$C$19,2,0)</f>
        <v>100</v>
      </c>
      <c r="DD10" s="9">
        <f>VLOOKUP($DB$1,DATA!$B$24:$C$45,2,0)</f>
        <v>0.01</v>
      </c>
      <c r="DE10" s="9">
        <f t="shared" si="33"/>
        <v>0.01</v>
      </c>
      <c r="DF10" s="3">
        <f t="shared" si="34"/>
        <v>1.23</v>
      </c>
      <c r="DG10" s="6"/>
      <c r="DH10" s="95"/>
      <c r="DI10" s="226" t="s">
        <v>185</v>
      </c>
      <c r="DJ10" s="227">
        <f>VLOOKUP(DI10,DATA!$B$13:$C$19,2,0)</f>
        <v>100</v>
      </c>
      <c r="DK10" s="9">
        <f>VLOOKUP($DI$1,DATA!$B$24:$C$45,2,0)</f>
        <v>0.03</v>
      </c>
      <c r="DL10" s="9">
        <f t="shared" si="35"/>
        <v>0.03</v>
      </c>
      <c r="DM10" s="84">
        <f t="shared" si="36"/>
        <v>3.69</v>
      </c>
      <c r="DN10" s="226" t="s">
        <v>185</v>
      </c>
      <c r="DO10" s="227">
        <f>VLOOKUP(DN10,DATA!$B$13:$C$19,2,0)</f>
        <v>100</v>
      </c>
      <c r="DP10" s="9">
        <f>VLOOKUP($DN$1,DATA!$B$24:$C$45,2,0)</f>
        <v>7.0000000000000007E-2</v>
      </c>
      <c r="DQ10" s="9">
        <f t="shared" si="37"/>
        <v>7.0000000000000007E-2</v>
      </c>
      <c r="DR10" s="3">
        <f t="shared" si="38"/>
        <v>8.6100000000000012</v>
      </c>
      <c r="DS10" s="6"/>
      <c r="DT10" s="95"/>
      <c r="DU10" s="226" t="s">
        <v>185</v>
      </c>
      <c r="DV10" s="227">
        <f>VLOOKUP(DU10,DATA!$B$13:$C$19,2,0)</f>
        <v>100</v>
      </c>
      <c r="DW10" s="9">
        <f>VLOOKUP($DU$1,DATA!$B$24:$C$45,2,0)</f>
        <v>0.04</v>
      </c>
      <c r="DX10" s="9">
        <f t="shared" si="39"/>
        <v>0.04</v>
      </c>
      <c r="DY10" s="3">
        <f t="shared" si="40"/>
        <v>4.92</v>
      </c>
      <c r="DZ10" s="6"/>
      <c r="EA10" s="95"/>
      <c r="EB10" s="226" t="s">
        <v>185</v>
      </c>
      <c r="EC10" s="227">
        <f>VLOOKUP(EB10,DATA!$B$13:$C$19,2,0)</f>
        <v>100</v>
      </c>
      <c r="ED10" s="9">
        <f>VLOOKUP($EB$1,DATA!$B$24:$C$45,2,0)</f>
        <v>0.05</v>
      </c>
      <c r="EE10" s="9">
        <f t="shared" si="41"/>
        <v>0.05</v>
      </c>
      <c r="EF10" s="3">
        <f t="shared" si="42"/>
        <v>6.15</v>
      </c>
      <c r="EG10" s="6"/>
      <c r="EH10" s="95"/>
      <c r="EI10" s="226" t="s">
        <v>185</v>
      </c>
      <c r="EJ10" s="227">
        <f>VLOOKUP(EI10,DATA!$B$13:$C$19,2,0)</f>
        <v>100</v>
      </c>
      <c r="EK10" s="9">
        <f>VLOOKUP($EI$1,DATA!$B$24:$C$45,2,0)</f>
        <v>0.1</v>
      </c>
      <c r="EL10" s="9">
        <f t="shared" si="43"/>
        <v>0.1</v>
      </c>
      <c r="EM10" s="3">
        <f t="shared" si="44"/>
        <v>12.3</v>
      </c>
      <c r="EN10" s="6"/>
      <c r="EO10" s="95"/>
      <c r="EP10" s="226" t="s">
        <v>185</v>
      </c>
      <c r="EQ10" s="227">
        <f>VLOOKUP(EP10,DATA!$B$13:$C$19,2,0)</f>
        <v>100</v>
      </c>
      <c r="ER10" s="9">
        <f>VLOOKUP($EP$1,DATA!$B$24:$C$45,2,0)</f>
        <v>0.03</v>
      </c>
      <c r="ES10" s="9">
        <f t="shared" si="45"/>
        <v>0.03</v>
      </c>
      <c r="ET10" s="84">
        <f t="shared" si="46"/>
        <v>3.69</v>
      </c>
      <c r="EU10" s="244">
        <f t="shared" si="47"/>
        <v>0</v>
      </c>
      <c r="EV10" s="85" t="s">
        <v>186</v>
      </c>
      <c r="EW10" s="134" t="s">
        <v>187</v>
      </c>
      <c r="EX10" s="6"/>
    </row>
    <row r="11" spans="1:154" x14ac:dyDescent="0.3">
      <c r="A11" s="3" t="s">
        <v>180</v>
      </c>
      <c r="B11" s="3" t="s">
        <v>194</v>
      </c>
      <c r="C11" s="3" t="s">
        <v>182</v>
      </c>
      <c r="D11" s="85" t="s">
        <v>214</v>
      </c>
      <c r="E11" s="85" t="s">
        <v>215</v>
      </c>
      <c r="F11" s="3" t="s">
        <v>216</v>
      </c>
      <c r="G11" s="3" t="s">
        <v>216</v>
      </c>
      <c r="H11" s="3">
        <v>20</v>
      </c>
      <c r="I11" s="3"/>
      <c r="J11" s="229">
        <f>BaseDeDatos[[#This Row],[Budget CS]]+BaseDeDatos[[#This Row],[Change Orders Budget]]</f>
        <v>20</v>
      </c>
      <c r="K11" s="92">
        <f>IFERROR(VLOOKUP(G11, DATA!H:I, 2, FALSE), 0)+BaseDeDatos[[#This Row],[Labor Spend on Design errors]]+BaseDeDatos[[#This Row],[Labor
Spent Customer changes]]</f>
        <v>0</v>
      </c>
      <c r="L11" s="92"/>
      <c r="M11" s="92"/>
      <c r="N11" s="232">
        <f t="shared" si="0"/>
        <v>0</v>
      </c>
      <c r="O11" s="238">
        <f t="shared" si="1"/>
        <v>0</v>
      </c>
      <c r="P11" s="39">
        <v>26.73</v>
      </c>
      <c r="Q11" s="89">
        <f>BaseDeDatos[[#This Row],[Budget]]*BaseDeDatos[[#This Row],[Labor Rate from CS]]</f>
        <v>534.6</v>
      </c>
      <c r="R11" s="94">
        <f>BaseDeDatos[[#This Row],[Labor
Spent]]*BaseDeDatos[[#This Row],[Labor Rate from CS]]</f>
        <v>0</v>
      </c>
      <c r="S11" s="42">
        <f t="shared" si="2"/>
        <v>0</v>
      </c>
      <c r="T11" s="98">
        <v>111000</v>
      </c>
      <c r="U11" s="89"/>
      <c r="V11" s="39"/>
      <c r="W11" s="98">
        <v>30648</v>
      </c>
      <c r="X11" s="98">
        <v>30648</v>
      </c>
      <c r="Y11" s="39"/>
      <c r="Z11" s="39"/>
      <c r="AA11" s="39">
        <v>86785.5</v>
      </c>
      <c r="AB11" s="175">
        <f t="shared" si="3"/>
        <v>55602.9</v>
      </c>
      <c r="AC11" s="175">
        <f>SUM(AB11,X11,R11,BaseDeDatos[[#This Row],[Additionals cost]])</f>
        <v>86250.9</v>
      </c>
      <c r="AD11" s="224">
        <v>0.21809999999999999</v>
      </c>
      <c r="AE11" s="97"/>
      <c r="AF11" s="241">
        <f t="shared" si="4"/>
        <v>0.22296486486486491</v>
      </c>
      <c r="AG11" s="226"/>
      <c r="AH11" s="226" t="s">
        <v>193</v>
      </c>
      <c r="AI11" s="227">
        <f>VLOOKUP(AH11,DATA!$B$13:$C$19,2,0)</f>
        <v>0</v>
      </c>
      <c r="AJ11" s="6"/>
      <c r="AK11" s="3">
        <f>BaseDeDatos[[#This Row],[Read info
Status]]*(AJ11)/100</f>
        <v>0</v>
      </c>
      <c r="AL11" s="84">
        <f t="shared" si="5"/>
        <v>0</v>
      </c>
      <c r="AM11" s="226" t="s">
        <v>193</v>
      </c>
      <c r="AN11" s="227">
        <f>VLOOKUP(AM11,DATA!$B$13:$C$19,2,0)</f>
        <v>0</v>
      </c>
      <c r="AO11" s="9">
        <f>VLOOKUP($AM$1,DATA!$B$24:$C$45,2,0)</f>
        <v>0.05</v>
      </c>
      <c r="AP11" s="9">
        <f t="shared" si="6"/>
        <v>0</v>
      </c>
      <c r="AQ11" s="3">
        <f t="shared" si="7"/>
        <v>1</v>
      </c>
      <c r="AR11" s="6"/>
      <c r="AS11" s="95"/>
      <c r="AT11" s="226" t="s">
        <v>193</v>
      </c>
      <c r="AU11" s="227">
        <f>VLOOKUP(AT11,DATA!$B$13:$C$19,2,0)</f>
        <v>0</v>
      </c>
      <c r="AV11" s="9">
        <f>VLOOKUP($AT$1,DATA!$B$24:$C$45,2,0)</f>
        <v>0.01</v>
      </c>
      <c r="AW11" s="9">
        <f t="shared" si="8"/>
        <v>0</v>
      </c>
      <c r="AX11" s="3">
        <f t="shared" si="9"/>
        <v>0.2</v>
      </c>
      <c r="AY11" s="6"/>
      <c r="AZ11" s="95"/>
      <c r="BA11" s="226" t="s">
        <v>193</v>
      </c>
      <c r="BB11" s="227">
        <f>VLOOKUP(BA11,DATA!$B$13:$C$19,2,0)</f>
        <v>0</v>
      </c>
      <c r="BC11" s="9">
        <f>VLOOKUP($BA$1,DATA!$B$24:$C$45,2,0)</f>
        <v>0.01</v>
      </c>
      <c r="BD11" s="9">
        <f t="shared" si="10"/>
        <v>0</v>
      </c>
      <c r="BE11" s="84">
        <f t="shared" si="11"/>
        <v>0.2</v>
      </c>
      <c r="BF11" s="226" t="s">
        <v>193</v>
      </c>
      <c r="BG11" s="227">
        <f>VLOOKUP(BF11,DATA!$B$13:$C$19,2,0)</f>
        <v>0</v>
      </c>
      <c r="BH11" s="9">
        <f>VLOOKUP($BF$1,DATA!$B$24:$C$45,2,0)</f>
        <v>0.08</v>
      </c>
      <c r="BI11" s="9">
        <f t="shared" si="12"/>
        <v>0</v>
      </c>
      <c r="BJ11" s="84">
        <f t="shared" si="13"/>
        <v>1.6</v>
      </c>
      <c r="BK11" s="226" t="s">
        <v>193</v>
      </c>
      <c r="BL11" s="227">
        <f>VLOOKUP(BK11,DATA!$B$13:$C$19,2,0)</f>
        <v>0</v>
      </c>
      <c r="BM11" s="9">
        <f>VLOOKUP($BK$1,DATA!$B$24:$C$45,2,0)</f>
        <v>0.18</v>
      </c>
      <c r="BN11" s="9">
        <f t="shared" si="14"/>
        <v>0</v>
      </c>
      <c r="BO11" s="84">
        <f t="shared" si="15"/>
        <v>3.5999999999999996</v>
      </c>
      <c r="BP11" s="226" t="s">
        <v>193</v>
      </c>
      <c r="BQ11" s="227">
        <f>VLOOKUP(BP11,DATA!$B$13:$C$19,2,0)</f>
        <v>0</v>
      </c>
      <c r="BR11" s="9">
        <f>VLOOKUP($BP$1,DATA!$B$24:$C$45,2,0)</f>
        <v>0.28000000000000003</v>
      </c>
      <c r="BS11" s="9">
        <f t="shared" si="16"/>
        <v>0</v>
      </c>
      <c r="BT11" s="84">
        <f t="shared" si="17"/>
        <v>5.6000000000000005</v>
      </c>
      <c r="BU11" s="226" t="s">
        <v>193</v>
      </c>
      <c r="BV11" s="227">
        <f>VLOOKUP(BU11,DATA!$B$13:$C$19,2,0)</f>
        <v>0</v>
      </c>
      <c r="BW11" s="9">
        <f>VLOOKUP($BU$1,DATA!$B$24:$C$45,2,0)</f>
        <v>0.15</v>
      </c>
      <c r="BX11" s="9">
        <f t="shared" si="18"/>
        <v>0</v>
      </c>
      <c r="BY11" s="84">
        <f t="shared" si="19"/>
        <v>3</v>
      </c>
      <c r="BZ11" s="226" t="s">
        <v>193</v>
      </c>
      <c r="CA11" s="227">
        <f>VLOOKUP(BZ11,DATA!$B$13:$C$19,2,0)</f>
        <v>0</v>
      </c>
      <c r="CB11" s="9">
        <f>VLOOKUP($BZ$1,DATA!$B$24:$C$45,2,0)</f>
        <v>0.16</v>
      </c>
      <c r="CC11" s="9">
        <f t="shared" si="20"/>
        <v>0</v>
      </c>
      <c r="CD11" s="84">
        <f t="shared" si="21"/>
        <v>3.2</v>
      </c>
      <c r="CE11" s="226" t="s">
        <v>193</v>
      </c>
      <c r="CF11" s="227">
        <f>VLOOKUP(CE11,DATA!$B$13:$C$19,2,0)</f>
        <v>0</v>
      </c>
      <c r="CG11" s="9">
        <f>VLOOKUP($CE$1,DATA!$B$24:$C$45,2,0)</f>
        <v>0.13</v>
      </c>
      <c r="CH11" s="9">
        <f t="shared" si="22"/>
        <v>0</v>
      </c>
      <c r="CI11" s="84">
        <f t="shared" si="23"/>
        <v>2.6</v>
      </c>
      <c r="CJ11" s="226" t="s">
        <v>193</v>
      </c>
      <c r="CK11" s="227">
        <f>VLOOKUP(CJ11,DATA!$B$13:$C$19,2,0)</f>
        <v>0</v>
      </c>
      <c r="CL11" s="9">
        <f>VLOOKUP($CJ$1,DATA!$B$24:$C$45,2,0)</f>
        <v>0.01</v>
      </c>
      <c r="CM11" s="9">
        <f t="shared" si="24"/>
        <v>0</v>
      </c>
      <c r="CN11" s="84">
        <f t="shared" si="25"/>
        <v>0.2</v>
      </c>
      <c r="CO11" s="96">
        <f t="shared" si="26"/>
        <v>0</v>
      </c>
      <c r="CP11" s="9">
        <f>VLOOKUP($CO$1,DATA!$B$24:$C$45,2,0)</f>
        <v>0.54</v>
      </c>
      <c r="CQ11" s="9">
        <f t="shared" si="27"/>
        <v>0</v>
      </c>
      <c r="CR11" s="3">
        <f t="shared" si="28"/>
        <v>10.8</v>
      </c>
      <c r="CS11" s="7">
        <f t="shared" si="29"/>
        <v>0</v>
      </c>
      <c r="CT11" s="243">
        <f t="shared" si="30"/>
        <v>10.8</v>
      </c>
      <c r="CU11" s="226" t="s">
        <v>193</v>
      </c>
      <c r="CV11" s="227">
        <f>VLOOKUP(CU11,DATA!$B$13:$C$19,2,0)</f>
        <v>0</v>
      </c>
      <c r="CW11" s="9">
        <f>VLOOKUP($CU$1,DATA!$B$24:$C$45,2,0)</f>
        <v>0.02</v>
      </c>
      <c r="CX11" s="9">
        <f t="shared" si="31"/>
        <v>0</v>
      </c>
      <c r="CY11" s="3">
        <f t="shared" si="32"/>
        <v>0.4</v>
      </c>
      <c r="CZ11" s="6"/>
      <c r="DA11" s="95"/>
      <c r="DB11" s="226" t="s">
        <v>193</v>
      </c>
      <c r="DC11" s="227">
        <f>VLOOKUP(DB11,DATA!$B$13:$C$19,2,0)</f>
        <v>0</v>
      </c>
      <c r="DD11" s="9">
        <f>VLOOKUP($DB$1,DATA!$B$24:$C$45,2,0)</f>
        <v>0.01</v>
      </c>
      <c r="DE11" s="9">
        <f t="shared" si="33"/>
        <v>0</v>
      </c>
      <c r="DF11" s="3">
        <f t="shared" si="34"/>
        <v>0.2</v>
      </c>
      <c r="DG11" s="6"/>
      <c r="DH11" s="95"/>
      <c r="DI11" s="226" t="s">
        <v>193</v>
      </c>
      <c r="DJ11" s="227">
        <f>VLOOKUP(DI11,DATA!$B$13:$C$19,2,0)</f>
        <v>0</v>
      </c>
      <c r="DK11" s="9">
        <f>VLOOKUP($DI$1,DATA!$B$24:$C$45,2,0)</f>
        <v>0.03</v>
      </c>
      <c r="DL11" s="9">
        <f t="shared" si="35"/>
        <v>0</v>
      </c>
      <c r="DM11" s="84">
        <f t="shared" si="36"/>
        <v>0.6</v>
      </c>
      <c r="DN11" s="226" t="s">
        <v>193</v>
      </c>
      <c r="DO11" s="227">
        <f>VLOOKUP(DN11,DATA!$B$13:$C$19,2,0)</f>
        <v>0</v>
      </c>
      <c r="DP11" s="9">
        <f>VLOOKUP($DN$1,DATA!$B$24:$C$45,2,0)</f>
        <v>7.0000000000000007E-2</v>
      </c>
      <c r="DQ11" s="9">
        <f t="shared" si="37"/>
        <v>0</v>
      </c>
      <c r="DR11" s="3">
        <f t="shared" si="38"/>
        <v>1.4000000000000001</v>
      </c>
      <c r="DS11" s="6"/>
      <c r="DT11" s="95"/>
      <c r="DU11" s="226" t="s">
        <v>193</v>
      </c>
      <c r="DV11" s="227">
        <f>VLOOKUP(DU11,DATA!$B$13:$C$19,2,0)</f>
        <v>0</v>
      </c>
      <c r="DW11" s="9">
        <f>VLOOKUP($DU$1,DATA!$B$24:$C$45,2,0)</f>
        <v>0.04</v>
      </c>
      <c r="DX11" s="9">
        <f t="shared" si="39"/>
        <v>0</v>
      </c>
      <c r="DY11" s="3">
        <f t="shared" si="40"/>
        <v>0.8</v>
      </c>
      <c r="DZ11" s="6"/>
      <c r="EA11" s="95"/>
      <c r="EB11" s="226" t="s">
        <v>193</v>
      </c>
      <c r="EC11" s="227">
        <f>VLOOKUP(EB11,DATA!$B$13:$C$19,2,0)</f>
        <v>0</v>
      </c>
      <c r="ED11" s="9">
        <f>VLOOKUP($EB$1,DATA!$B$24:$C$45,2,0)</f>
        <v>0.05</v>
      </c>
      <c r="EE11" s="9">
        <f t="shared" si="41"/>
        <v>0</v>
      </c>
      <c r="EF11" s="3">
        <f t="shared" si="42"/>
        <v>1</v>
      </c>
      <c r="EG11" s="6"/>
      <c r="EH11" s="95"/>
      <c r="EI11" s="226" t="s">
        <v>193</v>
      </c>
      <c r="EJ11" s="227">
        <f>VLOOKUP(EI11,DATA!$B$13:$C$19,2,0)</f>
        <v>0</v>
      </c>
      <c r="EK11" s="9">
        <f>VLOOKUP($EI$1,DATA!$B$24:$C$45,2,0)</f>
        <v>0.1</v>
      </c>
      <c r="EL11" s="9">
        <f t="shared" si="43"/>
        <v>0</v>
      </c>
      <c r="EM11" s="3">
        <f t="shared" si="44"/>
        <v>2</v>
      </c>
      <c r="EN11" s="6"/>
      <c r="EO11" s="95"/>
      <c r="EP11" s="226" t="s">
        <v>193</v>
      </c>
      <c r="EQ11" s="227">
        <f>VLOOKUP(EP11,DATA!$B$13:$C$19,2,0)</f>
        <v>0</v>
      </c>
      <c r="ER11" s="9">
        <f>VLOOKUP($EP$1,DATA!$B$24:$C$45,2,0)</f>
        <v>0.03</v>
      </c>
      <c r="ES11" s="9">
        <f t="shared" si="45"/>
        <v>0</v>
      </c>
      <c r="ET11" s="84">
        <f t="shared" si="46"/>
        <v>0.6</v>
      </c>
      <c r="EU11" s="245">
        <f t="shared" si="47"/>
        <v>19</v>
      </c>
      <c r="EV11" s="85"/>
      <c r="EW11" s="134"/>
      <c r="EX11" s="6"/>
    </row>
    <row r="12" spans="1:154" x14ac:dyDescent="0.3">
      <c r="A12" s="3" t="s">
        <v>180</v>
      </c>
      <c r="B12" s="3" t="s">
        <v>189</v>
      </c>
      <c r="C12" s="3" t="s">
        <v>182</v>
      </c>
      <c r="D12" s="85" t="s">
        <v>217</v>
      </c>
      <c r="E12" s="85" t="s">
        <v>218</v>
      </c>
      <c r="F12" s="3">
        <v>3272</v>
      </c>
      <c r="G12" s="3" t="s">
        <v>219</v>
      </c>
      <c r="H12" s="3">
        <v>26</v>
      </c>
      <c r="I12" s="3"/>
      <c r="J12" s="229">
        <f>BaseDeDatos[[#This Row],[Budget CS]]+BaseDeDatos[[#This Row],[Change Orders Budget]]</f>
        <v>26</v>
      </c>
      <c r="K12" s="92">
        <f>IFERROR(VLOOKUP(G12, DATA!H:I, 2, FALSE), 0)+BaseDeDatos[[#This Row],[Labor Spend on Design errors]]+BaseDeDatos[[#This Row],[Labor
Spent Customer changes]]</f>
        <v>48</v>
      </c>
      <c r="L12" s="92"/>
      <c r="M12" s="92"/>
      <c r="N12" s="232">
        <f t="shared" si="0"/>
        <v>0.96000000000000008</v>
      </c>
      <c r="O12" s="238">
        <f t="shared" si="1"/>
        <v>48</v>
      </c>
      <c r="P12" s="39">
        <v>31.45</v>
      </c>
      <c r="Q12" s="89">
        <f>BaseDeDatos[[#This Row],[Budget]]*BaseDeDatos[[#This Row],[Labor Rate from CS]]</f>
        <v>817.69999999999993</v>
      </c>
      <c r="R12" s="94">
        <f>BaseDeDatos[[#This Row],[Labor
Spent]]*BaseDeDatos[[#This Row],[Labor Rate from CS]]</f>
        <v>1509.6</v>
      </c>
      <c r="S12" s="42">
        <f t="shared" si="2"/>
        <v>1.8461538461538463</v>
      </c>
      <c r="T12" s="98">
        <v>431200</v>
      </c>
      <c r="U12" s="98">
        <v>37083.33</v>
      </c>
      <c r="V12" s="39">
        <v>29631.85</v>
      </c>
      <c r="W12" s="98">
        <v>114791.78</v>
      </c>
      <c r="X12" s="98">
        <v>114791.78</v>
      </c>
      <c r="Y12" s="98"/>
      <c r="Z12" s="98"/>
      <c r="AA12" s="39">
        <v>345620.81</v>
      </c>
      <c r="AB12" s="89">
        <f t="shared" si="3"/>
        <v>230011.33</v>
      </c>
      <c r="AC12" s="120">
        <f>SUM(AB12,X12,R12,BaseDeDatos[[#This Row],[Additionals cost]])</f>
        <v>375944.55999999994</v>
      </c>
      <c r="AD12" s="117">
        <v>0.19850000000000001</v>
      </c>
      <c r="AE12" s="117">
        <v>0.19850000000000001</v>
      </c>
      <c r="AF12" s="240">
        <f t="shared" si="4"/>
        <v>0.19686291743970324</v>
      </c>
      <c r="AG12" s="226"/>
      <c r="AH12" s="226" t="s">
        <v>185</v>
      </c>
      <c r="AI12" s="227">
        <f>VLOOKUP(AH12,DATA!$B$13:$C$19,2,0)</f>
        <v>100</v>
      </c>
      <c r="AJ12" s="4">
        <f>VLOOKUP($AH$1,DATA!$B$24:$C$45,2,0)</f>
        <v>0.05</v>
      </c>
      <c r="AK12" s="3">
        <f>BaseDeDatos[[#This Row],[Read info
Status]]*(AJ12)/100</f>
        <v>0.05</v>
      </c>
      <c r="AL12" s="84">
        <f t="shared" si="5"/>
        <v>1.3</v>
      </c>
      <c r="AM12" s="226" t="s">
        <v>185</v>
      </c>
      <c r="AN12" s="227">
        <f>VLOOKUP(AM12,DATA!$B$13:$C$19,2,0)</f>
        <v>100</v>
      </c>
      <c r="AO12" s="9">
        <f>VLOOKUP($AM$1,DATA!$B$24:$C$45,2,0)</f>
        <v>0.05</v>
      </c>
      <c r="AP12" s="9">
        <f t="shared" si="6"/>
        <v>0.05</v>
      </c>
      <c r="AQ12" s="3">
        <f t="shared" si="7"/>
        <v>1.3</v>
      </c>
      <c r="AR12" s="6"/>
      <c r="AS12" s="95"/>
      <c r="AT12" s="226" t="s">
        <v>185</v>
      </c>
      <c r="AU12" s="227">
        <f>VLOOKUP(AT12,DATA!$B$13:$C$19,2,0)</f>
        <v>100</v>
      </c>
      <c r="AV12" s="9">
        <f>VLOOKUP($AT$1,DATA!$B$24:$C$45,2,0)</f>
        <v>0.01</v>
      </c>
      <c r="AW12" s="9">
        <f t="shared" si="8"/>
        <v>0.01</v>
      </c>
      <c r="AX12" s="3">
        <f t="shared" si="9"/>
        <v>0.26</v>
      </c>
      <c r="AY12" s="6"/>
      <c r="AZ12" s="95"/>
      <c r="BA12" s="226" t="s">
        <v>185</v>
      </c>
      <c r="BB12" s="227">
        <f>VLOOKUP(BA12,DATA!$B$13:$C$19,2,0)</f>
        <v>100</v>
      </c>
      <c r="BC12" s="9">
        <f>VLOOKUP($BA$1,DATA!$B$24:$C$45,2,0)</f>
        <v>0.01</v>
      </c>
      <c r="BD12" s="9">
        <f t="shared" si="10"/>
        <v>0.01</v>
      </c>
      <c r="BE12" s="84">
        <f t="shared" si="11"/>
        <v>0.26</v>
      </c>
      <c r="BF12" s="226" t="s">
        <v>185</v>
      </c>
      <c r="BG12" s="227">
        <f>VLOOKUP(BF12,DATA!$B$13:$C$19,2,0)</f>
        <v>100</v>
      </c>
      <c r="BH12" s="9">
        <f>VLOOKUP($BF$1,DATA!$B$24:$C$45,2,0)</f>
        <v>0.08</v>
      </c>
      <c r="BI12" s="9">
        <f t="shared" si="12"/>
        <v>0.08</v>
      </c>
      <c r="BJ12" s="84">
        <f t="shared" si="13"/>
        <v>2.08</v>
      </c>
      <c r="BK12" s="226" t="s">
        <v>185</v>
      </c>
      <c r="BL12" s="227">
        <f>VLOOKUP(BK12,DATA!$B$13:$C$19,2,0)</f>
        <v>100</v>
      </c>
      <c r="BM12" s="9">
        <f>VLOOKUP($BK$1,DATA!$B$24:$C$45,2,0)</f>
        <v>0.18</v>
      </c>
      <c r="BN12" s="9">
        <f t="shared" si="14"/>
        <v>0.18</v>
      </c>
      <c r="BO12" s="84">
        <f t="shared" si="15"/>
        <v>4.68</v>
      </c>
      <c r="BP12" s="226" t="s">
        <v>185</v>
      </c>
      <c r="BQ12" s="227">
        <f>VLOOKUP(BP12,DATA!$B$13:$C$19,2,0)</f>
        <v>100</v>
      </c>
      <c r="BR12" s="9">
        <f>VLOOKUP($BP$1,DATA!$B$24:$C$45,2,0)</f>
        <v>0.28000000000000003</v>
      </c>
      <c r="BS12" s="9">
        <f t="shared" si="16"/>
        <v>0.28000000000000003</v>
      </c>
      <c r="BT12" s="84">
        <f t="shared" si="17"/>
        <v>7.2800000000000011</v>
      </c>
      <c r="BU12" s="226" t="s">
        <v>185</v>
      </c>
      <c r="BV12" s="227">
        <f>VLOOKUP(BU12,DATA!$B$13:$C$19,2,0)</f>
        <v>100</v>
      </c>
      <c r="BW12" s="9">
        <f>VLOOKUP($BU$1,DATA!$B$24:$C$45,2,0)</f>
        <v>0.15</v>
      </c>
      <c r="BX12" s="9">
        <f t="shared" si="18"/>
        <v>0.15</v>
      </c>
      <c r="BY12" s="84">
        <f t="shared" si="19"/>
        <v>3.9</v>
      </c>
      <c r="BZ12" s="226" t="s">
        <v>185</v>
      </c>
      <c r="CA12" s="227">
        <f>VLOOKUP(BZ12,DATA!$B$13:$C$19,2,0)</f>
        <v>100</v>
      </c>
      <c r="CB12" s="9">
        <f>VLOOKUP($BZ$1,DATA!$B$24:$C$45,2,0)</f>
        <v>0.16</v>
      </c>
      <c r="CC12" s="9">
        <f t="shared" si="20"/>
        <v>0.16</v>
      </c>
      <c r="CD12" s="84">
        <f t="shared" si="21"/>
        <v>4.16</v>
      </c>
      <c r="CE12" s="226" t="s">
        <v>185</v>
      </c>
      <c r="CF12" s="227">
        <f>VLOOKUP(CE12,DATA!$B$13:$C$19,2,0)</f>
        <v>100</v>
      </c>
      <c r="CG12" s="9">
        <f>VLOOKUP($CE$1,DATA!$B$24:$C$45,2,0)</f>
        <v>0.13</v>
      </c>
      <c r="CH12" s="9">
        <f t="shared" si="22"/>
        <v>0.13</v>
      </c>
      <c r="CI12" s="84">
        <f t="shared" si="23"/>
        <v>3.38</v>
      </c>
      <c r="CJ12" s="226" t="s">
        <v>185</v>
      </c>
      <c r="CK12" s="227">
        <f>VLOOKUP(CJ12,DATA!$B$13:$C$19,2,0)</f>
        <v>100</v>
      </c>
      <c r="CL12" s="9">
        <f>VLOOKUP($CJ$1,DATA!$B$24:$C$45,2,0)</f>
        <v>0.01</v>
      </c>
      <c r="CM12" s="9">
        <f t="shared" si="24"/>
        <v>0.01</v>
      </c>
      <c r="CN12" s="84">
        <f t="shared" si="25"/>
        <v>0.26</v>
      </c>
      <c r="CO12" s="96">
        <f t="shared" si="26"/>
        <v>1</v>
      </c>
      <c r="CP12" s="9">
        <f>VLOOKUP($CO$1,DATA!$B$24:$C$45,2,0)</f>
        <v>0.54</v>
      </c>
      <c r="CQ12" s="9">
        <f t="shared" si="27"/>
        <v>0.54</v>
      </c>
      <c r="CR12" s="3">
        <f t="shared" si="28"/>
        <v>14.040000000000001</v>
      </c>
      <c r="CS12" s="130">
        <f t="shared" si="29"/>
        <v>14.040000000000001</v>
      </c>
      <c r="CT12" s="242">
        <f t="shared" si="30"/>
        <v>0</v>
      </c>
      <c r="CU12" s="226" t="s">
        <v>185</v>
      </c>
      <c r="CV12" s="227">
        <f>VLOOKUP(CU12,DATA!$B$13:$C$19,2,0)</f>
        <v>100</v>
      </c>
      <c r="CW12" s="9">
        <f>VLOOKUP($CU$1,DATA!$B$24:$C$45,2,0)</f>
        <v>0.02</v>
      </c>
      <c r="CX12" s="9">
        <f t="shared" si="31"/>
        <v>0.02</v>
      </c>
      <c r="CY12" s="3">
        <f t="shared" si="32"/>
        <v>0.52</v>
      </c>
      <c r="CZ12" s="6"/>
      <c r="DA12" s="95"/>
      <c r="DB12" s="226" t="s">
        <v>185</v>
      </c>
      <c r="DC12" s="227">
        <f>VLOOKUP(DB12,DATA!$B$13:$C$19,2,0)</f>
        <v>100</v>
      </c>
      <c r="DD12" s="9">
        <f>VLOOKUP($DB$1,DATA!$B$24:$C$45,2,0)</f>
        <v>0.01</v>
      </c>
      <c r="DE12" s="9">
        <f t="shared" si="33"/>
        <v>0.01</v>
      </c>
      <c r="DF12" s="3">
        <f t="shared" si="34"/>
        <v>0.26</v>
      </c>
      <c r="DG12" s="6"/>
      <c r="DH12" s="95"/>
      <c r="DI12" s="226" t="s">
        <v>185</v>
      </c>
      <c r="DJ12" s="227">
        <f>VLOOKUP(DI12,DATA!$B$13:$C$19,2,0)</f>
        <v>100</v>
      </c>
      <c r="DK12" s="9">
        <f>VLOOKUP($DI$1,DATA!$B$24:$C$45,2,0)</f>
        <v>0.03</v>
      </c>
      <c r="DL12" s="9">
        <f t="shared" si="35"/>
        <v>0.03</v>
      </c>
      <c r="DM12" s="84">
        <f t="shared" si="36"/>
        <v>0.78</v>
      </c>
      <c r="DN12" s="226" t="s">
        <v>185</v>
      </c>
      <c r="DO12" s="227">
        <f>VLOOKUP(DN12,DATA!$B$13:$C$19,2,0)</f>
        <v>100</v>
      </c>
      <c r="DP12" s="9">
        <f>VLOOKUP($DN$1,DATA!$B$24:$C$45,2,0)</f>
        <v>7.0000000000000007E-2</v>
      </c>
      <c r="DQ12" s="9">
        <f t="shared" si="37"/>
        <v>7.0000000000000007E-2</v>
      </c>
      <c r="DR12" s="3">
        <f t="shared" si="38"/>
        <v>1.8200000000000003</v>
      </c>
      <c r="DS12" s="6"/>
      <c r="DT12" s="95"/>
      <c r="DU12" s="226" t="s">
        <v>185</v>
      </c>
      <c r="DV12" s="227">
        <f>VLOOKUP(DU12,DATA!$B$13:$C$19,2,0)</f>
        <v>100</v>
      </c>
      <c r="DW12" s="9">
        <f>VLOOKUP($DU$1,DATA!$B$24:$C$45,2,0)</f>
        <v>0.04</v>
      </c>
      <c r="DX12" s="9">
        <f t="shared" si="39"/>
        <v>0.04</v>
      </c>
      <c r="DY12" s="3">
        <f t="shared" si="40"/>
        <v>1.04</v>
      </c>
      <c r="DZ12" s="6"/>
      <c r="EA12" s="95"/>
      <c r="EB12" s="226" t="s">
        <v>220</v>
      </c>
      <c r="EC12" s="227">
        <f>VLOOKUP(EB12,DATA!$B$13:$C$19,2,0)</f>
        <v>50</v>
      </c>
      <c r="ED12" s="9">
        <f>VLOOKUP($EB$1,DATA!$B$24:$C$45,2,0)</f>
        <v>0.05</v>
      </c>
      <c r="EE12" s="9">
        <f t="shared" si="41"/>
        <v>2.5000000000000001E-2</v>
      </c>
      <c r="EF12" s="3">
        <f t="shared" si="42"/>
        <v>1.3</v>
      </c>
      <c r="EG12" s="6"/>
      <c r="EH12" s="95"/>
      <c r="EI12" s="226" t="s">
        <v>185</v>
      </c>
      <c r="EJ12" s="227">
        <f>VLOOKUP(EI12,DATA!$B$13:$C$19,2,0)</f>
        <v>100</v>
      </c>
      <c r="EK12" s="9">
        <f>VLOOKUP($EI$1,DATA!$B$24:$C$45,2,0)</f>
        <v>0.1</v>
      </c>
      <c r="EL12" s="9">
        <f t="shared" si="43"/>
        <v>0.1</v>
      </c>
      <c r="EM12" s="3">
        <f t="shared" si="44"/>
        <v>2.6</v>
      </c>
      <c r="EN12" s="6"/>
      <c r="EO12" s="95"/>
      <c r="EP12" s="226" t="s">
        <v>220</v>
      </c>
      <c r="EQ12" s="227">
        <f>VLOOKUP(EP12,DATA!$B$13:$C$19,2,0)</f>
        <v>50</v>
      </c>
      <c r="ER12" s="9">
        <f>VLOOKUP($EP$1,DATA!$B$24:$C$45,2,0)</f>
        <v>0.03</v>
      </c>
      <c r="ES12" s="9">
        <f t="shared" si="45"/>
        <v>1.4999999999999999E-2</v>
      </c>
      <c r="ET12" s="84">
        <f t="shared" si="46"/>
        <v>0.78</v>
      </c>
      <c r="EU12" s="244">
        <f t="shared" si="47"/>
        <v>2.08</v>
      </c>
      <c r="EV12" s="85" t="s">
        <v>187</v>
      </c>
      <c r="EW12" s="134" t="s">
        <v>187</v>
      </c>
      <c r="EX12" s="6"/>
    </row>
    <row r="13" spans="1:154" x14ac:dyDescent="0.3">
      <c r="A13" s="3" t="s">
        <v>180</v>
      </c>
      <c r="B13" s="3" t="s">
        <v>189</v>
      </c>
      <c r="C13" s="3" t="s">
        <v>182</v>
      </c>
      <c r="D13" s="85" t="s">
        <v>221</v>
      </c>
      <c r="E13" s="85" t="s">
        <v>218</v>
      </c>
      <c r="F13" s="3">
        <v>3272</v>
      </c>
      <c r="G13" s="3" t="s">
        <v>222</v>
      </c>
      <c r="H13" s="3">
        <v>25</v>
      </c>
      <c r="I13" s="3"/>
      <c r="J13" s="229">
        <f>BaseDeDatos[[#This Row],[Budget CS]]+BaseDeDatos[[#This Row],[Change Orders Budget]]</f>
        <v>25</v>
      </c>
      <c r="K13" s="92">
        <f>IFERROR(VLOOKUP(G13, DATA!H:I, 2, FALSE), 0)+BaseDeDatos[[#This Row],[Labor Spend on Design errors]]+BaseDeDatos[[#This Row],[Labor
Spent Customer changes]]</f>
        <v>43.5</v>
      </c>
      <c r="L13" s="92"/>
      <c r="M13" s="92"/>
      <c r="N13" s="232">
        <f t="shared" si="0"/>
        <v>0.96000000000000008</v>
      </c>
      <c r="O13" s="238">
        <f t="shared" si="1"/>
        <v>43.5</v>
      </c>
      <c r="P13" s="39">
        <v>31.45</v>
      </c>
      <c r="Q13" s="89">
        <f>BaseDeDatos[[#This Row],[Budget]]*BaseDeDatos[[#This Row],[Labor Rate from CS]]</f>
        <v>786.25</v>
      </c>
      <c r="R13" s="94">
        <f>BaseDeDatos[[#This Row],[Labor
Spent]]*BaseDeDatos[[#This Row],[Labor Rate from CS]]</f>
        <v>1368.075</v>
      </c>
      <c r="S13" s="42">
        <f t="shared" si="2"/>
        <v>1.74</v>
      </c>
      <c r="T13" s="98">
        <v>431200</v>
      </c>
      <c r="U13" s="98">
        <v>37083.33</v>
      </c>
      <c r="V13" s="39">
        <v>29631.85</v>
      </c>
      <c r="W13" s="98">
        <v>114791.78</v>
      </c>
      <c r="X13" s="98">
        <v>114791.78</v>
      </c>
      <c r="Y13" s="98"/>
      <c r="Z13" s="98"/>
      <c r="AA13" s="39">
        <v>345620.81</v>
      </c>
      <c r="AB13" s="89">
        <f t="shared" si="3"/>
        <v>230042.78</v>
      </c>
      <c r="AC13" s="120">
        <f>SUM(AB13,X13,R13,BaseDeDatos[[#This Row],[Additionals cost]])</f>
        <v>375834.48499999999</v>
      </c>
      <c r="AD13" s="117">
        <v>0.19850000000000001</v>
      </c>
      <c r="AE13" s="117">
        <v>0.19850000000000001</v>
      </c>
      <c r="AF13" s="240">
        <f t="shared" si="4"/>
        <v>0.1971181934137291</v>
      </c>
      <c r="AG13" s="226"/>
      <c r="AH13" s="226" t="s">
        <v>185</v>
      </c>
      <c r="AI13" s="227">
        <f>VLOOKUP(AH13,DATA!$B$13:$C$19,2,0)</f>
        <v>100</v>
      </c>
      <c r="AJ13" s="4">
        <f>VLOOKUP($AH$1,DATA!$B$24:$C$45,2,0)</f>
        <v>0.05</v>
      </c>
      <c r="AK13" s="3">
        <f>BaseDeDatos[[#This Row],[Read info
Status]]*(AJ13)/100</f>
        <v>0.05</v>
      </c>
      <c r="AL13" s="84">
        <f t="shared" si="5"/>
        <v>1.25</v>
      </c>
      <c r="AM13" s="226" t="s">
        <v>185</v>
      </c>
      <c r="AN13" s="227">
        <f>VLOOKUP(AM13,DATA!$B$13:$C$19,2,0)</f>
        <v>100</v>
      </c>
      <c r="AO13" s="9">
        <f>VLOOKUP($AM$1,DATA!$B$24:$C$45,2,0)</f>
        <v>0.05</v>
      </c>
      <c r="AP13" s="9">
        <f t="shared" si="6"/>
        <v>0.05</v>
      </c>
      <c r="AQ13" s="3">
        <f t="shared" si="7"/>
        <v>1.25</v>
      </c>
      <c r="AR13" s="6"/>
      <c r="AS13" s="95"/>
      <c r="AT13" s="226" t="s">
        <v>185</v>
      </c>
      <c r="AU13" s="227">
        <f>VLOOKUP(AT13,DATA!$B$13:$C$19,2,0)</f>
        <v>100</v>
      </c>
      <c r="AV13" s="9">
        <f>VLOOKUP($AT$1,DATA!$B$24:$C$45,2,0)</f>
        <v>0.01</v>
      </c>
      <c r="AW13" s="9">
        <f t="shared" si="8"/>
        <v>0.01</v>
      </c>
      <c r="AX13" s="3">
        <f t="shared" si="9"/>
        <v>0.25</v>
      </c>
      <c r="AY13" s="6"/>
      <c r="AZ13" s="95"/>
      <c r="BA13" s="226" t="s">
        <v>185</v>
      </c>
      <c r="BB13" s="227">
        <f>VLOOKUP(BA13,DATA!$B$13:$C$19,2,0)</f>
        <v>100</v>
      </c>
      <c r="BC13" s="9">
        <f>VLOOKUP($BA$1,DATA!$B$24:$C$45,2,0)</f>
        <v>0.01</v>
      </c>
      <c r="BD13" s="9">
        <f t="shared" si="10"/>
        <v>0.01</v>
      </c>
      <c r="BE13" s="84">
        <f t="shared" si="11"/>
        <v>0.25</v>
      </c>
      <c r="BF13" s="226" t="s">
        <v>185</v>
      </c>
      <c r="BG13" s="227">
        <f>VLOOKUP(BF13,DATA!$B$13:$C$19,2,0)</f>
        <v>100</v>
      </c>
      <c r="BH13" s="9">
        <f>VLOOKUP($BF$1,DATA!$B$24:$C$45,2,0)</f>
        <v>0.08</v>
      </c>
      <c r="BI13" s="9">
        <f t="shared" si="12"/>
        <v>0.08</v>
      </c>
      <c r="BJ13" s="84">
        <f t="shared" si="13"/>
        <v>2</v>
      </c>
      <c r="BK13" s="226" t="s">
        <v>185</v>
      </c>
      <c r="BL13" s="227">
        <f>VLOOKUP(BK13,DATA!$B$13:$C$19,2,0)</f>
        <v>100</v>
      </c>
      <c r="BM13" s="9">
        <f>VLOOKUP($BK$1,DATA!$B$24:$C$45,2,0)</f>
        <v>0.18</v>
      </c>
      <c r="BN13" s="9">
        <f t="shared" si="14"/>
        <v>0.18</v>
      </c>
      <c r="BO13" s="84">
        <f t="shared" si="15"/>
        <v>4.5</v>
      </c>
      <c r="BP13" s="226" t="s">
        <v>185</v>
      </c>
      <c r="BQ13" s="227">
        <f>VLOOKUP(BP13,DATA!$B$13:$C$19,2,0)</f>
        <v>100</v>
      </c>
      <c r="BR13" s="9">
        <f>VLOOKUP($BP$1,DATA!$B$24:$C$45,2,0)</f>
        <v>0.28000000000000003</v>
      </c>
      <c r="BS13" s="9">
        <f t="shared" si="16"/>
        <v>0.28000000000000003</v>
      </c>
      <c r="BT13" s="84">
        <f t="shared" si="17"/>
        <v>7.0000000000000009</v>
      </c>
      <c r="BU13" s="226" t="s">
        <v>185</v>
      </c>
      <c r="BV13" s="227">
        <f>VLOOKUP(BU13,DATA!$B$13:$C$19,2,0)</f>
        <v>100</v>
      </c>
      <c r="BW13" s="9">
        <f>VLOOKUP($BU$1,DATA!$B$24:$C$45,2,0)</f>
        <v>0.15</v>
      </c>
      <c r="BX13" s="9">
        <f t="shared" si="18"/>
        <v>0.15</v>
      </c>
      <c r="BY13" s="84">
        <f t="shared" si="19"/>
        <v>3.75</v>
      </c>
      <c r="BZ13" s="226" t="s">
        <v>185</v>
      </c>
      <c r="CA13" s="227">
        <f>VLOOKUP(BZ13,DATA!$B$13:$C$19,2,0)</f>
        <v>100</v>
      </c>
      <c r="CB13" s="9">
        <f>VLOOKUP($BZ$1,DATA!$B$24:$C$45,2,0)</f>
        <v>0.16</v>
      </c>
      <c r="CC13" s="9">
        <f t="shared" si="20"/>
        <v>0.16</v>
      </c>
      <c r="CD13" s="84">
        <f t="shared" si="21"/>
        <v>4</v>
      </c>
      <c r="CE13" s="226" t="s">
        <v>185</v>
      </c>
      <c r="CF13" s="227">
        <f>VLOOKUP(CE13,DATA!$B$13:$C$19,2,0)</f>
        <v>100</v>
      </c>
      <c r="CG13" s="9">
        <f>VLOOKUP($CE$1,DATA!$B$24:$C$45,2,0)</f>
        <v>0.13</v>
      </c>
      <c r="CH13" s="9">
        <f t="shared" si="22"/>
        <v>0.13</v>
      </c>
      <c r="CI13" s="84">
        <f t="shared" si="23"/>
        <v>3.25</v>
      </c>
      <c r="CJ13" s="226" t="s">
        <v>185</v>
      </c>
      <c r="CK13" s="227">
        <f>VLOOKUP(CJ13,DATA!$B$13:$C$19,2,0)</f>
        <v>100</v>
      </c>
      <c r="CL13" s="9">
        <f>VLOOKUP($CJ$1,DATA!$B$24:$C$45,2,0)</f>
        <v>0.01</v>
      </c>
      <c r="CM13" s="9">
        <f t="shared" si="24"/>
        <v>0.01</v>
      </c>
      <c r="CN13" s="84">
        <f t="shared" si="25"/>
        <v>0.25</v>
      </c>
      <c r="CO13" s="96">
        <f t="shared" si="26"/>
        <v>1</v>
      </c>
      <c r="CP13" s="9">
        <f>VLOOKUP($CO$1,DATA!$B$24:$C$45,2,0)</f>
        <v>0.54</v>
      </c>
      <c r="CQ13" s="9">
        <f t="shared" si="27"/>
        <v>0.54</v>
      </c>
      <c r="CR13" s="3">
        <f t="shared" si="28"/>
        <v>13.5</v>
      </c>
      <c r="CS13" s="130">
        <f t="shared" si="29"/>
        <v>13.5</v>
      </c>
      <c r="CT13" s="242">
        <f t="shared" si="30"/>
        <v>0</v>
      </c>
      <c r="CU13" s="226" t="s">
        <v>185</v>
      </c>
      <c r="CV13" s="227">
        <f>VLOOKUP(CU13,DATA!$B$13:$C$19,2,0)</f>
        <v>100</v>
      </c>
      <c r="CW13" s="9">
        <f>VLOOKUP($CU$1,DATA!$B$24:$C$45,2,0)</f>
        <v>0.02</v>
      </c>
      <c r="CX13" s="9">
        <f t="shared" si="31"/>
        <v>0.02</v>
      </c>
      <c r="CY13" s="3">
        <f t="shared" si="32"/>
        <v>0.5</v>
      </c>
      <c r="CZ13" s="6"/>
      <c r="DA13" s="95"/>
      <c r="DB13" s="226" t="s">
        <v>185</v>
      </c>
      <c r="DC13" s="227">
        <f>VLOOKUP(DB13,DATA!$B$13:$C$19,2,0)</f>
        <v>100</v>
      </c>
      <c r="DD13" s="9">
        <f>VLOOKUP($DB$1,DATA!$B$24:$C$45,2,0)</f>
        <v>0.01</v>
      </c>
      <c r="DE13" s="9">
        <f t="shared" si="33"/>
        <v>0.01</v>
      </c>
      <c r="DF13" s="3">
        <f t="shared" si="34"/>
        <v>0.25</v>
      </c>
      <c r="DG13" s="6"/>
      <c r="DH13" s="95"/>
      <c r="DI13" s="226" t="s">
        <v>185</v>
      </c>
      <c r="DJ13" s="227">
        <f>VLOOKUP(DI13,DATA!$B$13:$C$19,2,0)</f>
        <v>100</v>
      </c>
      <c r="DK13" s="9">
        <f>VLOOKUP($DI$1,DATA!$B$24:$C$45,2,0)</f>
        <v>0.03</v>
      </c>
      <c r="DL13" s="9">
        <f t="shared" si="35"/>
        <v>0.03</v>
      </c>
      <c r="DM13" s="84">
        <f t="shared" si="36"/>
        <v>0.75</v>
      </c>
      <c r="DN13" s="226" t="s">
        <v>185</v>
      </c>
      <c r="DO13" s="227">
        <f>VLOOKUP(DN13,DATA!$B$13:$C$19,2,0)</f>
        <v>100</v>
      </c>
      <c r="DP13" s="9">
        <f>VLOOKUP($DN$1,DATA!$B$24:$C$45,2,0)</f>
        <v>7.0000000000000007E-2</v>
      </c>
      <c r="DQ13" s="9">
        <f t="shared" si="37"/>
        <v>7.0000000000000007E-2</v>
      </c>
      <c r="DR13" s="3">
        <f t="shared" si="38"/>
        <v>1.7500000000000002</v>
      </c>
      <c r="DS13" s="6"/>
      <c r="DT13" s="95"/>
      <c r="DU13" s="226" t="s">
        <v>185</v>
      </c>
      <c r="DV13" s="227">
        <f>VLOOKUP(DU13,DATA!$B$13:$C$19,2,0)</f>
        <v>100</v>
      </c>
      <c r="DW13" s="9">
        <f>VLOOKUP($DU$1,DATA!$B$24:$C$45,2,0)</f>
        <v>0.04</v>
      </c>
      <c r="DX13" s="9">
        <f t="shared" si="39"/>
        <v>0.04</v>
      </c>
      <c r="DY13" s="3">
        <f t="shared" si="40"/>
        <v>1</v>
      </c>
      <c r="DZ13" s="6"/>
      <c r="EA13" s="95"/>
      <c r="EB13" s="226" t="s">
        <v>220</v>
      </c>
      <c r="EC13" s="227">
        <f>VLOOKUP(EB13,DATA!$B$13:$C$19,2,0)</f>
        <v>50</v>
      </c>
      <c r="ED13" s="9">
        <f>VLOOKUP($EB$1,DATA!$B$24:$C$45,2,0)</f>
        <v>0.05</v>
      </c>
      <c r="EE13" s="9">
        <f t="shared" si="41"/>
        <v>2.5000000000000001E-2</v>
      </c>
      <c r="EF13" s="3">
        <f t="shared" si="42"/>
        <v>1.25</v>
      </c>
      <c r="EG13" s="6"/>
      <c r="EH13" s="95"/>
      <c r="EI13" s="226" t="s">
        <v>185</v>
      </c>
      <c r="EJ13" s="227">
        <f>VLOOKUP(EI13,DATA!$B$13:$C$19,2,0)</f>
        <v>100</v>
      </c>
      <c r="EK13" s="9">
        <f>VLOOKUP($EI$1,DATA!$B$24:$C$45,2,0)</f>
        <v>0.1</v>
      </c>
      <c r="EL13" s="9">
        <f t="shared" si="43"/>
        <v>0.1</v>
      </c>
      <c r="EM13" s="3">
        <f t="shared" si="44"/>
        <v>2.5</v>
      </c>
      <c r="EN13" s="6"/>
      <c r="EO13" s="95"/>
      <c r="EP13" s="226" t="s">
        <v>220</v>
      </c>
      <c r="EQ13" s="227">
        <f>VLOOKUP(EP13,DATA!$B$13:$C$19,2,0)</f>
        <v>50</v>
      </c>
      <c r="ER13" s="9">
        <f>VLOOKUP($EP$1,DATA!$B$24:$C$45,2,0)</f>
        <v>0.03</v>
      </c>
      <c r="ES13" s="9">
        <f t="shared" si="45"/>
        <v>1.4999999999999999E-2</v>
      </c>
      <c r="ET13" s="84">
        <f t="shared" si="46"/>
        <v>0.75</v>
      </c>
      <c r="EU13" s="244">
        <f t="shared" si="47"/>
        <v>2</v>
      </c>
      <c r="EV13" s="85" t="s">
        <v>187</v>
      </c>
      <c r="EW13" s="134" t="s">
        <v>187</v>
      </c>
      <c r="EX13" s="6"/>
    </row>
    <row r="14" spans="1:154" x14ac:dyDescent="0.3">
      <c r="A14" s="3" t="s">
        <v>180</v>
      </c>
      <c r="B14" s="3" t="s">
        <v>189</v>
      </c>
      <c r="C14" s="3" t="s">
        <v>182</v>
      </c>
      <c r="D14" s="85" t="s">
        <v>223</v>
      </c>
      <c r="E14" s="85" t="s">
        <v>218</v>
      </c>
      <c r="F14" s="3">
        <v>3272</v>
      </c>
      <c r="G14" s="3" t="s">
        <v>224</v>
      </c>
      <c r="H14" s="3">
        <v>30</v>
      </c>
      <c r="I14" s="3"/>
      <c r="J14" s="229">
        <f>BaseDeDatos[[#This Row],[Budget CS]]+BaseDeDatos[[#This Row],[Change Orders Budget]]</f>
        <v>30</v>
      </c>
      <c r="K14" s="92">
        <f>IFERROR(VLOOKUP(G14, DATA!H:I, 2, FALSE), 0)+BaseDeDatos[[#This Row],[Labor Spend on Design errors]]+BaseDeDatos[[#This Row],[Labor
Spent Customer changes]]</f>
        <v>75</v>
      </c>
      <c r="L14" s="92"/>
      <c r="M14" s="92"/>
      <c r="N14" s="232">
        <f t="shared" si="0"/>
        <v>0.96000000000000008</v>
      </c>
      <c r="O14" s="238">
        <f t="shared" si="1"/>
        <v>75</v>
      </c>
      <c r="P14" s="39">
        <v>31.45</v>
      </c>
      <c r="Q14" s="89">
        <f>BaseDeDatos[[#This Row],[Budget]]*BaseDeDatos[[#This Row],[Labor Rate from CS]]</f>
        <v>943.5</v>
      </c>
      <c r="R14" s="94">
        <f>BaseDeDatos[[#This Row],[Labor
Spent]]*BaseDeDatos[[#This Row],[Labor Rate from CS]]</f>
        <v>2358.75</v>
      </c>
      <c r="S14" s="42">
        <f t="shared" si="2"/>
        <v>2.5</v>
      </c>
      <c r="T14" s="98">
        <v>644314</v>
      </c>
      <c r="U14" s="98">
        <v>37083.33</v>
      </c>
      <c r="V14" s="39">
        <v>29631.85</v>
      </c>
      <c r="W14" s="98">
        <v>105847.59</v>
      </c>
      <c r="X14" s="98">
        <v>105847.59</v>
      </c>
      <c r="Y14" s="98"/>
      <c r="Z14" s="98"/>
      <c r="AA14" s="39">
        <v>516436.87</v>
      </c>
      <c r="AB14" s="89">
        <f t="shared" si="3"/>
        <v>409645.78</v>
      </c>
      <c r="AC14" s="120">
        <f>SUM(AB14,X14,R14,BaseDeDatos[[#This Row],[Additionals cost]])</f>
        <v>547483.97</v>
      </c>
      <c r="AD14" s="117">
        <v>0.19850000000000001</v>
      </c>
      <c r="AE14" s="117">
        <v>0.19850000000000001</v>
      </c>
      <c r="AF14" s="240">
        <f t="shared" si="4"/>
        <v>0.19627368022423849</v>
      </c>
      <c r="AG14" s="226"/>
      <c r="AH14" s="226" t="s">
        <v>185</v>
      </c>
      <c r="AI14" s="227">
        <f>VLOOKUP(AH14,DATA!$B$13:$C$19,2,0)</f>
        <v>100</v>
      </c>
      <c r="AJ14" s="4">
        <f>VLOOKUP($AH$1,DATA!$B$24:$C$45,2,0)</f>
        <v>0.05</v>
      </c>
      <c r="AK14" s="3">
        <f>BaseDeDatos[[#This Row],[Read info
Status]]*(AJ14)/100</f>
        <v>0.05</v>
      </c>
      <c r="AL14" s="84">
        <f t="shared" si="5"/>
        <v>1.5</v>
      </c>
      <c r="AM14" s="226" t="s">
        <v>185</v>
      </c>
      <c r="AN14" s="227">
        <f>VLOOKUP(AM14,DATA!$B$13:$C$19,2,0)</f>
        <v>100</v>
      </c>
      <c r="AO14" s="9">
        <f>VLOOKUP($AM$1,DATA!$B$24:$C$45,2,0)</f>
        <v>0.05</v>
      </c>
      <c r="AP14" s="9">
        <f t="shared" si="6"/>
        <v>0.05</v>
      </c>
      <c r="AQ14" s="3">
        <f t="shared" si="7"/>
        <v>1.5</v>
      </c>
      <c r="AR14" s="6"/>
      <c r="AS14" s="95"/>
      <c r="AT14" s="226" t="s">
        <v>185</v>
      </c>
      <c r="AU14" s="227">
        <f>VLOOKUP(AT14,DATA!$B$13:$C$19,2,0)</f>
        <v>100</v>
      </c>
      <c r="AV14" s="9">
        <f>VLOOKUP($AT$1,DATA!$B$24:$C$45,2,0)</f>
        <v>0.01</v>
      </c>
      <c r="AW14" s="9">
        <f t="shared" si="8"/>
        <v>0.01</v>
      </c>
      <c r="AX14" s="3">
        <f t="shared" si="9"/>
        <v>0.3</v>
      </c>
      <c r="AY14" s="6"/>
      <c r="AZ14" s="95"/>
      <c r="BA14" s="226" t="s">
        <v>185</v>
      </c>
      <c r="BB14" s="227">
        <f>VLOOKUP(BA14,DATA!$B$13:$C$19,2,0)</f>
        <v>100</v>
      </c>
      <c r="BC14" s="9">
        <f>VLOOKUP($BA$1,DATA!$B$24:$C$45,2,0)</f>
        <v>0.01</v>
      </c>
      <c r="BD14" s="9">
        <f t="shared" si="10"/>
        <v>0.01</v>
      </c>
      <c r="BE14" s="84">
        <f t="shared" si="11"/>
        <v>0.3</v>
      </c>
      <c r="BF14" s="226" t="s">
        <v>185</v>
      </c>
      <c r="BG14" s="227">
        <f>VLOOKUP(BF14,DATA!$B$13:$C$19,2,0)</f>
        <v>100</v>
      </c>
      <c r="BH14" s="9">
        <f>VLOOKUP($BF$1,DATA!$B$24:$C$45,2,0)</f>
        <v>0.08</v>
      </c>
      <c r="BI14" s="9">
        <f t="shared" si="12"/>
        <v>0.08</v>
      </c>
      <c r="BJ14" s="84">
        <f t="shared" si="13"/>
        <v>2.4</v>
      </c>
      <c r="BK14" s="226" t="s">
        <v>185</v>
      </c>
      <c r="BL14" s="227">
        <f>VLOOKUP(BK14,DATA!$B$13:$C$19,2,0)</f>
        <v>100</v>
      </c>
      <c r="BM14" s="9">
        <f>VLOOKUP($BK$1,DATA!$B$24:$C$45,2,0)</f>
        <v>0.18</v>
      </c>
      <c r="BN14" s="9">
        <f t="shared" si="14"/>
        <v>0.18</v>
      </c>
      <c r="BO14" s="84">
        <f t="shared" si="15"/>
        <v>5.3999999999999995</v>
      </c>
      <c r="BP14" s="226" t="s">
        <v>185</v>
      </c>
      <c r="BQ14" s="227">
        <f>VLOOKUP(BP14,DATA!$B$13:$C$19,2,0)</f>
        <v>100</v>
      </c>
      <c r="BR14" s="9">
        <f>VLOOKUP($BP$1,DATA!$B$24:$C$45,2,0)</f>
        <v>0.28000000000000003</v>
      </c>
      <c r="BS14" s="9">
        <f t="shared" si="16"/>
        <v>0.28000000000000003</v>
      </c>
      <c r="BT14" s="84">
        <f t="shared" si="17"/>
        <v>8.4</v>
      </c>
      <c r="BU14" s="226" t="s">
        <v>185</v>
      </c>
      <c r="BV14" s="227">
        <f>VLOOKUP(BU14,DATA!$B$13:$C$19,2,0)</f>
        <v>100</v>
      </c>
      <c r="BW14" s="9">
        <f>VLOOKUP($BU$1,DATA!$B$24:$C$45,2,0)</f>
        <v>0.15</v>
      </c>
      <c r="BX14" s="9">
        <f t="shared" si="18"/>
        <v>0.15</v>
      </c>
      <c r="BY14" s="84">
        <f t="shared" si="19"/>
        <v>4.5</v>
      </c>
      <c r="BZ14" s="226" t="s">
        <v>185</v>
      </c>
      <c r="CA14" s="227">
        <f>VLOOKUP(BZ14,DATA!$B$13:$C$19,2,0)</f>
        <v>100</v>
      </c>
      <c r="CB14" s="9">
        <f>VLOOKUP($BZ$1,DATA!$B$24:$C$45,2,0)</f>
        <v>0.16</v>
      </c>
      <c r="CC14" s="9">
        <f t="shared" si="20"/>
        <v>0.16</v>
      </c>
      <c r="CD14" s="84">
        <f t="shared" si="21"/>
        <v>4.8</v>
      </c>
      <c r="CE14" s="226" t="s">
        <v>185</v>
      </c>
      <c r="CF14" s="227">
        <f>VLOOKUP(CE14,DATA!$B$13:$C$19,2,0)</f>
        <v>100</v>
      </c>
      <c r="CG14" s="9">
        <f>VLOOKUP($CE$1,DATA!$B$24:$C$45,2,0)</f>
        <v>0.13</v>
      </c>
      <c r="CH14" s="9">
        <f t="shared" si="22"/>
        <v>0.13</v>
      </c>
      <c r="CI14" s="84">
        <f t="shared" si="23"/>
        <v>3.9000000000000004</v>
      </c>
      <c r="CJ14" s="226" t="s">
        <v>185</v>
      </c>
      <c r="CK14" s="227">
        <f>VLOOKUP(CJ14,DATA!$B$13:$C$19,2,0)</f>
        <v>100</v>
      </c>
      <c r="CL14" s="9">
        <f>VLOOKUP($CJ$1,DATA!$B$24:$C$45,2,0)</f>
        <v>0.01</v>
      </c>
      <c r="CM14" s="9">
        <f t="shared" si="24"/>
        <v>0.01</v>
      </c>
      <c r="CN14" s="84">
        <f t="shared" si="25"/>
        <v>0.3</v>
      </c>
      <c r="CO14" s="96">
        <f t="shared" si="26"/>
        <v>1</v>
      </c>
      <c r="CP14" s="9">
        <f>VLOOKUP($CO$1,DATA!$B$24:$C$45,2,0)</f>
        <v>0.54</v>
      </c>
      <c r="CQ14" s="9">
        <f t="shared" si="27"/>
        <v>0.54</v>
      </c>
      <c r="CR14" s="3">
        <f t="shared" si="28"/>
        <v>16.200000000000003</v>
      </c>
      <c r="CS14" s="130">
        <f t="shared" si="29"/>
        <v>16.200000000000003</v>
      </c>
      <c r="CT14" s="242">
        <f t="shared" si="30"/>
        <v>0</v>
      </c>
      <c r="CU14" s="226" t="s">
        <v>185</v>
      </c>
      <c r="CV14" s="227">
        <f>VLOOKUP(CU14,DATA!$B$13:$C$19,2,0)</f>
        <v>100</v>
      </c>
      <c r="CW14" s="9">
        <f>VLOOKUP($CU$1,DATA!$B$24:$C$45,2,0)</f>
        <v>0.02</v>
      </c>
      <c r="CX14" s="9">
        <f t="shared" si="31"/>
        <v>0.02</v>
      </c>
      <c r="CY14" s="3">
        <f t="shared" si="32"/>
        <v>0.6</v>
      </c>
      <c r="CZ14" s="6"/>
      <c r="DA14" s="95"/>
      <c r="DB14" s="226" t="s">
        <v>185</v>
      </c>
      <c r="DC14" s="227">
        <f>VLOOKUP(DB14,DATA!$B$13:$C$19,2,0)</f>
        <v>100</v>
      </c>
      <c r="DD14" s="9">
        <f>VLOOKUP($DB$1,DATA!$B$24:$C$45,2,0)</f>
        <v>0.01</v>
      </c>
      <c r="DE14" s="9">
        <f t="shared" si="33"/>
        <v>0.01</v>
      </c>
      <c r="DF14" s="3">
        <f t="shared" si="34"/>
        <v>0.3</v>
      </c>
      <c r="DG14" s="6"/>
      <c r="DH14" s="95"/>
      <c r="DI14" s="226" t="s">
        <v>185</v>
      </c>
      <c r="DJ14" s="227">
        <f>VLOOKUP(DI14,DATA!$B$13:$C$19,2,0)</f>
        <v>100</v>
      </c>
      <c r="DK14" s="9">
        <f>VLOOKUP($DI$1,DATA!$B$24:$C$45,2,0)</f>
        <v>0.03</v>
      </c>
      <c r="DL14" s="9">
        <f t="shared" si="35"/>
        <v>0.03</v>
      </c>
      <c r="DM14" s="84">
        <f t="shared" si="36"/>
        <v>0.89999999999999991</v>
      </c>
      <c r="DN14" s="226" t="s">
        <v>185</v>
      </c>
      <c r="DO14" s="227">
        <f>VLOOKUP(DN14,DATA!$B$13:$C$19,2,0)</f>
        <v>100</v>
      </c>
      <c r="DP14" s="9">
        <f>VLOOKUP($DN$1,DATA!$B$24:$C$45,2,0)</f>
        <v>7.0000000000000007E-2</v>
      </c>
      <c r="DQ14" s="9">
        <f t="shared" si="37"/>
        <v>7.0000000000000007E-2</v>
      </c>
      <c r="DR14" s="3">
        <f t="shared" si="38"/>
        <v>2.1</v>
      </c>
      <c r="DS14" s="6"/>
      <c r="DT14" s="95"/>
      <c r="DU14" s="226" t="s">
        <v>185</v>
      </c>
      <c r="DV14" s="227">
        <f>VLOOKUP(DU14,DATA!$B$13:$C$19,2,0)</f>
        <v>100</v>
      </c>
      <c r="DW14" s="9">
        <f>VLOOKUP($DU$1,DATA!$B$24:$C$45,2,0)</f>
        <v>0.04</v>
      </c>
      <c r="DX14" s="9">
        <f t="shared" si="39"/>
        <v>0.04</v>
      </c>
      <c r="DY14" s="3">
        <f t="shared" si="40"/>
        <v>1.2</v>
      </c>
      <c r="DZ14" s="6"/>
      <c r="EA14" s="95"/>
      <c r="EB14" s="226" t="s">
        <v>220</v>
      </c>
      <c r="EC14" s="227">
        <f>VLOOKUP(EB14,DATA!$B$13:$C$19,2,0)</f>
        <v>50</v>
      </c>
      <c r="ED14" s="9">
        <f>VLOOKUP($EB$1,DATA!$B$24:$C$45,2,0)</f>
        <v>0.05</v>
      </c>
      <c r="EE14" s="9">
        <f t="shared" si="41"/>
        <v>2.5000000000000001E-2</v>
      </c>
      <c r="EF14" s="3">
        <f t="shared" si="42"/>
        <v>1.5</v>
      </c>
      <c r="EG14" s="6"/>
      <c r="EH14" s="95"/>
      <c r="EI14" s="226" t="s">
        <v>185</v>
      </c>
      <c r="EJ14" s="227">
        <f>VLOOKUP(EI14,DATA!$B$13:$C$19,2,0)</f>
        <v>100</v>
      </c>
      <c r="EK14" s="9">
        <f>VLOOKUP($EI$1,DATA!$B$24:$C$45,2,0)</f>
        <v>0.1</v>
      </c>
      <c r="EL14" s="9">
        <f t="shared" si="43"/>
        <v>0.1</v>
      </c>
      <c r="EM14" s="3">
        <f t="shared" si="44"/>
        <v>3</v>
      </c>
      <c r="EN14" s="6"/>
      <c r="EO14" s="95"/>
      <c r="EP14" s="226" t="s">
        <v>220</v>
      </c>
      <c r="EQ14" s="227">
        <f>VLOOKUP(EP14,DATA!$B$13:$C$19,2,0)</f>
        <v>50</v>
      </c>
      <c r="ER14" s="9">
        <f>VLOOKUP($EP$1,DATA!$B$24:$C$45,2,0)</f>
        <v>0.03</v>
      </c>
      <c r="ES14" s="9">
        <f t="shared" si="45"/>
        <v>1.4999999999999999E-2</v>
      </c>
      <c r="ET14" s="84">
        <f t="shared" si="46"/>
        <v>0.89999999999999991</v>
      </c>
      <c r="EU14" s="244">
        <f t="shared" si="47"/>
        <v>2.4</v>
      </c>
      <c r="EV14" s="85" t="s">
        <v>187</v>
      </c>
      <c r="EW14" s="134" t="s">
        <v>197</v>
      </c>
      <c r="EX14" s="6"/>
    </row>
    <row r="15" spans="1:154" x14ac:dyDescent="0.3">
      <c r="A15" s="3" t="s">
        <v>180</v>
      </c>
      <c r="B15" s="3" t="s">
        <v>181</v>
      </c>
      <c r="C15" s="3" t="s">
        <v>225</v>
      </c>
      <c r="D15" s="85" t="s">
        <v>226</v>
      </c>
      <c r="E15" s="85"/>
      <c r="F15" s="3">
        <v>3278</v>
      </c>
      <c r="G15" s="3" t="s">
        <v>227</v>
      </c>
      <c r="H15" s="3">
        <v>50</v>
      </c>
      <c r="I15" s="3"/>
      <c r="J15" s="229">
        <f>BaseDeDatos[[#This Row],[Budget CS]]+BaseDeDatos[[#This Row],[Change Orders Budget]]</f>
        <v>50</v>
      </c>
      <c r="K15" s="92">
        <f>IFERROR(VLOOKUP(G15, DATA!H:I, 2, FALSE), 0)+BaseDeDatos[[#This Row],[Labor Spend on Design errors]]+BaseDeDatos[[#This Row],[Labor
Spent Customer changes]]</f>
        <v>69.5</v>
      </c>
      <c r="L15" s="92"/>
      <c r="M15" s="92"/>
      <c r="N15" s="232">
        <f t="shared" si="0"/>
        <v>1</v>
      </c>
      <c r="O15" s="238">
        <f t="shared" si="1"/>
        <v>69.5</v>
      </c>
      <c r="P15" s="39">
        <v>29.7</v>
      </c>
      <c r="Q15" s="89">
        <f>BaseDeDatos[[#This Row],[Budget]]*BaseDeDatos[[#This Row],[Labor Rate from CS]]</f>
        <v>1485</v>
      </c>
      <c r="R15" s="94">
        <f>BaseDeDatos[[#This Row],[Labor
Spent]]*BaseDeDatos[[#This Row],[Labor Rate from CS]]</f>
        <v>2064.15</v>
      </c>
      <c r="S15" s="42">
        <f t="shared" si="2"/>
        <v>1.39</v>
      </c>
      <c r="T15" s="98">
        <v>297389</v>
      </c>
      <c r="U15" s="98">
        <v>3698</v>
      </c>
      <c r="V15" s="98">
        <v>3147.18</v>
      </c>
      <c r="W15" s="98">
        <v>51744.74</v>
      </c>
      <c r="X15" s="98">
        <v>51744.74</v>
      </c>
      <c r="Y15" s="98"/>
      <c r="Z15" s="98"/>
      <c r="AA15" s="39">
        <v>245730.98</v>
      </c>
      <c r="AB15" s="89">
        <f t="shared" si="3"/>
        <v>192501.24000000002</v>
      </c>
      <c r="AC15" s="120">
        <f>SUM(AB15,X15,R15,BaseDeDatos[[#This Row],[Additionals cost]])</f>
        <v>249457.31</v>
      </c>
      <c r="AD15" s="117">
        <v>0.16739999999999999</v>
      </c>
      <c r="AE15" s="117">
        <v>0.18110000000000001</v>
      </c>
      <c r="AF15" s="240">
        <f t="shared" si="4"/>
        <v>0.17175776508209784</v>
      </c>
      <c r="AG15" s="226"/>
      <c r="AH15" s="226" t="s">
        <v>185</v>
      </c>
      <c r="AI15" s="227">
        <f>VLOOKUP(AH15,DATA!$B$13:$C$19,2,0)</f>
        <v>100</v>
      </c>
      <c r="AJ15" s="4">
        <f>VLOOKUP($AH$1,DATA!$B$24:$C$45,2,0)</f>
        <v>0.05</v>
      </c>
      <c r="AK15" s="3">
        <f>BaseDeDatos[[#This Row],[Read info
Status]]*(AJ15)/100</f>
        <v>0.05</v>
      </c>
      <c r="AL15" s="84">
        <f t="shared" si="5"/>
        <v>2.5</v>
      </c>
      <c r="AM15" s="226" t="s">
        <v>185</v>
      </c>
      <c r="AN15" s="227">
        <f>VLOOKUP(AM15,DATA!$B$13:$C$19,2,0)</f>
        <v>100</v>
      </c>
      <c r="AO15" s="9">
        <f>VLOOKUP($AM$1,DATA!$B$24:$C$45,2,0)</f>
        <v>0.05</v>
      </c>
      <c r="AP15" s="9">
        <f t="shared" si="6"/>
        <v>0.05</v>
      </c>
      <c r="AQ15" s="3">
        <f t="shared" si="7"/>
        <v>2.5</v>
      </c>
      <c r="AR15" s="6"/>
      <c r="AS15" s="95"/>
      <c r="AT15" s="226" t="s">
        <v>185</v>
      </c>
      <c r="AU15" s="227">
        <f>VLOOKUP(AT15,DATA!$B$13:$C$19,2,0)</f>
        <v>100</v>
      </c>
      <c r="AV15" s="9">
        <f>VLOOKUP($AT$1,DATA!$B$24:$C$45,2,0)</f>
        <v>0.01</v>
      </c>
      <c r="AW15" s="9">
        <f t="shared" si="8"/>
        <v>0.01</v>
      </c>
      <c r="AX15" s="3">
        <f t="shared" si="9"/>
        <v>0.5</v>
      </c>
      <c r="AY15" s="6"/>
      <c r="AZ15" s="95"/>
      <c r="BA15" s="226" t="s">
        <v>185</v>
      </c>
      <c r="BB15" s="227">
        <f>VLOOKUP(BA15,DATA!$B$13:$C$19,2,0)</f>
        <v>100</v>
      </c>
      <c r="BC15" s="9">
        <f>VLOOKUP($BA$1,DATA!$B$24:$C$45,2,0)</f>
        <v>0.01</v>
      </c>
      <c r="BD15" s="9">
        <f t="shared" si="10"/>
        <v>0.01</v>
      </c>
      <c r="BE15" s="84">
        <f t="shared" si="11"/>
        <v>0.5</v>
      </c>
      <c r="BF15" s="226" t="s">
        <v>185</v>
      </c>
      <c r="BG15" s="227">
        <f>VLOOKUP(BF15,DATA!$B$13:$C$19,2,0)</f>
        <v>100</v>
      </c>
      <c r="BH15" s="9">
        <f>VLOOKUP($BF$1,DATA!$B$24:$C$45,2,0)</f>
        <v>0.08</v>
      </c>
      <c r="BI15" s="9">
        <f t="shared" si="12"/>
        <v>0.08</v>
      </c>
      <c r="BJ15" s="84">
        <f t="shared" si="13"/>
        <v>4</v>
      </c>
      <c r="BK15" s="226" t="s">
        <v>185</v>
      </c>
      <c r="BL15" s="227">
        <f>VLOOKUP(BK15,DATA!$B$13:$C$19,2,0)</f>
        <v>100</v>
      </c>
      <c r="BM15" s="9">
        <f>VLOOKUP($BK$1,DATA!$B$24:$C$45,2,0)</f>
        <v>0.18</v>
      </c>
      <c r="BN15" s="9">
        <f t="shared" si="14"/>
        <v>0.18</v>
      </c>
      <c r="BO15" s="84">
        <f t="shared" si="15"/>
        <v>9</v>
      </c>
      <c r="BP15" s="226" t="s">
        <v>185</v>
      </c>
      <c r="BQ15" s="227">
        <f>VLOOKUP(BP15,DATA!$B$13:$C$19,2,0)</f>
        <v>100</v>
      </c>
      <c r="BR15" s="9">
        <f>VLOOKUP($BP$1,DATA!$B$24:$C$45,2,0)</f>
        <v>0.28000000000000003</v>
      </c>
      <c r="BS15" s="9">
        <f t="shared" si="16"/>
        <v>0.28000000000000003</v>
      </c>
      <c r="BT15" s="84">
        <f t="shared" si="17"/>
        <v>14.000000000000002</v>
      </c>
      <c r="BU15" s="226" t="s">
        <v>185</v>
      </c>
      <c r="BV15" s="227">
        <f>VLOOKUP(BU15,DATA!$B$13:$C$19,2,0)</f>
        <v>100</v>
      </c>
      <c r="BW15" s="9">
        <f>VLOOKUP($BU$1,DATA!$B$24:$C$45,2,0)</f>
        <v>0.15</v>
      </c>
      <c r="BX15" s="9">
        <f t="shared" si="18"/>
        <v>0.15</v>
      </c>
      <c r="BY15" s="84">
        <f t="shared" si="19"/>
        <v>7.5</v>
      </c>
      <c r="BZ15" s="226" t="s">
        <v>185</v>
      </c>
      <c r="CA15" s="227">
        <f>VLOOKUP(BZ15,DATA!$B$13:$C$19,2,0)</f>
        <v>100</v>
      </c>
      <c r="CB15" s="9">
        <f>VLOOKUP($BZ$1,DATA!$B$24:$C$45,2,0)</f>
        <v>0.16</v>
      </c>
      <c r="CC15" s="9">
        <f t="shared" si="20"/>
        <v>0.16</v>
      </c>
      <c r="CD15" s="84">
        <f t="shared" si="21"/>
        <v>8</v>
      </c>
      <c r="CE15" s="226" t="s">
        <v>185</v>
      </c>
      <c r="CF15" s="227">
        <f>VLOOKUP(CE15,DATA!$B$13:$C$19,2,0)</f>
        <v>100</v>
      </c>
      <c r="CG15" s="9">
        <f>VLOOKUP($CE$1,DATA!$B$24:$C$45,2,0)</f>
        <v>0.13</v>
      </c>
      <c r="CH15" s="9">
        <f t="shared" si="22"/>
        <v>0.13</v>
      </c>
      <c r="CI15" s="84">
        <f t="shared" si="23"/>
        <v>6.5</v>
      </c>
      <c r="CJ15" s="226" t="s">
        <v>185</v>
      </c>
      <c r="CK15" s="227">
        <f>VLOOKUP(CJ15,DATA!$B$13:$C$19,2,0)</f>
        <v>100</v>
      </c>
      <c r="CL15" s="9">
        <f>VLOOKUP($CJ$1,DATA!$B$24:$C$45,2,0)</f>
        <v>0.01</v>
      </c>
      <c r="CM15" s="9">
        <f t="shared" si="24"/>
        <v>0.01</v>
      </c>
      <c r="CN15" s="84">
        <f t="shared" si="25"/>
        <v>0.5</v>
      </c>
      <c r="CO15" s="96">
        <f t="shared" si="26"/>
        <v>1</v>
      </c>
      <c r="CP15" s="9">
        <f>VLOOKUP($CO$1,DATA!$B$24:$C$45,2,0)</f>
        <v>0.54</v>
      </c>
      <c r="CQ15" s="9">
        <f t="shared" si="27"/>
        <v>0.54</v>
      </c>
      <c r="CR15" s="3">
        <f t="shared" si="28"/>
        <v>27</v>
      </c>
      <c r="CS15" s="129">
        <f t="shared" si="29"/>
        <v>27</v>
      </c>
      <c r="CT15" s="242">
        <f t="shared" si="30"/>
        <v>0</v>
      </c>
      <c r="CU15" s="226" t="s">
        <v>185</v>
      </c>
      <c r="CV15" s="227">
        <f>VLOOKUP(CU15,DATA!$B$13:$C$19,2,0)</f>
        <v>100</v>
      </c>
      <c r="CW15" s="9">
        <f>VLOOKUP($CU$1,DATA!$B$24:$C$45,2,0)</f>
        <v>0.02</v>
      </c>
      <c r="CX15" s="9">
        <f t="shared" si="31"/>
        <v>0.02</v>
      </c>
      <c r="CY15" s="3">
        <f t="shared" si="32"/>
        <v>1</v>
      </c>
      <c r="CZ15" s="6"/>
      <c r="DA15" s="95"/>
      <c r="DB15" s="226" t="s">
        <v>185</v>
      </c>
      <c r="DC15" s="227">
        <f>VLOOKUP(DB15,DATA!$B$13:$C$19,2,0)</f>
        <v>100</v>
      </c>
      <c r="DD15" s="9">
        <f>VLOOKUP($DB$1,DATA!$B$24:$C$45,2,0)</f>
        <v>0.01</v>
      </c>
      <c r="DE15" s="9">
        <f t="shared" si="33"/>
        <v>0.01</v>
      </c>
      <c r="DF15" s="3">
        <f t="shared" si="34"/>
        <v>0.5</v>
      </c>
      <c r="DG15" s="6"/>
      <c r="DH15" s="95"/>
      <c r="DI15" s="226" t="s">
        <v>185</v>
      </c>
      <c r="DJ15" s="227">
        <f>VLOOKUP(DI15,DATA!$B$13:$C$19,2,0)</f>
        <v>100</v>
      </c>
      <c r="DK15" s="9">
        <f>VLOOKUP($DI$1,DATA!$B$24:$C$45,2,0)</f>
        <v>0.03</v>
      </c>
      <c r="DL15" s="9">
        <f t="shared" si="35"/>
        <v>0.03</v>
      </c>
      <c r="DM15" s="84">
        <f t="shared" si="36"/>
        <v>1.5</v>
      </c>
      <c r="DN15" s="226" t="s">
        <v>185</v>
      </c>
      <c r="DO15" s="227">
        <f>VLOOKUP(DN15,DATA!$B$13:$C$19,2,0)</f>
        <v>100</v>
      </c>
      <c r="DP15" s="9">
        <f>VLOOKUP($DN$1,DATA!$B$24:$C$45,2,0)</f>
        <v>7.0000000000000007E-2</v>
      </c>
      <c r="DQ15" s="9">
        <f t="shared" si="37"/>
        <v>7.0000000000000007E-2</v>
      </c>
      <c r="DR15" s="3">
        <f t="shared" si="38"/>
        <v>3.5000000000000004</v>
      </c>
      <c r="DS15" s="6"/>
      <c r="DT15" s="95"/>
      <c r="DU15" s="226" t="s">
        <v>185</v>
      </c>
      <c r="DV15" s="227">
        <f>VLOOKUP(DU15,DATA!$B$13:$C$19,2,0)</f>
        <v>100</v>
      </c>
      <c r="DW15" s="9">
        <f>VLOOKUP($DU$1,DATA!$B$24:$C$45,2,0)</f>
        <v>0.04</v>
      </c>
      <c r="DX15" s="9">
        <f t="shared" si="39"/>
        <v>0.04</v>
      </c>
      <c r="DY15" s="3">
        <f t="shared" si="40"/>
        <v>2</v>
      </c>
      <c r="DZ15" s="6"/>
      <c r="EA15" s="95"/>
      <c r="EB15" s="226" t="s">
        <v>185</v>
      </c>
      <c r="EC15" s="227">
        <f>VLOOKUP(EB15,DATA!$B$13:$C$19,2,0)</f>
        <v>100</v>
      </c>
      <c r="ED15" s="9">
        <f>VLOOKUP($EB$1,DATA!$B$24:$C$45,2,0)</f>
        <v>0.05</v>
      </c>
      <c r="EE15" s="9">
        <f t="shared" si="41"/>
        <v>0.05</v>
      </c>
      <c r="EF15" s="3">
        <f t="shared" si="42"/>
        <v>2.5</v>
      </c>
      <c r="EG15" s="6"/>
      <c r="EH15" s="95"/>
      <c r="EI15" s="226" t="s">
        <v>185</v>
      </c>
      <c r="EJ15" s="227">
        <f>VLOOKUP(EI15,DATA!$B$13:$C$19,2,0)</f>
        <v>100</v>
      </c>
      <c r="EK15" s="9">
        <f>VLOOKUP($EI$1,DATA!$B$24:$C$45,2,0)</f>
        <v>0.1</v>
      </c>
      <c r="EL15" s="9">
        <f t="shared" si="43"/>
        <v>0.1</v>
      </c>
      <c r="EM15" s="3">
        <f t="shared" si="44"/>
        <v>5</v>
      </c>
      <c r="EN15" s="6"/>
      <c r="EO15" s="95"/>
      <c r="EP15" s="226" t="s">
        <v>185</v>
      </c>
      <c r="EQ15" s="227">
        <f>VLOOKUP(EP15,DATA!$B$13:$C$19,2,0)</f>
        <v>100</v>
      </c>
      <c r="ER15" s="9">
        <f>VLOOKUP($EP$1,DATA!$B$24:$C$45,2,0)</f>
        <v>0.03</v>
      </c>
      <c r="ES15" s="9">
        <f t="shared" si="45"/>
        <v>0.03</v>
      </c>
      <c r="ET15" s="84">
        <f t="shared" si="46"/>
        <v>1.5</v>
      </c>
      <c r="EU15" s="244">
        <f t="shared" si="47"/>
        <v>0</v>
      </c>
      <c r="EV15" s="85" t="s">
        <v>186</v>
      </c>
      <c r="EW15" s="134" t="s">
        <v>186</v>
      </c>
      <c r="EX15" s="6"/>
    </row>
    <row r="16" spans="1:154" x14ac:dyDescent="0.3">
      <c r="A16" s="3" t="s">
        <v>180</v>
      </c>
      <c r="B16" s="3" t="s">
        <v>181</v>
      </c>
      <c r="C16" s="3" t="s">
        <v>225</v>
      </c>
      <c r="D16" s="85" t="s">
        <v>228</v>
      </c>
      <c r="E16" s="85"/>
      <c r="F16" s="3">
        <v>3278</v>
      </c>
      <c r="G16" s="3" t="s">
        <v>229</v>
      </c>
      <c r="H16" s="3">
        <v>50</v>
      </c>
      <c r="I16" s="3"/>
      <c r="J16" s="229">
        <f>BaseDeDatos[[#This Row],[Budget CS]]+BaseDeDatos[[#This Row],[Change Orders Budget]]</f>
        <v>50</v>
      </c>
      <c r="K16" s="92">
        <f>IFERROR(VLOOKUP(G16, DATA!H:I, 2, FALSE), 0)+BaseDeDatos[[#This Row],[Labor Spend on Design errors]]+BaseDeDatos[[#This Row],[Labor
Spent Customer changes]]</f>
        <v>53.5</v>
      </c>
      <c r="L16" s="92"/>
      <c r="M16" s="92"/>
      <c r="N16" s="232">
        <f t="shared" si="0"/>
        <v>1</v>
      </c>
      <c r="O16" s="238">
        <f t="shared" si="1"/>
        <v>53.5</v>
      </c>
      <c r="P16" s="39">
        <v>29.7</v>
      </c>
      <c r="Q16" s="89">
        <f>BaseDeDatos[[#This Row],[Budget]]*BaseDeDatos[[#This Row],[Labor Rate from CS]]</f>
        <v>1485</v>
      </c>
      <c r="R16" s="94">
        <f>BaseDeDatos[[#This Row],[Labor
Spent]]*BaseDeDatos[[#This Row],[Labor Rate from CS]]</f>
        <v>1588.95</v>
      </c>
      <c r="S16" s="42">
        <f t="shared" si="2"/>
        <v>1.07</v>
      </c>
      <c r="T16" s="98">
        <v>286501</v>
      </c>
      <c r="U16" s="98">
        <v>3698</v>
      </c>
      <c r="V16" s="98">
        <v>3147.18</v>
      </c>
      <c r="W16" s="98">
        <v>51744.74</v>
      </c>
      <c r="X16" s="98">
        <v>51744.74</v>
      </c>
      <c r="Y16" s="98"/>
      <c r="Z16" s="98"/>
      <c r="AA16" s="39">
        <v>238140.82</v>
      </c>
      <c r="AB16" s="89">
        <f t="shared" si="3"/>
        <v>184911.08000000002</v>
      </c>
      <c r="AC16" s="120">
        <f>SUM(AB16,X16,R16,BaseDeDatos[[#This Row],[Additionals cost]])</f>
        <v>241391.95</v>
      </c>
      <c r="AD16" s="117">
        <v>0.16880000000000001</v>
      </c>
      <c r="AE16" s="117">
        <v>0.18110000000000001</v>
      </c>
      <c r="AF16" s="240">
        <f t="shared" si="4"/>
        <v>0.1684330246665805</v>
      </c>
      <c r="AG16" s="226"/>
      <c r="AH16" s="226" t="s">
        <v>185</v>
      </c>
      <c r="AI16" s="227">
        <f>VLOOKUP(AH16,DATA!$B$13:$C$19,2,0)</f>
        <v>100</v>
      </c>
      <c r="AJ16" s="4">
        <f>VLOOKUP($AH$1,DATA!$B$24:$C$45,2,0)</f>
        <v>0.05</v>
      </c>
      <c r="AK16" s="3">
        <f>BaseDeDatos[[#This Row],[Read info
Status]]*(AJ16)/100</f>
        <v>0.05</v>
      </c>
      <c r="AL16" s="84">
        <f t="shared" si="5"/>
        <v>2.5</v>
      </c>
      <c r="AM16" s="226" t="s">
        <v>185</v>
      </c>
      <c r="AN16" s="227">
        <f>VLOOKUP(AM16,DATA!$B$13:$C$19,2,0)</f>
        <v>100</v>
      </c>
      <c r="AO16" s="9">
        <f>VLOOKUP($AM$1,DATA!$B$24:$C$45,2,0)</f>
        <v>0.05</v>
      </c>
      <c r="AP16" s="9">
        <f t="shared" si="6"/>
        <v>0.05</v>
      </c>
      <c r="AQ16" s="3">
        <f t="shared" si="7"/>
        <v>2.5</v>
      </c>
      <c r="AR16" s="6"/>
      <c r="AS16" s="95"/>
      <c r="AT16" s="226" t="s">
        <v>185</v>
      </c>
      <c r="AU16" s="227">
        <f>VLOOKUP(AT16,DATA!$B$13:$C$19,2,0)</f>
        <v>100</v>
      </c>
      <c r="AV16" s="9">
        <f>VLOOKUP($AT$1,DATA!$B$24:$C$45,2,0)</f>
        <v>0.01</v>
      </c>
      <c r="AW16" s="9">
        <f t="shared" si="8"/>
        <v>0.01</v>
      </c>
      <c r="AX16" s="3">
        <f t="shared" si="9"/>
        <v>0.5</v>
      </c>
      <c r="AY16" s="6"/>
      <c r="AZ16" s="95"/>
      <c r="BA16" s="226" t="s">
        <v>185</v>
      </c>
      <c r="BB16" s="227">
        <f>VLOOKUP(BA16,DATA!$B$13:$C$19,2,0)</f>
        <v>100</v>
      </c>
      <c r="BC16" s="9">
        <f>VLOOKUP($BA$1,DATA!$B$24:$C$45,2,0)</f>
        <v>0.01</v>
      </c>
      <c r="BD16" s="9">
        <f t="shared" si="10"/>
        <v>0.01</v>
      </c>
      <c r="BE16" s="84">
        <f t="shared" si="11"/>
        <v>0.5</v>
      </c>
      <c r="BF16" s="226" t="s">
        <v>185</v>
      </c>
      <c r="BG16" s="227">
        <f>VLOOKUP(BF16,DATA!$B$13:$C$19,2,0)</f>
        <v>100</v>
      </c>
      <c r="BH16" s="9">
        <f>VLOOKUP($BF$1,DATA!$B$24:$C$45,2,0)</f>
        <v>0.08</v>
      </c>
      <c r="BI16" s="9">
        <f t="shared" si="12"/>
        <v>0.08</v>
      </c>
      <c r="BJ16" s="84">
        <f t="shared" si="13"/>
        <v>4</v>
      </c>
      <c r="BK16" s="226" t="s">
        <v>185</v>
      </c>
      <c r="BL16" s="227">
        <f>VLOOKUP(BK16,DATA!$B$13:$C$19,2,0)</f>
        <v>100</v>
      </c>
      <c r="BM16" s="9">
        <f>VLOOKUP($BK$1,DATA!$B$24:$C$45,2,0)</f>
        <v>0.18</v>
      </c>
      <c r="BN16" s="9">
        <f t="shared" si="14"/>
        <v>0.18</v>
      </c>
      <c r="BO16" s="84">
        <f t="shared" si="15"/>
        <v>9</v>
      </c>
      <c r="BP16" s="226" t="s">
        <v>185</v>
      </c>
      <c r="BQ16" s="227">
        <f>VLOOKUP(BP16,DATA!$B$13:$C$19,2,0)</f>
        <v>100</v>
      </c>
      <c r="BR16" s="9">
        <f>VLOOKUP($BP$1,DATA!$B$24:$C$45,2,0)</f>
        <v>0.28000000000000003</v>
      </c>
      <c r="BS16" s="9">
        <f t="shared" si="16"/>
        <v>0.28000000000000003</v>
      </c>
      <c r="BT16" s="84">
        <f t="shared" si="17"/>
        <v>14.000000000000002</v>
      </c>
      <c r="BU16" s="226" t="s">
        <v>185</v>
      </c>
      <c r="BV16" s="227">
        <f>VLOOKUP(BU16,DATA!$B$13:$C$19,2,0)</f>
        <v>100</v>
      </c>
      <c r="BW16" s="9">
        <f>VLOOKUP($BU$1,DATA!$B$24:$C$45,2,0)</f>
        <v>0.15</v>
      </c>
      <c r="BX16" s="9">
        <f t="shared" si="18"/>
        <v>0.15</v>
      </c>
      <c r="BY16" s="84">
        <f t="shared" si="19"/>
        <v>7.5</v>
      </c>
      <c r="BZ16" s="226" t="s">
        <v>185</v>
      </c>
      <c r="CA16" s="227">
        <f>VLOOKUP(BZ16,DATA!$B$13:$C$19,2,0)</f>
        <v>100</v>
      </c>
      <c r="CB16" s="9">
        <f>VLOOKUP($BZ$1,DATA!$B$24:$C$45,2,0)</f>
        <v>0.16</v>
      </c>
      <c r="CC16" s="9">
        <f t="shared" si="20"/>
        <v>0.16</v>
      </c>
      <c r="CD16" s="84">
        <f t="shared" si="21"/>
        <v>8</v>
      </c>
      <c r="CE16" s="226" t="s">
        <v>185</v>
      </c>
      <c r="CF16" s="227">
        <f>VLOOKUP(CE16,DATA!$B$13:$C$19,2,0)</f>
        <v>100</v>
      </c>
      <c r="CG16" s="9">
        <f>VLOOKUP($CE$1,DATA!$B$24:$C$45,2,0)</f>
        <v>0.13</v>
      </c>
      <c r="CH16" s="9">
        <f t="shared" si="22"/>
        <v>0.13</v>
      </c>
      <c r="CI16" s="84">
        <f t="shared" si="23"/>
        <v>6.5</v>
      </c>
      <c r="CJ16" s="226" t="s">
        <v>185</v>
      </c>
      <c r="CK16" s="227">
        <f>VLOOKUP(CJ16,DATA!$B$13:$C$19,2,0)</f>
        <v>100</v>
      </c>
      <c r="CL16" s="9">
        <f>VLOOKUP($CJ$1,DATA!$B$24:$C$45,2,0)</f>
        <v>0.01</v>
      </c>
      <c r="CM16" s="9">
        <f t="shared" si="24"/>
        <v>0.01</v>
      </c>
      <c r="CN16" s="84">
        <f t="shared" si="25"/>
        <v>0.5</v>
      </c>
      <c r="CO16" s="96">
        <f t="shared" si="26"/>
        <v>1</v>
      </c>
      <c r="CP16" s="9">
        <f>VLOOKUP($CO$1,DATA!$B$24:$C$45,2,0)</f>
        <v>0.54</v>
      </c>
      <c r="CQ16" s="9">
        <f t="shared" si="27"/>
        <v>0.54</v>
      </c>
      <c r="CR16" s="3">
        <f t="shared" si="28"/>
        <v>27</v>
      </c>
      <c r="CS16" s="129">
        <f t="shared" si="29"/>
        <v>27</v>
      </c>
      <c r="CT16" s="242">
        <f t="shared" si="30"/>
        <v>0</v>
      </c>
      <c r="CU16" s="226" t="s">
        <v>185</v>
      </c>
      <c r="CV16" s="227">
        <f>VLOOKUP(CU16,DATA!$B$13:$C$19,2,0)</f>
        <v>100</v>
      </c>
      <c r="CW16" s="9">
        <f>VLOOKUP($CU$1,DATA!$B$24:$C$45,2,0)</f>
        <v>0.02</v>
      </c>
      <c r="CX16" s="9">
        <f t="shared" si="31"/>
        <v>0.02</v>
      </c>
      <c r="CY16" s="3">
        <f t="shared" si="32"/>
        <v>1</v>
      </c>
      <c r="CZ16" s="6"/>
      <c r="DA16" s="95"/>
      <c r="DB16" s="226" t="s">
        <v>185</v>
      </c>
      <c r="DC16" s="227">
        <f>VLOOKUP(DB16,DATA!$B$13:$C$19,2,0)</f>
        <v>100</v>
      </c>
      <c r="DD16" s="9">
        <f>VLOOKUP($DB$1,DATA!$B$24:$C$45,2,0)</f>
        <v>0.01</v>
      </c>
      <c r="DE16" s="9">
        <f t="shared" si="33"/>
        <v>0.01</v>
      </c>
      <c r="DF16" s="3">
        <f t="shared" si="34"/>
        <v>0.5</v>
      </c>
      <c r="DG16" s="6"/>
      <c r="DH16" s="95"/>
      <c r="DI16" s="226" t="s">
        <v>185</v>
      </c>
      <c r="DJ16" s="227">
        <f>VLOOKUP(DI16,DATA!$B$13:$C$19,2,0)</f>
        <v>100</v>
      </c>
      <c r="DK16" s="9">
        <f>VLOOKUP($DI$1,DATA!$B$24:$C$45,2,0)</f>
        <v>0.03</v>
      </c>
      <c r="DL16" s="9">
        <f t="shared" si="35"/>
        <v>0.03</v>
      </c>
      <c r="DM16" s="84">
        <f t="shared" si="36"/>
        <v>1.5</v>
      </c>
      <c r="DN16" s="226" t="s">
        <v>185</v>
      </c>
      <c r="DO16" s="227">
        <f>VLOOKUP(DN16,DATA!$B$13:$C$19,2,0)</f>
        <v>100</v>
      </c>
      <c r="DP16" s="9">
        <f>VLOOKUP($DN$1,DATA!$B$24:$C$45,2,0)</f>
        <v>7.0000000000000007E-2</v>
      </c>
      <c r="DQ16" s="9">
        <f t="shared" si="37"/>
        <v>7.0000000000000007E-2</v>
      </c>
      <c r="DR16" s="3">
        <f t="shared" si="38"/>
        <v>3.5000000000000004</v>
      </c>
      <c r="DS16" s="6"/>
      <c r="DT16" s="95"/>
      <c r="DU16" s="226" t="s">
        <v>185</v>
      </c>
      <c r="DV16" s="227">
        <f>VLOOKUP(DU16,DATA!$B$13:$C$19,2,0)</f>
        <v>100</v>
      </c>
      <c r="DW16" s="9">
        <f>VLOOKUP($DU$1,DATA!$B$24:$C$45,2,0)</f>
        <v>0.04</v>
      </c>
      <c r="DX16" s="9">
        <f t="shared" si="39"/>
        <v>0.04</v>
      </c>
      <c r="DY16" s="3">
        <f t="shared" si="40"/>
        <v>2</v>
      </c>
      <c r="DZ16" s="6"/>
      <c r="EA16" s="95"/>
      <c r="EB16" s="226" t="s">
        <v>185</v>
      </c>
      <c r="EC16" s="227">
        <f>VLOOKUP(EB16,DATA!$B$13:$C$19,2,0)</f>
        <v>100</v>
      </c>
      <c r="ED16" s="9">
        <f>VLOOKUP($EB$1,DATA!$B$24:$C$45,2,0)</f>
        <v>0.05</v>
      </c>
      <c r="EE16" s="9">
        <f t="shared" si="41"/>
        <v>0.05</v>
      </c>
      <c r="EF16" s="3">
        <f t="shared" si="42"/>
        <v>2.5</v>
      </c>
      <c r="EG16" s="6"/>
      <c r="EH16" s="95"/>
      <c r="EI16" s="226" t="s">
        <v>185</v>
      </c>
      <c r="EJ16" s="227">
        <f>VLOOKUP(EI16,DATA!$B$13:$C$19,2,0)</f>
        <v>100</v>
      </c>
      <c r="EK16" s="9">
        <f>VLOOKUP($EI$1,DATA!$B$24:$C$45,2,0)</f>
        <v>0.1</v>
      </c>
      <c r="EL16" s="9">
        <f t="shared" si="43"/>
        <v>0.1</v>
      </c>
      <c r="EM16" s="3">
        <f t="shared" si="44"/>
        <v>5</v>
      </c>
      <c r="EN16" s="6"/>
      <c r="EO16" s="95"/>
      <c r="EP16" s="226" t="s">
        <v>185</v>
      </c>
      <c r="EQ16" s="227">
        <f>VLOOKUP(EP16,DATA!$B$13:$C$19,2,0)</f>
        <v>100</v>
      </c>
      <c r="ER16" s="9">
        <f>VLOOKUP($EP$1,DATA!$B$24:$C$45,2,0)</f>
        <v>0.03</v>
      </c>
      <c r="ES16" s="9">
        <f t="shared" si="45"/>
        <v>0.03</v>
      </c>
      <c r="ET16" s="84">
        <f t="shared" si="46"/>
        <v>1.5</v>
      </c>
      <c r="EU16" s="244">
        <f t="shared" si="47"/>
        <v>0</v>
      </c>
      <c r="EV16" s="85" t="s">
        <v>186</v>
      </c>
      <c r="EW16" s="134" t="s">
        <v>186</v>
      </c>
      <c r="EX16" s="6"/>
    </row>
    <row r="17" spans="1:154" x14ac:dyDescent="0.3">
      <c r="A17" s="3" t="s">
        <v>180</v>
      </c>
      <c r="B17" s="3" t="s">
        <v>181</v>
      </c>
      <c r="C17" s="3" t="s">
        <v>225</v>
      </c>
      <c r="D17" s="85" t="s">
        <v>230</v>
      </c>
      <c r="E17" s="85"/>
      <c r="F17" s="3">
        <v>3278</v>
      </c>
      <c r="G17" s="3" t="s">
        <v>231</v>
      </c>
      <c r="H17" s="3">
        <v>50</v>
      </c>
      <c r="I17" s="3"/>
      <c r="J17" s="229">
        <f>BaseDeDatos[[#This Row],[Budget CS]]+BaseDeDatos[[#This Row],[Change Orders Budget]]</f>
        <v>50</v>
      </c>
      <c r="K17" s="92">
        <f>IFERROR(VLOOKUP(G17, DATA!H:I, 2, FALSE), 0)+BaseDeDatos[[#This Row],[Labor Spend on Design errors]]+BaseDeDatos[[#This Row],[Labor
Spent Customer changes]]</f>
        <v>84.5</v>
      </c>
      <c r="L17" s="92"/>
      <c r="M17" s="92"/>
      <c r="N17" s="232">
        <f t="shared" si="0"/>
        <v>1</v>
      </c>
      <c r="O17" s="238">
        <f t="shared" si="1"/>
        <v>84.5</v>
      </c>
      <c r="P17" s="39">
        <v>29.7</v>
      </c>
      <c r="Q17" s="89">
        <f>BaseDeDatos[[#This Row],[Budget]]*BaseDeDatos[[#This Row],[Labor Rate from CS]]</f>
        <v>1485</v>
      </c>
      <c r="R17" s="94">
        <f>BaseDeDatos[[#This Row],[Labor
Spent]]*BaseDeDatos[[#This Row],[Labor Rate from CS]]</f>
        <v>2509.65</v>
      </c>
      <c r="S17" s="42">
        <f t="shared" si="2"/>
        <v>1.69</v>
      </c>
      <c r="T17" s="98">
        <v>292555</v>
      </c>
      <c r="U17" s="98">
        <v>3698</v>
      </c>
      <c r="V17" s="98">
        <v>3147.18</v>
      </c>
      <c r="W17" s="98">
        <v>51744.74</v>
      </c>
      <c r="X17" s="98">
        <v>51744.74</v>
      </c>
      <c r="Y17" s="98"/>
      <c r="Z17" s="98"/>
      <c r="AA17" s="39">
        <v>243193.32</v>
      </c>
      <c r="AB17" s="89">
        <f t="shared" si="3"/>
        <v>189963.58000000002</v>
      </c>
      <c r="AC17" s="120">
        <f>SUM(AB17,X17,R17,BaseDeDatos[[#This Row],[Additionals cost]])</f>
        <v>247365.15</v>
      </c>
      <c r="AD17" s="117">
        <v>0.16839999999999999</v>
      </c>
      <c r="AE17" s="117">
        <v>0.18110000000000001</v>
      </c>
      <c r="AF17" s="240">
        <f t="shared" si="4"/>
        <v>0.16522373570781562</v>
      </c>
      <c r="AG17" s="226"/>
      <c r="AH17" s="226" t="s">
        <v>185</v>
      </c>
      <c r="AI17" s="227">
        <f>VLOOKUP(AH17,DATA!$B$13:$C$19,2,0)</f>
        <v>100</v>
      </c>
      <c r="AJ17" s="4">
        <f>VLOOKUP($AH$1,DATA!$B$24:$C$45,2,0)</f>
        <v>0.05</v>
      </c>
      <c r="AK17" s="3">
        <f>BaseDeDatos[[#This Row],[Read info
Status]]*(AJ17)/100</f>
        <v>0.05</v>
      </c>
      <c r="AL17" s="84">
        <f t="shared" si="5"/>
        <v>2.5</v>
      </c>
      <c r="AM17" s="226" t="s">
        <v>185</v>
      </c>
      <c r="AN17" s="227">
        <f>VLOOKUP(AM17,DATA!$B$13:$C$19,2,0)</f>
        <v>100</v>
      </c>
      <c r="AO17" s="9">
        <f>VLOOKUP($AM$1,DATA!$B$24:$C$45,2,0)</f>
        <v>0.05</v>
      </c>
      <c r="AP17" s="9">
        <f t="shared" si="6"/>
        <v>0.05</v>
      </c>
      <c r="AQ17" s="3">
        <f t="shared" si="7"/>
        <v>2.5</v>
      </c>
      <c r="AR17" s="6"/>
      <c r="AS17" s="95"/>
      <c r="AT17" s="226" t="s">
        <v>185</v>
      </c>
      <c r="AU17" s="227">
        <f>VLOOKUP(AT17,DATA!$B$13:$C$19,2,0)</f>
        <v>100</v>
      </c>
      <c r="AV17" s="9">
        <f>VLOOKUP($AT$1,DATA!$B$24:$C$45,2,0)</f>
        <v>0.01</v>
      </c>
      <c r="AW17" s="9">
        <f t="shared" si="8"/>
        <v>0.01</v>
      </c>
      <c r="AX17" s="3">
        <f t="shared" si="9"/>
        <v>0.5</v>
      </c>
      <c r="AY17" s="6"/>
      <c r="AZ17" s="95"/>
      <c r="BA17" s="226" t="s">
        <v>185</v>
      </c>
      <c r="BB17" s="227">
        <f>VLOOKUP(BA17,DATA!$B$13:$C$19,2,0)</f>
        <v>100</v>
      </c>
      <c r="BC17" s="9">
        <f>VLOOKUP($BA$1,DATA!$B$24:$C$45,2,0)</f>
        <v>0.01</v>
      </c>
      <c r="BD17" s="9">
        <f t="shared" si="10"/>
        <v>0.01</v>
      </c>
      <c r="BE17" s="84">
        <f t="shared" si="11"/>
        <v>0.5</v>
      </c>
      <c r="BF17" s="226" t="s">
        <v>185</v>
      </c>
      <c r="BG17" s="227">
        <f>VLOOKUP(BF17,DATA!$B$13:$C$19,2,0)</f>
        <v>100</v>
      </c>
      <c r="BH17" s="9">
        <f>VLOOKUP($BF$1,DATA!$B$24:$C$45,2,0)</f>
        <v>0.08</v>
      </c>
      <c r="BI17" s="9">
        <f t="shared" si="12"/>
        <v>0.08</v>
      </c>
      <c r="BJ17" s="84">
        <f t="shared" si="13"/>
        <v>4</v>
      </c>
      <c r="BK17" s="226" t="s">
        <v>185</v>
      </c>
      <c r="BL17" s="227">
        <f>VLOOKUP(BK17,DATA!$B$13:$C$19,2,0)</f>
        <v>100</v>
      </c>
      <c r="BM17" s="9">
        <f>VLOOKUP($BK$1,DATA!$B$24:$C$45,2,0)</f>
        <v>0.18</v>
      </c>
      <c r="BN17" s="9">
        <f t="shared" si="14"/>
        <v>0.18</v>
      </c>
      <c r="BO17" s="84">
        <f t="shared" si="15"/>
        <v>9</v>
      </c>
      <c r="BP17" s="226" t="s">
        <v>185</v>
      </c>
      <c r="BQ17" s="227">
        <f>VLOOKUP(BP17,DATA!$B$13:$C$19,2,0)</f>
        <v>100</v>
      </c>
      <c r="BR17" s="9">
        <f>VLOOKUP($BP$1,DATA!$B$24:$C$45,2,0)</f>
        <v>0.28000000000000003</v>
      </c>
      <c r="BS17" s="9">
        <f t="shared" si="16"/>
        <v>0.28000000000000003</v>
      </c>
      <c r="BT17" s="84">
        <f t="shared" si="17"/>
        <v>14.000000000000002</v>
      </c>
      <c r="BU17" s="226" t="s">
        <v>185</v>
      </c>
      <c r="BV17" s="227">
        <f>VLOOKUP(BU17,DATA!$B$13:$C$19,2,0)</f>
        <v>100</v>
      </c>
      <c r="BW17" s="9">
        <f>VLOOKUP($BU$1,DATA!$B$24:$C$45,2,0)</f>
        <v>0.15</v>
      </c>
      <c r="BX17" s="9">
        <f t="shared" si="18"/>
        <v>0.15</v>
      </c>
      <c r="BY17" s="84">
        <f t="shared" si="19"/>
        <v>7.5</v>
      </c>
      <c r="BZ17" s="226" t="s">
        <v>185</v>
      </c>
      <c r="CA17" s="227">
        <f>VLOOKUP(BZ17,DATA!$B$13:$C$19,2,0)</f>
        <v>100</v>
      </c>
      <c r="CB17" s="9">
        <f>VLOOKUP($BZ$1,DATA!$B$24:$C$45,2,0)</f>
        <v>0.16</v>
      </c>
      <c r="CC17" s="9">
        <f t="shared" si="20"/>
        <v>0.16</v>
      </c>
      <c r="CD17" s="84">
        <f t="shared" si="21"/>
        <v>8</v>
      </c>
      <c r="CE17" s="226" t="s">
        <v>185</v>
      </c>
      <c r="CF17" s="227">
        <f>VLOOKUP(CE17,DATA!$B$13:$C$19,2,0)</f>
        <v>100</v>
      </c>
      <c r="CG17" s="9">
        <f>VLOOKUP($CE$1,DATA!$B$24:$C$45,2,0)</f>
        <v>0.13</v>
      </c>
      <c r="CH17" s="9">
        <f t="shared" si="22"/>
        <v>0.13</v>
      </c>
      <c r="CI17" s="84">
        <f t="shared" si="23"/>
        <v>6.5</v>
      </c>
      <c r="CJ17" s="226" t="s">
        <v>185</v>
      </c>
      <c r="CK17" s="227">
        <f>VLOOKUP(CJ17,DATA!$B$13:$C$19,2,0)</f>
        <v>100</v>
      </c>
      <c r="CL17" s="9">
        <f>VLOOKUP($CJ$1,DATA!$B$24:$C$45,2,0)</f>
        <v>0.01</v>
      </c>
      <c r="CM17" s="9">
        <f t="shared" si="24"/>
        <v>0.01</v>
      </c>
      <c r="CN17" s="84">
        <f t="shared" si="25"/>
        <v>0.5</v>
      </c>
      <c r="CO17" s="96">
        <f t="shared" si="26"/>
        <v>1</v>
      </c>
      <c r="CP17" s="9">
        <f>VLOOKUP($CO$1,DATA!$B$24:$C$45,2,0)</f>
        <v>0.54</v>
      </c>
      <c r="CQ17" s="9">
        <f t="shared" si="27"/>
        <v>0.54</v>
      </c>
      <c r="CR17" s="3">
        <f t="shared" si="28"/>
        <v>27</v>
      </c>
      <c r="CS17" s="129">
        <f t="shared" si="29"/>
        <v>27</v>
      </c>
      <c r="CT17" s="242">
        <f t="shared" si="30"/>
        <v>0</v>
      </c>
      <c r="CU17" s="226" t="s">
        <v>185</v>
      </c>
      <c r="CV17" s="227">
        <f>VLOOKUP(CU17,DATA!$B$13:$C$19,2,0)</f>
        <v>100</v>
      </c>
      <c r="CW17" s="9">
        <f>VLOOKUP($CU$1,DATA!$B$24:$C$45,2,0)</f>
        <v>0.02</v>
      </c>
      <c r="CX17" s="9">
        <f t="shared" si="31"/>
        <v>0.02</v>
      </c>
      <c r="CY17" s="3">
        <f t="shared" si="32"/>
        <v>1</v>
      </c>
      <c r="CZ17" s="6"/>
      <c r="DA17" s="95"/>
      <c r="DB17" s="226" t="s">
        <v>185</v>
      </c>
      <c r="DC17" s="227">
        <f>VLOOKUP(DB17,DATA!$B$13:$C$19,2,0)</f>
        <v>100</v>
      </c>
      <c r="DD17" s="9">
        <f>VLOOKUP($DB$1,DATA!$B$24:$C$45,2,0)</f>
        <v>0.01</v>
      </c>
      <c r="DE17" s="9">
        <f t="shared" si="33"/>
        <v>0.01</v>
      </c>
      <c r="DF17" s="3">
        <f t="shared" si="34"/>
        <v>0.5</v>
      </c>
      <c r="DG17" s="6"/>
      <c r="DH17" s="95"/>
      <c r="DI17" s="226" t="s">
        <v>185</v>
      </c>
      <c r="DJ17" s="227">
        <f>VLOOKUP(DI17,DATA!$B$13:$C$19,2,0)</f>
        <v>100</v>
      </c>
      <c r="DK17" s="9">
        <f>VLOOKUP($DI$1,DATA!$B$24:$C$45,2,0)</f>
        <v>0.03</v>
      </c>
      <c r="DL17" s="9">
        <f t="shared" si="35"/>
        <v>0.03</v>
      </c>
      <c r="DM17" s="84">
        <f t="shared" si="36"/>
        <v>1.5</v>
      </c>
      <c r="DN17" s="226" t="s">
        <v>185</v>
      </c>
      <c r="DO17" s="227">
        <f>VLOOKUP(DN17,DATA!$B$13:$C$19,2,0)</f>
        <v>100</v>
      </c>
      <c r="DP17" s="9">
        <f>VLOOKUP($DN$1,DATA!$B$24:$C$45,2,0)</f>
        <v>7.0000000000000007E-2</v>
      </c>
      <c r="DQ17" s="9">
        <f t="shared" si="37"/>
        <v>7.0000000000000007E-2</v>
      </c>
      <c r="DR17" s="3">
        <f t="shared" si="38"/>
        <v>3.5000000000000004</v>
      </c>
      <c r="DS17" s="6"/>
      <c r="DT17" s="95"/>
      <c r="DU17" s="226" t="s">
        <v>185</v>
      </c>
      <c r="DV17" s="227">
        <f>VLOOKUP(DU17,DATA!$B$13:$C$19,2,0)</f>
        <v>100</v>
      </c>
      <c r="DW17" s="9">
        <f>VLOOKUP($DU$1,DATA!$B$24:$C$45,2,0)</f>
        <v>0.04</v>
      </c>
      <c r="DX17" s="9">
        <f t="shared" si="39"/>
        <v>0.04</v>
      </c>
      <c r="DY17" s="3">
        <f t="shared" si="40"/>
        <v>2</v>
      </c>
      <c r="DZ17" s="6"/>
      <c r="EA17" s="95"/>
      <c r="EB17" s="226" t="s">
        <v>185</v>
      </c>
      <c r="EC17" s="227">
        <f>VLOOKUP(EB17,DATA!$B$13:$C$19,2,0)</f>
        <v>100</v>
      </c>
      <c r="ED17" s="9">
        <f>VLOOKUP($EB$1,DATA!$B$24:$C$45,2,0)</f>
        <v>0.05</v>
      </c>
      <c r="EE17" s="9">
        <f t="shared" si="41"/>
        <v>0.05</v>
      </c>
      <c r="EF17" s="3">
        <f t="shared" si="42"/>
        <v>2.5</v>
      </c>
      <c r="EG17" s="6"/>
      <c r="EH17" s="95"/>
      <c r="EI17" s="226" t="s">
        <v>185</v>
      </c>
      <c r="EJ17" s="227">
        <f>VLOOKUP(EI17,DATA!$B$13:$C$19,2,0)</f>
        <v>100</v>
      </c>
      <c r="EK17" s="9">
        <f>VLOOKUP($EI$1,DATA!$B$24:$C$45,2,0)</f>
        <v>0.1</v>
      </c>
      <c r="EL17" s="9">
        <f t="shared" si="43"/>
        <v>0.1</v>
      </c>
      <c r="EM17" s="3">
        <f t="shared" si="44"/>
        <v>5</v>
      </c>
      <c r="EN17" s="6"/>
      <c r="EO17" s="95"/>
      <c r="EP17" s="226" t="s">
        <v>185</v>
      </c>
      <c r="EQ17" s="227">
        <f>VLOOKUP(EP17,DATA!$B$13:$C$19,2,0)</f>
        <v>100</v>
      </c>
      <c r="ER17" s="9">
        <f>VLOOKUP($EP$1,DATA!$B$24:$C$45,2,0)</f>
        <v>0.03</v>
      </c>
      <c r="ES17" s="9">
        <f t="shared" si="45"/>
        <v>0.03</v>
      </c>
      <c r="ET17" s="84">
        <f t="shared" si="46"/>
        <v>1.5</v>
      </c>
      <c r="EU17" s="244">
        <f t="shared" si="47"/>
        <v>0</v>
      </c>
      <c r="EV17" s="85" t="s">
        <v>186</v>
      </c>
      <c r="EW17" s="134" t="s">
        <v>186</v>
      </c>
      <c r="EX17" s="6"/>
    </row>
    <row r="18" spans="1:154" x14ac:dyDescent="0.3">
      <c r="A18" s="3" t="s">
        <v>180</v>
      </c>
      <c r="B18" s="3" t="s">
        <v>181</v>
      </c>
      <c r="C18" s="3" t="s">
        <v>225</v>
      </c>
      <c r="D18" s="85" t="s">
        <v>232</v>
      </c>
      <c r="E18" s="85"/>
      <c r="F18" s="3">
        <v>3278</v>
      </c>
      <c r="G18" s="3" t="s">
        <v>233</v>
      </c>
      <c r="H18" s="3">
        <v>60</v>
      </c>
      <c r="I18" s="3"/>
      <c r="J18" s="229">
        <f>BaseDeDatos[[#This Row],[Budget CS]]+BaseDeDatos[[#This Row],[Change Orders Budget]]</f>
        <v>60</v>
      </c>
      <c r="K18" s="92">
        <f>IFERROR(VLOOKUP(G18, DATA!H:I, 2, FALSE), 0)+BaseDeDatos[[#This Row],[Labor Spend on Design errors]]+BaseDeDatos[[#This Row],[Labor
Spent Customer changes]]</f>
        <v>75</v>
      </c>
      <c r="L18" s="92"/>
      <c r="M18" s="92"/>
      <c r="N18" s="232">
        <f t="shared" si="0"/>
        <v>1</v>
      </c>
      <c r="O18" s="238">
        <f t="shared" si="1"/>
        <v>75</v>
      </c>
      <c r="P18" s="39">
        <v>29.7</v>
      </c>
      <c r="Q18" s="89">
        <f>BaseDeDatos[[#This Row],[Budget]]*BaseDeDatos[[#This Row],[Labor Rate from CS]]</f>
        <v>1782</v>
      </c>
      <c r="R18" s="94">
        <f>BaseDeDatos[[#This Row],[Labor
Spent]]*BaseDeDatos[[#This Row],[Labor Rate from CS]]</f>
        <v>2227.5</v>
      </c>
      <c r="S18" s="42">
        <f t="shared" si="2"/>
        <v>1.25</v>
      </c>
      <c r="T18" s="98">
        <v>190230</v>
      </c>
      <c r="U18" s="98">
        <v>3698</v>
      </c>
      <c r="V18" s="98">
        <v>3147.18</v>
      </c>
      <c r="W18" s="98">
        <v>45193.56</v>
      </c>
      <c r="X18" s="98">
        <v>45193.56</v>
      </c>
      <c r="Y18" s="98"/>
      <c r="Z18" s="98"/>
      <c r="AA18" s="39">
        <v>149464.35999999999</v>
      </c>
      <c r="AB18" s="89">
        <f t="shared" si="3"/>
        <v>102488.79999999999</v>
      </c>
      <c r="AC18" s="120">
        <f>SUM(AB18,X18,R18,BaseDeDatos[[#This Row],[Additionals cost]])</f>
        <v>153057.03999999998</v>
      </c>
      <c r="AD18" s="117">
        <v>0.28970000000000001</v>
      </c>
      <c r="AE18" s="117">
        <v>0.18110000000000001</v>
      </c>
      <c r="AF18" s="240">
        <f t="shared" si="4"/>
        <v>0.21195468643221371</v>
      </c>
      <c r="AG18" s="226"/>
      <c r="AH18" s="226" t="s">
        <v>185</v>
      </c>
      <c r="AI18" s="227">
        <f>VLOOKUP(AH18,DATA!$B$13:$C$19,2,0)</f>
        <v>100</v>
      </c>
      <c r="AJ18" s="4">
        <f>VLOOKUP($AH$1,DATA!$B$24:$C$45,2,0)</f>
        <v>0.05</v>
      </c>
      <c r="AK18" s="3">
        <f>BaseDeDatos[[#This Row],[Read info
Status]]*(AJ18)/100</f>
        <v>0.05</v>
      </c>
      <c r="AL18" s="84">
        <f t="shared" si="5"/>
        <v>3</v>
      </c>
      <c r="AM18" s="226" t="s">
        <v>185</v>
      </c>
      <c r="AN18" s="227">
        <f>VLOOKUP(AM18,DATA!$B$13:$C$19,2,0)</f>
        <v>100</v>
      </c>
      <c r="AO18" s="9">
        <f>VLOOKUP($AM$1,DATA!$B$24:$C$45,2,0)</f>
        <v>0.05</v>
      </c>
      <c r="AP18" s="9">
        <f t="shared" si="6"/>
        <v>0.05</v>
      </c>
      <c r="AQ18" s="3">
        <f t="shared" si="7"/>
        <v>3</v>
      </c>
      <c r="AR18" s="6"/>
      <c r="AS18" s="95"/>
      <c r="AT18" s="226" t="s">
        <v>185</v>
      </c>
      <c r="AU18" s="227">
        <f>VLOOKUP(AT18,DATA!$B$13:$C$19,2,0)</f>
        <v>100</v>
      </c>
      <c r="AV18" s="9">
        <f>VLOOKUP($AT$1,DATA!$B$24:$C$45,2,0)</f>
        <v>0.01</v>
      </c>
      <c r="AW18" s="9">
        <f t="shared" si="8"/>
        <v>0.01</v>
      </c>
      <c r="AX18" s="3">
        <f t="shared" si="9"/>
        <v>0.6</v>
      </c>
      <c r="AY18" s="6"/>
      <c r="AZ18" s="95"/>
      <c r="BA18" s="226" t="s">
        <v>185</v>
      </c>
      <c r="BB18" s="227">
        <f>VLOOKUP(BA18,DATA!$B$13:$C$19,2,0)</f>
        <v>100</v>
      </c>
      <c r="BC18" s="9">
        <f>VLOOKUP($BA$1,DATA!$B$24:$C$45,2,0)</f>
        <v>0.01</v>
      </c>
      <c r="BD18" s="9">
        <f t="shared" si="10"/>
        <v>0.01</v>
      </c>
      <c r="BE18" s="84">
        <f t="shared" si="11"/>
        <v>0.6</v>
      </c>
      <c r="BF18" s="226" t="s">
        <v>185</v>
      </c>
      <c r="BG18" s="227">
        <f>VLOOKUP(BF18,DATA!$B$13:$C$19,2,0)</f>
        <v>100</v>
      </c>
      <c r="BH18" s="9">
        <f>VLOOKUP($BF$1,DATA!$B$24:$C$45,2,0)</f>
        <v>0.08</v>
      </c>
      <c r="BI18" s="9">
        <f t="shared" si="12"/>
        <v>0.08</v>
      </c>
      <c r="BJ18" s="84">
        <f t="shared" si="13"/>
        <v>4.8</v>
      </c>
      <c r="BK18" s="226" t="s">
        <v>185</v>
      </c>
      <c r="BL18" s="227">
        <f>VLOOKUP(BK18,DATA!$B$13:$C$19,2,0)</f>
        <v>100</v>
      </c>
      <c r="BM18" s="9">
        <f>VLOOKUP($BK$1,DATA!$B$24:$C$45,2,0)</f>
        <v>0.18</v>
      </c>
      <c r="BN18" s="9">
        <f t="shared" si="14"/>
        <v>0.18</v>
      </c>
      <c r="BO18" s="84">
        <f t="shared" si="15"/>
        <v>10.799999999999999</v>
      </c>
      <c r="BP18" s="226" t="s">
        <v>185</v>
      </c>
      <c r="BQ18" s="227">
        <f>VLOOKUP(BP18,DATA!$B$13:$C$19,2,0)</f>
        <v>100</v>
      </c>
      <c r="BR18" s="9">
        <f>VLOOKUP($BP$1,DATA!$B$24:$C$45,2,0)</f>
        <v>0.28000000000000003</v>
      </c>
      <c r="BS18" s="9">
        <f t="shared" si="16"/>
        <v>0.28000000000000003</v>
      </c>
      <c r="BT18" s="84">
        <f t="shared" si="17"/>
        <v>16.8</v>
      </c>
      <c r="BU18" s="226" t="s">
        <v>185</v>
      </c>
      <c r="BV18" s="227">
        <f>VLOOKUP(BU18,DATA!$B$13:$C$19,2,0)</f>
        <v>100</v>
      </c>
      <c r="BW18" s="9">
        <f>VLOOKUP($BU$1,DATA!$B$24:$C$45,2,0)</f>
        <v>0.15</v>
      </c>
      <c r="BX18" s="9">
        <f t="shared" si="18"/>
        <v>0.15</v>
      </c>
      <c r="BY18" s="84">
        <f t="shared" si="19"/>
        <v>9</v>
      </c>
      <c r="BZ18" s="226" t="s">
        <v>185</v>
      </c>
      <c r="CA18" s="227">
        <f>VLOOKUP(BZ18,DATA!$B$13:$C$19,2,0)</f>
        <v>100</v>
      </c>
      <c r="CB18" s="9">
        <f>VLOOKUP($BZ$1,DATA!$B$24:$C$45,2,0)</f>
        <v>0.16</v>
      </c>
      <c r="CC18" s="9">
        <f t="shared" si="20"/>
        <v>0.16</v>
      </c>
      <c r="CD18" s="84">
        <f t="shared" si="21"/>
        <v>9.6</v>
      </c>
      <c r="CE18" s="226" t="s">
        <v>185</v>
      </c>
      <c r="CF18" s="227">
        <f>VLOOKUP(CE18,DATA!$B$13:$C$19,2,0)</f>
        <v>100</v>
      </c>
      <c r="CG18" s="9">
        <f>VLOOKUP($CE$1,DATA!$B$24:$C$45,2,0)</f>
        <v>0.13</v>
      </c>
      <c r="CH18" s="9">
        <f t="shared" si="22"/>
        <v>0.13</v>
      </c>
      <c r="CI18" s="84">
        <f t="shared" si="23"/>
        <v>7.8000000000000007</v>
      </c>
      <c r="CJ18" s="226" t="s">
        <v>185</v>
      </c>
      <c r="CK18" s="227">
        <f>VLOOKUP(CJ18,DATA!$B$13:$C$19,2,0)</f>
        <v>100</v>
      </c>
      <c r="CL18" s="9">
        <f>VLOOKUP($CJ$1,DATA!$B$24:$C$45,2,0)</f>
        <v>0.01</v>
      </c>
      <c r="CM18" s="9">
        <f t="shared" si="24"/>
        <v>0.01</v>
      </c>
      <c r="CN18" s="84">
        <f t="shared" si="25"/>
        <v>0.6</v>
      </c>
      <c r="CO18" s="96">
        <f t="shared" si="26"/>
        <v>1</v>
      </c>
      <c r="CP18" s="9">
        <f>VLOOKUP($CO$1,DATA!$B$24:$C$45,2,0)</f>
        <v>0.54</v>
      </c>
      <c r="CQ18" s="9">
        <f t="shared" si="27"/>
        <v>0.54</v>
      </c>
      <c r="CR18" s="3">
        <f t="shared" si="28"/>
        <v>32.400000000000006</v>
      </c>
      <c r="CS18" s="129">
        <f t="shared" si="29"/>
        <v>32.400000000000006</v>
      </c>
      <c r="CT18" s="242">
        <f t="shared" si="30"/>
        <v>0</v>
      </c>
      <c r="CU18" s="226" t="s">
        <v>185</v>
      </c>
      <c r="CV18" s="227">
        <f>VLOOKUP(CU18,DATA!$B$13:$C$19,2,0)</f>
        <v>100</v>
      </c>
      <c r="CW18" s="9">
        <f>VLOOKUP($CU$1,DATA!$B$24:$C$45,2,0)</f>
        <v>0.02</v>
      </c>
      <c r="CX18" s="9">
        <f t="shared" si="31"/>
        <v>0.02</v>
      </c>
      <c r="CY18" s="3">
        <f t="shared" si="32"/>
        <v>1.2</v>
      </c>
      <c r="CZ18" s="6"/>
      <c r="DA18" s="95"/>
      <c r="DB18" s="226" t="s">
        <v>185</v>
      </c>
      <c r="DC18" s="227">
        <f>VLOOKUP(DB18,DATA!$B$13:$C$19,2,0)</f>
        <v>100</v>
      </c>
      <c r="DD18" s="9">
        <f>VLOOKUP($DB$1,DATA!$B$24:$C$45,2,0)</f>
        <v>0.01</v>
      </c>
      <c r="DE18" s="9">
        <f t="shared" si="33"/>
        <v>0.01</v>
      </c>
      <c r="DF18" s="3">
        <f t="shared" si="34"/>
        <v>0.6</v>
      </c>
      <c r="DG18" s="6"/>
      <c r="DH18" s="95"/>
      <c r="DI18" s="226" t="s">
        <v>185</v>
      </c>
      <c r="DJ18" s="227">
        <f>VLOOKUP(DI18,DATA!$B$13:$C$19,2,0)</f>
        <v>100</v>
      </c>
      <c r="DK18" s="9">
        <f>VLOOKUP($DI$1,DATA!$B$24:$C$45,2,0)</f>
        <v>0.03</v>
      </c>
      <c r="DL18" s="9">
        <f t="shared" si="35"/>
        <v>0.03</v>
      </c>
      <c r="DM18" s="84">
        <f t="shared" si="36"/>
        <v>1.7999999999999998</v>
      </c>
      <c r="DN18" s="226" t="s">
        <v>185</v>
      </c>
      <c r="DO18" s="227">
        <f>VLOOKUP(DN18,DATA!$B$13:$C$19,2,0)</f>
        <v>100</v>
      </c>
      <c r="DP18" s="9">
        <f>VLOOKUP($DN$1,DATA!$B$24:$C$45,2,0)</f>
        <v>7.0000000000000007E-2</v>
      </c>
      <c r="DQ18" s="9">
        <f t="shared" si="37"/>
        <v>7.0000000000000007E-2</v>
      </c>
      <c r="DR18" s="3">
        <f t="shared" si="38"/>
        <v>4.2</v>
      </c>
      <c r="DS18" s="6"/>
      <c r="DT18" s="95"/>
      <c r="DU18" s="226" t="s">
        <v>185</v>
      </c>
      <c r="DV18" s="227">
        <f>VLOOKUP(DU18,DATA!$B$13:$C$19,2,0)</f>
        <v>100</v>
      </c>
      <c r="DW18" s="9">
        <f>VLOOKUP($DU$1,DATA!$B$24:$C$45,2,0)</f>
        <v>0.04</v>
      </c>
      <c r="DX18" s="9">
        <f t="shared" si="39"/>
        <v>0.04</v>
      </c>
      <c r="DY18" s="3">
        <f t="shared" si="40"/>
        <v>2.4</v>
      </c>
      <c r="DZ18" s="6"/>
      <c r="EA18" s="95"/>
      <c r="EB18" s="226" t="s">
        <v>185</v>
      </c>
      <c r="EC18" s="227">
        <f>VLOOKUP(EB18,DATA!$B$13:$C$19,2,0)</f>
        <v>100</v>
      </c>
      <c r="ED18" s="9">
        <f>VLOOKUP($EB$1,DATA!$B$24:$C$45,2,0)</f>
        <v>0.05</v>
      </c>
      <c r="EE18" s="9">
        <f t="shared" si="41"/>
        <v>0.05</v>
      </c>
      <c r="EF18" s="3">
        <f t="shared" si="42"/>
        <v>3</v>
      </c>
      <c r="EG18" s="6"/>
      <c r="EH18" s="95"/>
      <c r="EI18" s="226" t="s">
        <v>185</v>
      </c>
      <c r="EJ18" s="227">
        <f>VLOOKUP(EI18,DATA!$B$13:$C$19,2,0)</f>
        <v>100</v>
      </c>
      <c r="EK18" s="9">
        <f>VLOOKUP($EI$1,DATA!$B$24:$C$45,2,0)</f>
        <v>0.1</v>
      </c>
      <c r="EL18" s="9">
        <f t="shared" si="43"/>
        <v>0.1</v>
      </c>
      <c r="EM18" s="3">
        <f t="shared" si="44"/>
        <v>6</v>
      </c>
      <c r="EN18" s="6"/>
      <c r="EO18" s="95"/>
      <c r="EP18" s="226" t="s">
        <v>185</v>
      </c>
      <c r="EQ18" s="227">
        <f>VLOOKUP(EP18,DATA!$B$13:$C$19,2,0)</f>
        <v>100</v>
      </c>
      <c r="ER18" s="9">
        <f>VLOOKUP($EP$1,DATA!$B$24:$C$45,2,0)</f>
        <v>0.03</v>
      </c>
      <c r="ES18" s="9">
        <f t="shared" si="45"/>
        <v>0.03</v>
      </c>
      <c r="ET18" s="84">
        <f t="shared" si="46"/>
        <v>1.7999999999999998</v>
      </c>
      <c r="EU18" s="244">
        <f t="shared" si="47"/>
        <v>0</v>
      </c>
      <c r="EV18" s="85" t="s">
        <v>186</v>
      </c>
      <c r="EW18" s="134" t="s">
        <v>186</v>
      </c>
      <c r="EX18" s="6"/>
    </row>
    <row r="19" spans="1:154" x14ac:dyDescent="0.3">
      <c r="A19" s="3" t="s">
        <v>180</v>
      </c>
      <c r="B19" s="3" t="s">
        <v>194</v>
      </c>
      <c r="C19" s="3" t="s">
        <v>182</v>
      </c>
      <c r="D19" s="85" t="s">
        <v>234</v>
      </c>
      <c r="E19" s="85" t="s">
        <v>235</v>
      </c>
      <c r="F19" s="3">
        <v>3297</v>
      </c>
      <c r="G19" s="3" t="s">
        <v>236</v>
      </c>
      <c r="H19" s="3">
        <v>60</v>
      </c>
      <c r="I19" s="3"/>
      <c r="J19" s="229">
        <f>BaseDeDatos[[#This Row],[Budget CS]]+BaseDeDatos[[#This Row],[Change Orders Budget]]</f>
        <v>60</v>
      </c>
      <c r="K19" s="92">
        <f>IFERROR(VLOOKUP(G19, DATA!H:I, 2, FALSE), 0)+BaseDeDatos[[#This Row],[Labor Spend on Design errors]]+BaseDeDatos[[#This Row],[Labor
Spent Customer changes]]</f>
        <v>9</v>
      </c>
      <c r="L19" s="92"/>
      <c r="M19" s="92"/>
      <c r="N19" s="232">
        <f t="shared" si="0"/>
        <v>0.37400000000000005</v>
      </c>
      <c r="O19" s="238">
        <f t="shared" si="1"/>
        <v>9</v>
      </c>
      <c r="P19" s="39">
        <v>29.7</v>
      </c>
      <c r="Q19" s="89">
        <f>BaseDeDatos[[#This Row],[Budget]]*BaseDeDatos[[#This Row],[Labor Rate from CS]]</f>
        <v>1782</v>
      </c>
      <c r="R19" s="94">
        <f>BaseDeDatos[[#This Row],[Labor
Spent]]*BaseDeDatos[[#This Row],[Labor Rate from CS]]</f>
        <v>267.3</v>
      </c>
      <c r="S19" s="42">
        <f t="shared" si="2"/>
        <v>0.15</v>
      </c>
      <c r="T19" s="98">
        <v>136797</v>
      </c>
      <c r="U19" s="98">
        <v>14706.66</v>
      </c>
      <c r="V19" s="39">
        <v>12259.64</v>
      </c>
      <c r="W19" s="98">
        <v>35639.11</v>
      </c>
      <c r="X19" s="98">
        <v>35639.11</v>
      </c>
      <c r="Y19" s="39"/>
      <c r="Z19" s="39"/>
      <c r="AA19" s="98">
        <v>112384.96000000001</v>
      </c>
      <c r="AB19" s="89">
        <f t="shared" si="3"/>
        <v>74963.850000000006</v>
      </c>
      <c r="AC19" s="175">
        <f>SUM(AB19,X19,R19,BaseDeDatos[[#This Row],[Additionals cost]])</f>
        <v>123129.90000000001</v>
      </c>
      <c r="AD19" s="117">
        <v>0.17849999999999999</v>
      </c>
      <c r="AE19" s="117">
        <v>0.18210000000000001</v>
      </c>
      <c r="AF19" s="241">
        <f t="shared" si="4"/>
        <v>0.18952710951263543</v>
      </c>
      <c r="AG19" s="226"/>
      <c r="AH19" s="226" t="s">
        <v>185</v>
      </c>
      <c r="AI19" s="227">
        <f>VLOOKUP(AH19,DATA!$B$13:$C$19,2,0)</f>
        <v>100</v>
      </c>
      <c r="AJ19" s="5"/>
      <c r="AK19" s="3">
        <f>BaseDeDatos[[#This Row],[Read info
Status]]*(AJ19)/100</f>
        <v>0</v>
      </c>
      <c r="AL19" s="84">
        <f t="shared" si="5"/>
        <v>0</v>
      </c>
      <c r="AM19" s="226" t="s">
        <v>185</v>
      </c>
      <c r="AN19" s="227">
        <f>VLOOKUP(AM19,DATA!$B$13:$C$19,2,0)</f>
        <v>100</v>
      </c>
      <c r="AO19" s="9">
        <f>VLOOKUP($AM$1,DATA!$B$24:$C$45,2,0)</f>
        <v>0.05</v>
      </c>
      <c r="AP19" s="9">
        <f t="shared" si="6"/>
        <v>0.05</v>
      </c>
      <c r="AQ19" s="3">
        <f t="shared" si="7"/>
        <v>3</v>
      </c>
      <c r="AR19" s="6">
        <v>46044</v>
      </c>
      <c r="AS19" s="95"/>
      <c r="AT19" s="226" t="s">
        <v>193</v>
      </c>
      <c r="AU19" s="227">
        <f>VLOOKUP(AT19,DATA!$B$13:$C$19,2,0)</f>
        <v>0</v>
      </c>
      <c r="AV19" s="9">
        <f>VLOOKUP($AT$1,DATA!$B$24:$C$45,2,0)</f>
        <v>0.01</v>
      </c>
      <c r="AW19" s="9">
        <f t="shared" si="8"/>
        <v>0</v>
      </c>
      <c r="AX19" s="3">
        <f t="shared" si="9"/>
        <v>0.6</v>
      </c>
      <c r="AY19" s="6">
        <v>46083</v>
      </c>
      <c r="AZ19" s="95"/>
      <c r="BA19" s="226" t="s">
        <v>220</v>
      </c>
      <c r="BB19" s="227">
        <f>VLOOKUP(BA19,DATA!$B$13:$C$19,2,0)</f>
        <v>50</v>
      </c>
      <c r="BC19" s="9">
        <f>VLOOKUP($BA$1,DATA!$B$24:$C$45,2,0)</f>
        <v>0.01</v>
      </c>
      <c r="BD19" s="9">
        <f t="shared" si="10"/>
        <v>5.0000000000000001E-3</v>
      </c>
      <c r="BE19" s="84">
        <f t="shared" si="11"/>
        <v>0.6</v>
      </c>
      <c r="BF19" s="226" t="s">
        <v>220</v>
      </c>
      <c r="BG19" s="227">
        <f>VLOOKUP(BF19,DATA!$B$13:$C$19,2,0)</f>
        <v>50</v>
      </c>
      <c r="BH19" s="9">
        <f>VLOOKUP($BF$1,DATA!$B$24:$C$45,2,0)</f>
        <v>0.08</v>
      </c>
      <c r="BI19" s="9">
        <f t="shared" si="12"/>
        <v>0.04</v>
      </c>
      <c r="BJ19" s="84">
        <f t="shared" si="13"/>
        <v>4.8</v>
      </c>
      <c r="BK19" s="226" t="s">
        <v>220</v>
      </c>
      <c r="BL19" s="227">
        <f>VLOOKUP(BK19,DATA!$B$13:$C$19,2,0)</f>
        <v>50</v>
      </c>
      <c r="BM19" s="9">
        <f>VLOOKUP($BK$1,DATA!$B$24:$C$45,2,0)</f>
        <v>0.18</v>
      </c>
      <c r="BN19" s="9">
        <f t="shared" si="14"/>
        <v>0.09</v>
      </c>
      <c r="BO19" s="84">
        <f t="shared" si="15"/>
        <v>10.799999999999999</v>
      </c>
      <c r="BP19" s="226" t="s">
        <v>220</v>
      </c>
      <c r="BQ19" s="227">
        <f>VLOOKUP(BP19,DATA!$B$13:$C$19,2,0)</f>
        <v>50</v>
      </c>
      <c r="BR19" s="9">
        <f>VLOOKUP($BP$1,DATA!$B$24:$C$45,2,0)</f>
        <v>0.28000000000000003</v>
      </c>
      <c r="BS19" s="9">
        <f t="shared" si="16"/>
        <v>0.14000000000000001</v>
      </c>
      <c r="BT19" s="84">
        <f t="shared" si="17"/>
        <v>16.8</v>
      </c>
      <c r="BU19" s="226" t="s">
        <v>220</v>
      </c>
      <c r="BV19" s="227">
        <f>VLOOKUP(BU19,DATA!$B$13:$C$19,2,0)</f>
        <v>50</v>
      </c>
      <c r="BW19" s="9">
        <f>VLOOKUP($BU$1,DATA!$B$24:$C$45,2,0)</f>
        <v>0.15</v>
      </c>
      <c r="BX19" s="9">
        <f t="shared" si="18"/>
        <v>7.4999999999999997E-2</v>
      </c>
      <c r="BY19" s="84">
        <f t="shared" si="19"/>
        <v>9</v>
      </c>
      <c r="BZ19" s="226" t="s">
        <v>220</v>
      </c>
      <c r="CA19" s="227">
        <f>VLOOKUP(BZ19,DATA!$B$13:$C$19,2,0)</f>
        <v>50</v>
      </c>
      <c r="CB19" s="9">
        <f>VLOOKUP($BZ$1,DATA!$B$24:$C$45,2,0)</f>
        <v>0.16</v>
      </c>
      <c r="CC19" s="9">
        <f t="shared" si="20"/>
        <v>0.08</v>
      </c>
      <c r="CD19" s="84">
        <f t="shared" si="21"/>
        <v>9.6</v>
      </c>
      <c r="CE19" s="226" t="s">
        <v>220</v>
      </c>
      <c r="CF19" s="227">
        <f>VLOOKUP(CE19,DATA!$B$13:$C$19,2,0)</f>
        <v>50</v>
      </c>
      <c r="CG19" s="9">
        <f>VLOOKUP($CE$1,DATA!$B$24:$C$45,2,0)</f>
        <v>0.13</v>
      </c>
      <c r="CH19" s="9">
        <f t="shared" si="22"/>
        <v>6.5000000000000002E-2</v>
      </c>
      <c r="CI19" s="84">
        <f t="shared" si="23"/>
        <v>7.8000000000000007</v>
      </c>
      <c r="CJ19" s="226" t="s">
        <v>220</v>
      </c>
      <c r="CK19" s="227">
        <f>VLOOKUP(CJ19,DATA!$B$13:$C$19,2,0)</f>
        <v>50</v>
      </c>
      <c r="CL19" s="9">
        <f>VLOOKUP($CJ$1,DATA!$B$24:$C$45,2,0)</f>
        <v>0.01</v>
      </c>
      <c r="CM19" s="9">
        <f t="shared" si="24"/>
        <v>5.0000000000000001E-3</v>
      </c>
      <c r="CN19" s="84">
        <f t="shared" si="25"/>
        <v>0.6</v>
      </c>
      <c r="CO19" s="96">
        <f t="shared" si="26"/>
        <v>0.5</v>
      </c>
      <c r="CP19" s="9">
        <f>VLOOKUP($CO$1,DATA!$B$24:$C$45,2,0)</f>
        <v>0.54</v>
      </c>
      <c r="CQ19" s="9">
        <f t="shared" si="27"/>
        <v>0.27</v>
      </c>
      <c r="CR19" s="3">
        <f t="shared" si="28"/>
        <v>32.400000000000006</v>
      </c>
      <c r="CS19" s="7">
        <f t="shared" si="29"/>
        <v>16.200000000000003</v>
      </c>
      <c r="CT19" s="243">
        <f t="shared" si="30"/>
        <v>16.200000000000003</v>
      </c>
      <c r="CU19" s="226" t="s">
        <v>237</v>
      </c>
      <c r="CV19" s="227">
        <f>VLOOKUP(CU19,DATA!$B$13:$C$19,2,0)</f>
        <v>25</v>
      </c>
      <c r="CW19" s="9">
        <f>VLOOKUP($CU$1,DATA!$B$24:$C$45,2,0)</f>
        <v>0.02</v>
      </c>
      <c r="CX19" s="9">
        <f t="shared" si="31"/>
        <v>5.0000000000000001E-3</v>
      </c>
      <c r="CY19" s="3">
        <f t="shared" si="32"/>
        <v>1.2</v>
      </c>
      <c r="CZ19" s="6">
        <v>46094</v>
      </c>
      <c r="DA19" s="95"/>
      <c r="DB19" s="226" t="s">
        <v>238</v>
      </c>
      <c r="DC19" s="227">
        <f>VLOOKUP(DB19,DATA!$B$13:$C$19,2,0)</f>
        <v>90</v>
      </c>
      <c r="DD19" s="9">
        <f>VLOOKUP($DB$1,DATA!$B$24:$C$45,2,0)</f>
        <v>0.01</v>
      </c>
      <c r="DE19" s="9">
        <f t="shared" si="33"/>
        <v>9.0000000000000011E-3</v>
      </c>
      <c r="DF19" s="3">
        <f t="shared" si="34"/>
        <v>0.6</v>
      </c>
      <c r="DG19" s="6">
        <v>46098</v>
      </c>
      <c r="DH19" s="95"/>
      <c r="DI19" s="226" t="s">
        <v>201</v>
      </c>
      <c r="DJ19" s="227">
        <f>VLOOKUP(DI19,DATA!$B$13:$C$19,2,0)</f>
        <v>75</v>
      </c>
      <c r="DK19" s="9">
        <f>VLOOKUP($DI$1,DATA!$B$24:$C$45,2,0)</f>
        <v>0.03</v>
      </c>
      <c r="DL19" s="9">
        <f t="shared" si="35"/>
        <v>2.2499999999999999E-2</v>
      </c>
      <c r="DM19" s="84">
        <f t="shared" si="36"/>
        <v>1.7999999999999998</v>
      </c>
      <c r="DN19" s="226" t="s">
        <v>237</v>
      </c>
      <c r="DO19" s="227">
        <f>VLOOKUP(DN19,DATA!$B$13:$C$19,2,0)</f>
        <v>25</v>
      </c>
      <c r="DP19" s="9">
        <f>VLOOKUP($DN$1,DATA!$B$24:$C$45,2,0)</f>
        <v>7.0000000000000007E-2</v>
      </c>
      <c r="DQ19" s="9">
        <f t="shared" si="37"/>
        <v>1.7500000000000002E-2</v>
      </c>
      <c r="DR19" s="3">
        <f t="shared" si="38"/>
        <v>4.2</v>
      </c>
      <c r="DS19" s="6">
        <v>46099</v>
      </c>
      <c r="DT19" s="95"/>
      <c r="DU19" s="226" t="s">
        <v>193</v>
      </c>
      <c r="DV19" s="227">
        <f>VLOOKUP(DU19,DATA!$B$13:$C$19,2,0)</f>
        <v>0</v>
      </c>
      <c r="DW19" s="9">
        <f>VLOOKUP($DU$1,DATA!$B$24:$C$45,2,0)</f>
        <v>0.04</v>
      </c>
      <c r="DX19" s="9">
        <f t="shared" si="39"/>
        <v>0</v>
      </c>
      <c r="DY19" s="3">
        <f t="shared" si="40"/>
        <v>2.4</v>
      </c>
      <c r="DZ19" s="6">
        <v>46101</v>
      </c>
      <c r="EA19" s="95"/>
      <c r="EB19" s="226" t="s">
        <v>193</v>
      </c>
      <c r="EC19" s="227">
        <f>VLOOKUP(EB19,DATA!$B$13:$C$19,2,0)</f>
        <v>0</v>
      </c>
      <c r="ED19" s="9">
        <f>VLOOKUP($EB$1,DATA!$B$24:$C$45,2,0)</f>
        <v>0.05</v>
      </c>
      <c r="EE19" s="9">
        <f t="shared" si="41"/>
        <v>0</v>
      </c>
      <c r="EF19" s="3">
        <f t="shared" si="42"/>
        <v>3</v>
      </c>
      <c r="EG19" s="6">
        <v>46122</v>
      </c>
      <c r="EH19" s="95"/>
      <c r="EI19" s="226" t="s">
        <v>193</v>
      </c>
      <c r="EJ19" s="227">
        <f>VLOOKUP(EI19,DATA!$B$13:$C$19,2,0)</f>
        <v>0</v>
      </c>
      <c r="EK19" s="9">
        <f>VLOOKUP($EI$1,DATA!$B$24:$C$45,2,0)</f>
        <v>0.1</v>
      </c>
      <c r="EL19" s="9">
        <f t="shared" si="43"/>
        <v>0</v>
      </c>
      <c r="EM19" s="3">
        <f t="shared" si="44"/>
        <v>6</v>
      </c>
      <c r="EN19" s="6">
        <v>46104</v>
      </c>
      <c r="EO19" s="95"/>
      <c r="EP19" s="226" t="s">
        <v>193</v>
      </c>
      <c r="EQ19" s="227">
        <f>VLOOKUP(EP19,DATA!$B$13:$C$19,2,0)</f>
        <v>0</v>
      </c>
      <c r="ER19" s="9">
        <f>VLOOKUP($EP$1,DATA!$B$24:$C$45,2,0)</f>
        <v>0.03</v>
      </c>
      <c r="ES19" s="9">
        <f t="shared" si="45"/>
        <v>0</v>
      </c>
      <c r="ET19" s="84">
        <f t="shared" si="46"/>
        <v>1.7999999999999998</v>
      </c>
      <c r="EU19" s="245">
        <f t="shared" si="47"/>
        <v>37.799999999999997</v>
      </c>
      <c r="EV19" s="85" t="s">
        <v>186</v>
      </c>
      <c r="EW19" s="134" t="s">
        <v>239</v>
      </c>
      <c r="EX19" s="6"/>
    </row>
    <row r="20" spans="1:154" x14ac:dyDescent="0.3">
      <c r="A20" s="3" t="s">
        <v>180</v>
      </c>
      <c r="B20" s="3" t="s">
        <v>194</v>
      </c>
      <c r="C20" s="3" t="s">
        <v>182</v>
      </c>
      <c r="D20" s="85" t="s">
        <v>240</v>
      </c>
      <c r="E20" s="85" t="s">
        <v>235</v>
      </c>
      <c r="F20" s="3">
        <v>3297</v>
      </c>
      <c r="G20" s="3" t="s">
        <v>241</v>
      </c>
      <c r="H20" s="3">
        <v>120</v>
      </c>
      <c r="I20" s="3"/>
      <c r="J20" s="229">
        <f>BaseDeDatos[[#This Row],[Budget CS]]+BaseDeDatos[[#This Row],[Change Orders Budget]]</f>
        <v>120</v>
      </c>
      <c r="K20" s="92">
        <f>IFERROR(VLOOKUP(G20, DATA!H:I, 2, FALSE), 0)+BaseDeDatos[[#This Row],[Labor Spend on Design errors]]+BaseDeDatos[[#This Row],[Labor
Spent Customer changes]]</f>
        <v>77.5</v>
      </c>
      <c r="L20" s="92"/>
      <c r="M20" s="92"/>
      <c r="N20" s="232">
        <f t="shared" si="0"/>
        <v>0.81890000000000018</v>
      </c>
      <c r="O20" s="238">
        <f t="shared" si="1"/>
        <v>77.5</v>
      </c>
      <c r="P20" s="39">
        <v>29.7</v>
      </c>
      <c r="Q20" s="89">
        <f>BaseDeDatos[[#This Row],[Budget]]*BaseDeDatos[[#This Row],[Labor Rate from CS]]</f>
        <v>3564</v>
      </c>
      <c r="R20" s="94">
        <f>BaseDeDatos[[#This Row],[Labor
Spent]]*BaseDeDatos[[#This Row],[Labor Rate from CS]]</f>
        <v>2301.75</v>
      </c>
      <c r="S20" s="42">
        <f t="shared" si="2"/>
        <v>0.64583333333333337</v>
      </c>
      <c r="T20" s="98">
        <v>203035</v>
      </c>
      <c r="U20" s="98">
        <v>14706.66</v>
      </c>
      <c r="V20" s="39">
        <v>12259.64</v>
      </c>
      <c r="W20" s="98">
        <v>52586.21</v>
      </c>
      <c r="X20" s="98">
        <v>52586.21</v>
      </c>
      <c r="Y20" s="39"/>
      <c r="Z20" s="39"/>
      <c r="AA20" s="98">
        <v>165616.76999999999</v>
      </c>
      <c r="AB20" s="89">
        <f t="shared" si="3"/>
        <v>109466.56</v>
      </c>
      <c r="AC20" s="175">
        <f>SUM(AB20,X20,R20,BaseDeDatos[[#This Row],[Additionals cost]])</f>
        <v>176614.15999999997</v>
      </c>
      <c r="AD20" s="117">
        <v>0.18429999999999999</v>
      </c>
      <c r="AE20" s="117">
        <v>0.18210000000000001</v>
      </c>
      <c r="AF20" s="241">
        <f t="shared" si="4"/>
        <v>0.190511389661881</v>
      </c>
      <c r="AG20" s="226"/>
      <c r="AH20" s="226" t="s">
        <v>185</v>
      </c>
      <c r="AI20" s="227">
        <f>VLOOKUP(AH20,DATA!$B$13:$C$19,2,0)</f>
        <v>100</v>
      </c>
      <c r="AJ20" s="5"/>
      <c r="AK20" s="3">
        <f>BaseDeDatos[[#This Row],[Read info
Status]]*(AJ20)/100</f>
        <v>0</v>
      </c>
      <c r="AL20" s="84">
        <f t="shared" si="5"/>
        <v>0</v>
      </c>
      <c r="AM20" s="226" t="s">
        <v>185</v>
      </c>
      <c r="AN20" s="227">
        <f>VLOOKUP(AM20,DATA!$B$13:$C$19,2,0)</f>
        <v>100</v>
      </c>
      <c r="AO20" s="9">
        <f>VLOOKUP($AM$1,DATA!$B$24:$C$45,2,0)</f>
        <v>0.05</v>
      </c>
      <c r="AP20" s="9">
        <f t="shared" si="6"/>
        <v>0.05</v>
      </c>
      <c r="AQ20" s="3">
        <f t="shared" si="7"/>
        <v>6</v>
      </c>
      <c r="AR20" s="6">
        <v>46044</v>
      </c>
      <c r="AS20" s="95"/>
      <c r="AT20" s="226" t="s">
        <v>185</v>
      </c>
      <c r="AU20" s="227">
        <f>VLOOKUP(AT20,DATA!$B$13:$C$19,2,0)</f>
        <v>100</v>
      </c>
      <c r="AV20" s="9">
        <f>VLOOKUP($AT$1,DATA!$B$24:$C$45,2,0)</f>
        <v>0.01</v>
      </c>
      <c r="AW20" s="9">
        <f t="shared" si="8"/>
        <v>0.01</v>
      </c>
      <c r="AX20" s="3">
        <f t="shared" si="9"/>
        <v>1.2</v>
      </c>
      <c r="AY20" s="6">
        <v>46083</v>
      </c>
      <c r="AZ20" s="95"/>
      <c r="BA20" s="226" t="s">
        <v>185</v>
      </c>
      <c r="BB20" s="227">
        <f>VLOOKUP(BA20,DATA!$B$13:$C$19,2,0)</f>
        <v>100</v>
      </c>
      <c r="BC20" s="9">
        <f>VLOOKUP($BA$1,DATA!$B$24:$C$45,2,0)</f>
        <v>0.01</v>
      </c>
      <c r="BD20" s="9">
        <f t="shared" si="10"/>
        <v>0.01</v>
      </c>
      <c r="BE20" s="84">
        <f t="shared" si="11"/>
        <v>1.2</v>
      </c>
      <c r="BF20" s="226" t="s">
        <v>185</v>
      </c>
      <c r="BG20" s="227">
        <f>VLOOKUP(BF20,DATA!$B$13:$C$19,2,0)</f>
        <v>100</v>
      </c>
      <c r="BH20" s="9">
        <f>VLOOKUP($BF$1,DATA!$B$24:$C$45,2,0)</f>
        <v>0.08</v>
      </c>
      <c r="BI20" s="9">
        <f t="shared" si="12"/>
        <v>0.08</v>
      </c>
      <c r="BJ20" s="84">
        <f t="shared" si="13"/>
        <v>9.6</v>
      </c>
      <c r="BK20" s="226" t="s">
        <v>185</v>
      </c>
      <c r="BL20" s="227">
        <f>VLOOKUP(BK20,DATA!$B$13:$C$19,2,0)</f>
        <v>100</v>
      </c>
      <c r="BM20" s="9">
        <f>VLOOKUP($BK$1,DATA!$B$24:$C$45,2,0)</f>
        <v>0.18</v>
      </c>
      <c r="BN20" s="9">
        <f t="shared" si="14"/>
        <v>0.18</v>
      </c>
      <c r="BO20" s="84">
        <f t="shared" si="15"/>
        <v>21.599999999999998</v>
      </c>
      <c r="BP20" s="226" t="s">
        <v>185</v>
      </c>
      <c r="BQ20" s="227">
        <f>VLOOKUP(BP20,DATA!$B$13:$C$19,2,0)</f>
        <v>100</v>
      </c>
      <c r="BR20" s="9">
        <f>VLOOKUP($BP$1,DATA!$B$24:$C$45,2,0)</f>
        <v>0.28000000000000003</v>
      </c>
      <c r="BS20" s="9">
        <f t="shared" si="16"/>
        <v>0.28000000000000003</v>
      </c>
      <c r="BT20" s="84">
        <f t="shared" si="17"/>
        <v>33.6</v>
      </c>
      <c r="BU20" s="226" t="s">
        <v>238</v>
      </c>
      <c r="BV20" s="227">
        <f>VLOOKUP(BU20,DATA!$B$13:$C$19,2,0)</f>
        <v>90</v>
      </c>
      <c r="BW20" s="9">
        <f>VLOOKUP($BU$1,DATA!$B$24:$C$45,2,0)</f>
        <v>0.15</v>
      </c>
      <c r="BX20" s="9">
        <f t="shared" si="18"/>
        <v>0.13500000000000001</v>
      </c>
      <c r="BY20" s="84">
        <f t="shared" si="19"/>
        <v>18</v>
      </c>
      <c r="BZ20" s="226" t="s">
        <v>185</v>
      </c>
      <c r="CA20" s="227">
        <f>VLOOKUP(BZ20,DATA!$B$13:$C$19,2,0)</f>
        <v>100</v>
      </c>
      <c r="CB20" s="9">
        <f>VLOOKUP($BZ$1,DATA!$B$24:$C$45,2,0)</f>
        <v>0.16</v>
      </c>
      <c r="CC20" s="9">
        <f t="shared" si="20"/>
        <v>0.16</v>
      </c>
      <c r="CD20" s="84">
        <f t="shared" si="21"/>
        <v>19.2</v>
      </c>
      <c r="CE20" s="226" t="s">
        <v>185</v>
      </c>
      <c r="CF20" s="227">
        <f>VLOOKUP(CE20,DATA!$B$13:$C$19,2,0)</f>
        <v>100</v>
      </c>
      <c r="CG20" s="9">
        <f>VLOOKUP($CE$1,DATA!$B$24:$C$45,2,0)</f>
        <v>0.13</v>
      </c>
      <c r="CH20" s="9">
        <f t="shared" si="22"/>
        <v>0.13</v>
      </c>
      <c r="CI20" s="84">
        <f t="shared" si="23"/>
        <v>15.600000000000001</v>
      </c>
      <c r="CJ20" s="226" t="s">
        <v>185</v>
      </c>
      <c r="CK20" s="227">
        <f>VLOOKUP(CJ20,DATA!$B$13:$C$19,2,0)</f>
        <v>100</v>
      </c>
      <c r="CL20" s="9">
        <f>VLOOKUP($CJ$1,DATA!$B$24:$C$45,2,0)</f>
        <v>0.01</v>
      </c>
      <c r="CM20" s="9">
        <f t="shared" si="24"/>
        <v>0.01</v>
      </c>
      <c r="CN20" s="84">
        <f t="shared" si="25"/>
        <v>1.2</v>
      </c>
      <c r="CO20" s="96">
        <f t="shared" si="26"/>
        <v>0.98499999999999999</v>
      </c>
      <c r="CP20" s="9">
        <f>VLOOKUP($CO$1,DATA!$B$24:$C$45,2,0)</f>
        <v>0.54</v>
      </c>
      <c r="CQ20" s="9">
        <f t="shared" si="27"/>
        <v>0.53190000000000004</v>
      </c>
      <c r="CR20" s="3">
        <f t="shared" si="28"/>
        <v>64.800000000000011</v>
      </c>
      <c r="CS20" s="7">
        <f t="shared" si="29"/>
        <v>63.828000000000003</v>
      </c>
      <c r="CT20" s="243">
        <f t="shared" si="30"/>
        <v>0.97200000000000841</v>
      </c>
      <c r="CU20" s="226" t="s">
        <v>185</v>
      </c>
      <c r="CV20" s="227">
        <f>VLOOKUP(CU20,DATA!$B$13:$C$19,2,0)</f>
        <v>100</v>
      </c>
      <c r="CW20" s="9">
        <f>VLOOKUP($CU$1,DATA!$B$24:$C$45,2,0)</f>
        <v>0.02</v>
      </c>
      <c r="CX20" s="9">
        <f t="shared" si="31"/>
        <v>0.02</v>
      </c>
      <c r="CY20" s="3">
        <f t="shared" si="32"/>
        <v>2.4</v>
      </c>
      <c r="CZ20" s="6">
        <v>46094</v>
      </c>
      <c r="DA20" s="95"/>
      <c r="DB20" s="226" t="s">
        <v>238</v>
      </c>
      <c r="DC20" s="227">
        <f>VLOOKUP(DB20,DATA!$B$13:$C$19,2,0)</f>
        <v>90</v>
      </c>
      <c r="DD20" s="9">
        <f>VLOOKUP($DB$1,DATA!$B$24:$C$45,2,0)</f>
        <v>0.01</v>
      </c>
      <c r="DE20" s="9">
        <f t="shared" si="33"/>
        <v>9.0000000000000011E-3</v>
      </c>
      <c r="DF20" s="3">
        <f t="shared" si="34"/>
        <v>1.2</v>
      </c>
      <c r="DG20" s="6">
        <v>46098</v>
      </c>
      <c r="DH20" s="95"/>
      <c r="DI20" s="226" t="s">
        <v>185</v>
      </c>
      <c r="DJ20" s="227">
        <f>VLOOKUP(DI20,DATA!$B$13:$C$19,2,0)</f>
        <v>100</v>
      </c>
      <c r="DK20" s="9">
        <f>VLOOKUP($DI$1,DATA!$B$24:$C$45,2,0)</f>
        <v>0.03</v>
      </c>
      <c r="DL20" s="9">
        <f t="shared" si="35"/>
        <v>0.03</v>
      </c>
      <c r="DM20" s="84">
        <f t="shared" si="36"/>
        <v>3.5999999999999996</v>
      </c>
      <c r="DN20" s="226" t="s">
        <v>238</v>
      </c>
      <c r="DO20" s="227">
        <f>VLOOKUP(DN20,DATA!$B$13:$C$19,2,0)</f>
        <v>90</v>
      </c>
      <c r="DP20" s="9">
        <f>VLOOKUP($DN$1,DATA!$B$24:$C$45,2,0)</f>
        <v>7.0000000000000007E-2</v>
      </c>
      <c r="DQ20" s="9">
        <f t="shared" si="37"/>
        <v>6.3E-2</v>
      </c>
      <c r="DR20" s="3">
        <f t="shared" si="38"/>
        <v>8.4</v>
      </c>
      <c r="DS20" s="6">
        <v>46099</v>
      </c>
      <c r="DT20" s="95"/>
      <c r="DU20" s="226" t="s">
        <v>201</v>
      </c>
      <c r="DV20" s="227">
        <f>VLOOKUP(DU20,DATA!$B$13:$C$19,2,0)</f>
        <v>75</v>
      </c>
      <c r="DW20" s="9">
        <f>VLOOKUP($DU$1,DATA!$B$24:$C$45,2,0)</f>
        <v>0.04</v>
      </c>
      <c r="DX20" s="9">
        <f t="shared" si="39"/>
        <v>0.03</v>
      </c>
      <c r="DY20" s="3">
        <f t="shared" si="40"/>
        <v>4.8</v>
      </c>
      <c r="DZ20" s="6">
        <v>46101</v>
      </c>
      <c r="EA20" s="95"/>
      <c r="EB20" s="226" t="s">
        <v>193</v>
      </c>
      <c r="EC20" s="227">
        <f>VLOOKUP(EB20,DATA!$B$13:$C$19,2,0)</f>
        <v>0</v>
      </c>
      <c r="ED20" s="9">
        <f>VLOOKUP($EB$1,DATA!$B$24:$C$45,2,0)</f>
        <v>0.05</v>
      </c>
      <c r="EE20" s="9">
        <f t="shared" si="41"/>
        <v>0</v>
      </c>
      <c r="EF20" s="3">
        <f t="shared" si="42"/>
        <v>6</v>
      </c>
      <c r="EG20" s="6">
        <v>46122</v>
      </c>
      <c r="EH20" s="95"/>
      <c r="EI20" s="226" t="s">
        <v>201</v>
      </c>
      <c r="EJ20" s="227">
        <f>VLOOKUP(EI20,DATA!$B$13:$C$19,2,0)</f>
        <v>75</v>
      </c>
      <c r="EK20" s="9">
        <f>VLOOKUP($EI$1,DATA!$B$24:$C$45,2,0)</f>
        <v>0.1</v>
      </c>
      <c r="EL20" s="9">
        <f t="shared" si="43"/>
        <v>7.4999999999999997E-2</v>
      </c>
      <c r="EM20" s="3">
        <f t="shared" si="44"/>
        <v>12</v>
      </c>
      <c r="EN20" s="6">
        <v>46104</v>
      </c>
      <c r="EO20" s="95"/>
      <c r="EP20" s="226" t="s">
        <v>193</v>
      </c>
      <c r="EQ20" s="227">
        <f>VLOOKUP(EP20,DATA!$B$13:$C$19,2,0)</f>
        <v>0</v>
      </c>
      <c r="ER20" s="9">
        <f>VLOOKUP($EP$1,DATA!$B$24:$C$45,2,0)</f>
        <v>0.03</v>
      </c>
      <c r="ES20" s="9">
        <f t="shared" si="45"/>
        <v>0</v>
      </c>
      <c r="ET20" s="84">
        <f t="shared" si="46"/>
        <v>3.5999999999999996</v>
      </c>
      <c r="EU20" s="245">
        <f t="shared" si="47"/>
        <v>36</v>
      </c>
      <c r="EV20" s="85" t="s">
        <v>186</v>
      </c>
      <c r="EW20" s="134" t="s">
        <v>239</v>
      </c>
      <c r="EX20" s="6"/>
    </row>
    <row r="21" spans="1:154" x14ac:dyDescent="0.3">
      <c r="A21" s="3" t="s">
        <v>180</v>
      </c>
      <c r="B21" s="3" t="s">
        <v>194</v>
      </c>
      <c r="C21" s="3" t="s">
        <v>182</v>
      </c>
      <c r="D21" s="85" t="s">
        <v>240</v>
      </c>
      <c r="E21" s="85" t="s">
        <v>235</v>
      </c>
      <c r="F21" s="3">
        <v>3297</v>
      </c>
      <c r="G21" s="3" t="s">
        <v>242</v>
      </c>
      <c r="H21" s="3">
        <v>36</v>
      </c>
      <c r="I21" s="3"/>
      <c r="J21" s="229">
        <f>BaseDeDatos[[#This Row],[Budget CS]]+BaseDeDatos[[#This Row],[Change Orders Budget]]</f>
        <v>36</v>
      </c>
      <c r="K21" s="92">
        <f>IFERROR(VLOOKUP(G21, DATA!H:I, 2, FALSE), 0)+BaseDeDatos[[#This Row],[Labor Spend on Design errors]]+BaseDeDatos[[#This Row],[Labor
Spent Customer changes]]</f>
        <v>70.5</v>
      </c>
      <c r="L21" s="92"/>
      <c r="M21" s="92"/>
      <c r="N21" s="232">
        <f t="shared" si="0"/>
        <v>0.81890000000000018</v>
      </c>
      <c r="O21" s="238">
        <f t="shared" si="1"/>
        <v>70.5</v>
      </c>
      <c r="P21" s="39">
        <v>29.7</v>
      </c>
      <c r="Q21" s="89">
        <f>BaseDeDatos[[#This Row],[Budget]]*BaseDeDatos[[#This Row],[Labor Rate from CS]]</f>
        <v>1069.2</v>
      </c>
      <c r="R21" s="94">
        <f>BaseDeDatos[[#This Row],[Labor
Spent]]*BaseDeDatos[[#This Row],[Labor Rate from CS]]</f>
        <v>2093.85</v>
      </c>
      <c r="S21" s="42">
        <f t="shared" si="2"/>
        <v>1.9583333333333333</v>
      </c>
      <c r="T21" s="98">
        <v>183548</v>
      </c>
      <c r="U21" s="98">
        <v>14706.66</v>
      </c>
      <c r="V21" s="39">
        <v>12259.64</v>
      </c>
      <c r="W21" s="98">
        <v>52586.21</v>
      </c>
      <c r="X21" s="98">
        <v>52586.21</v>
      </c>
      <c r="Y21" s="39"/>
      <c r="Z21" s="39"/>
      <c r="AA21" s="98">
        <v>149369.44</v>
      </c>
      <c r="AB21" s="89">
        <f t="shared" si="3"/>
        <v>95714.030000000013</v>
      </c>
      <c r="AC21" s="175">
        <f>SUM(AB21,X21,R21,BaseDeDatos[[#This Row],[Additionals cost]])</f>
        <v>162653.73000000004</v>
      </c>
      <c r="AD21" s="117">
        <v>0.1862</v>
      </c>
      <c r="AE21" s="117">
        <v>0.18210000000000001</v>
      </c>
      <c r="AF21" s="241">
        <f t="shared" si="4"/>
        <v>0.18062801011179622</v>
      </c>
      <c r="AG21" s="226"/>
      <c r="AH21" s="226" t="s">
        <v>185</v>
      </c>
      <c r="AI21" s="227">
        <f>VLOOKUP(AH21,DATA!$B$13:$C$19,2,0)</f>
        <v>100</v>
      </c>
      <c r="AJ21" s="5"/>
      <c r="AK21" s="3">
        <f>BaseDeDatos[[#This Row],[Read info
Status]]*(AJ21)/100</f>
        <v>0</v>
      </c>
      <c r="AL21" s="84">
        <f t="shared" si="5"/>
        <v>0</v>
      </c>
      <c r="AM21" s="226" t="s">
        <v>185</v>
      </c>
      <c r="AN21" s="227">
        <f>VLOOKUP(AM21,DATA!$B$13:$C$19,2,0)</f>
        <v>100</v>
      </c>
      <c r="AO21" s="9">
        <f>VLOOKUP($AM$1,DATA!$B$24:$C$45,2,0)</f>
        <v>0.05</v>
      </c>
      <c r="AP21" s="9">
        <f t="shared" si="6"/>
        <v>0.05</v>
      </c>
      <c r="AQ21" s="3">
        <f t="shared" si="7"/>
        <v>1.8</v>
      </c>
      <c r="AR21" s="6">
        <v>46044</v>
      </c>
      <c r="AS21" s="95"/>
      <c r="AT21" s="226" t="s">
        <v>185</v>
      </c>
      <c r="AU21" s="227">
        <f>VLOOKUP(AT21,DATA!$B$13:$C$19,2,0)</f>
        <v>100</v>
      </c>
      <c r="AV21" s="9">
        <f>VLOOKUP($AT$1,DATA!$B$24:$C$45,2,0)</f>
        <v>0.01</v>
      </c>
      <c r="AW21" s="9">
        <f t="shared" si="8"/>
        <v>0.01</v>
      </c>
      <c r="AX21" s="3">
        <f t="shared" si="9"/>
        <v>0.36</v>
      </c>
      <c r="AY21" s="6">
        <v>46083</v>
      </c>
      <c r="AZ21" s="95"/>
      <c r="BA21" s="226" t="s">
        <v>185</v>
      </c>
      <c r="BB21" s="227">
        <f>VLOOKUP(BA21,DATA!$B$13:$C$19,2,0)</f>
        <v>100</v>
      </c>
      <c r="BC21" s="9">
        <f>VLOOKUP($BA$1,DATA!$B$24:$C$45,2,0)</f>
        <v>0.01</v>
      </c>
      <c r="BD21" s="9">
        <f t="shared" si="10"/>
        <v>0.01</v>
      </c>
      <c r="BE21" s="84">
        <f t="shared" si="11"/>
        <v>0.36</v>
      </c>
      <c r="BF21" s="226" t="s">
        <v>185</v>
      </c>
      <c r="BG21" s="227">
        <f>VLOOKUP(BF21,DATA!$B$13:$C$19,2,0)</f>
        <v>100</v>
      </c>
      <c r="BH21" s="9">
        <f>VLOOKUP($BF$1,DATA!$B$24:$C$45,2,0)</f>
        <v>0.08</v>
      </c>
      <c r="BI21" s="9">
        <f t="shared" si="12"/>
        <v>0.08</v>
      </c>
      <c r="BJ21" s="84">
        <f t="shared" si="13"/>
        <v>2.88</v>
      </c>
      <c r="BK21" s="226" t="s">
        <v>185</v>
      </c>
      <c r="BL21" s="227">
        <f>VLOOKUP(BK21,DATA!$B$13:$C$19,2,0)</f>
        <v>100</v>
      </c>
      <c r="BM21" s="9">
        <f>VLOOKUP($BK$1,DATA!$B$24:$C$45,2,0)</f>
        <v>0.18</v>
      </c>
      <c r="BN21" s="9">
        <f t="shared" si="14"/>
        <v>0.18</v>
      </c>
      <c r="BO21" s="84">
        <f t="shared" si="15"/>
        <v>6.4799999999999995</v>
      </c>
      <c r="BP21" s="226" t="s">
        <v>185</v>
      </c>
      <c r="BQ21" s="227">
        <f>VLOOKUP(BP21,DATA!$B$13:$C$19,2,0)</f>
        <v>100</v>
      </c>
      <c r="BR21" s="9">
        <f>VLOOKUP($BP$1,DATA!$B$24:$C$45,2,0)</f>
        <v>0.28000000000000003</v>
      </c>
      <c r="BS21" s="9">
        <f t="shared" si="16"/>
        <v>0.28000000000000003</v>
      </c>
      <c r="BT21" s="84">
        <f t="shared" si="17"/>
        <v>10.080000000000002</v>
      </c>
      <c r="BU21" s="226" t="s">
        <v>238</v>
      </c>
      <c r="BV21" s="227">
        <f>VLOOKUP(BU21,DATA!$B$13:$C$19,2,0)</f>
        <v>90</v>
      </c>
      <c r="BW21" s="9">
        <f>VLOOKUP($BU$1,DATA!$B$24:$C$45,2,0)</f>
        <v>0.15</v>
      </c>
      <c r="BX21" s="9">
        <f t="shared" si="18"/>
        <v>0.13500000000000001</v>
      </c>
      <c r="BY21" s="84">
        <f t="shared" si="19"/>
        <v>5.3999999999999995</v>
      </c>
      <c r="BZ21" s="226" t="s">
        <v>185</v>
      </c>
      <c r="CA21" s="227">
        <f>VLOOKUP(BZ21,DATA!$B$13:$C$19,2,0)</f>
        <v>100</v>
      </c>
      <c r="CB21" s="9">
        <f>VLOOKUP($BZ$1,DATA!$B$24:$C$45,2,0)</f>
        <v>0.16</v>
      </c>
      <c r="CC21" s="9">
        <f t="shared" si="20"/>
        <v>0.16</v>
      </c>
      <c r="CD21" s="84">
        <f t="shared" si="21"/>
        <v>5.76</v>
      </c>
      <c r="CE21" s="226" t="s">
        <v>185</v>
      </c>
      <c r="CF21" s="227">
        <f>VLOOKUP(CE21,DATA!$B$13:$C$19,2,0)</f>
        <v>100</v>
      </c>
      <c r="CG21" s="9">
        <f>VLOOKUP($CE$1,DATA!$B$24:$C$45,2,0)</f>
        <v>0.13</v>
      </c>
      <c r="CH21" s="9">
        <f t="shared" si="22"/>
        <v>0.13</v>
      </c>
      <c r="CI21" s="84">
        <f t="shared" si="23"/>
        <v>4.68</v>
      </c>
      <c r="CJ21" s="226" t="s">
        <v>185</v>
      </c>
      <c r="CK21" s="227">
        <f>VLOOKUP(CJ21,DATA!$B$13:$C$19,2,0)</f>
        <v>100</v>
      </c>
      <c r="CL21" s="9">
        <f>VLOOKUP($CJ$1,DATA!$B$24:$C$45,2,0)</f>
        <v>0.01</v>
      </c>
      <c r="CM21" s="9">
        <f t="shared" si="24"/>
        <v>0.01</v>
      </c>
      <c r="CN21" s="84">
        <f t="shared" si="25"/>
        <v>0.36</v>
      </c>
      <c r="CO21" s="96">
        <f t="shared" si="26"/>
        <v>0.98499999999999999</v>
      </c>
      <c r="CP21" s="9">
        <f>VLOOKUP($CO$1,DATA!$B$24:$C$45,2,0)</f>
        <v>0.54</v>
      </c>
      <c r="CQ21" s="9">
        <f t="shared" si="27"/>
        <v>0.53190000000000004</v>
      </c>
      <c r="CR21" s="3">
        <f t="shared" si="28"/>
        <v>19.440000000000001</v>
      </c>
      <c r="CS21" s="7">
        <f t="shared" si="29"/>
        <v>19.148400000000002</v>
      </c>
      <c r="CT21" s="243">
        <f t="shared" si="30"/>
        <v>0.29159999999999897</v>
      </c>
      <c r="CU21" s="226" t="s">
        <v>185</v>
      </c>
      <c r="CV21" s="227">
        <f>VLOOKUP(CU21,DATA!$B$13:$C$19,2,0)</f>
        <v>100</v>
      </c>
      <c r="CW21" s="9">
        <f>VLOOKUP($CU$1,DATA!$B$24:$C$45,2,0)</f>
        <v>0.02</v>
      </c>
      <c r="CX21" s="9">
        <f t="shared" si="31"/>
        <v>0.02</v>
      </c>
      <c r="CY21" s="3">
        <f t="shared" si="32"/>
        <v>0.72</v>
      </c>
      <c r="CZ21" s="6">
        <v>46094</v>
      </c>
      <c r="DA21" s="95"/>
      <c r="DB21" s="226" t="s">
        <v>238</v>
      </c>
      <c r="DC21" s="227">
        <f>VLOOKUP(DB21,DATA!$B$13:$C$19,2,0)</f>
        <v>90</v>
      </c>
      <c r="DD21" s="9">
        <f>VLOOKUP($DB$1,DATA!$B$24:$C$45,2,0)</f>
        <v>0.01</v>
      </c>
      <c r="DE21" s="9">
        <f t="shared" si="33"/>
        <v>9.0000000000000011E-3</v>
      </c>
      <c r="DF21" s="3">
        <f t="shared" si="34"/>
        <v>0.36</v>
      </c>
      <c r="DG21" s="6">
        <v>46098</v>
      </c>
      <c r="DH21" s="95"/>
      <c r="DI21" s="226" t="s">
        <v>185</v>
      </c>
      <c r="DJ21" s="227">
        <f>VLOOKUP(DI21,DATA!$B$13:$C$19,2,0)</f>
        <v>100</v>
      </c>
      <c r="DK21" s="9">
        <f>VLOOKUP($DI$1,DATA!$B$24:$C$45,2,0)</f>
        <v>0.03</v>
      </c>
      <c r="DL21" s="9">
        <f t="shared" si="35"/>
        <v>0.03</v>
      </c>
      <c r="DM21" s="84">
        <f t="shared" si="36"/>
        <v>1.08</v>
      </c>
      <c r="DN21" s="226" t="s">
        <v>238</v>
      </c>
      <c r="DO21" s="227">
        <f>VLOOKUP(DN21,DATA!$B$13:$C$19,2,0)</f>
        <v>90</v>
      </c>
      <c r="DP21" s="9">
        <f>VLOOKUP($DN$1,DATA!$B$24:$C$45,2,0)</f>
        <v>7.0000000000000007E-2</v>
      </c>
      <c r="DQ21" s="9">
        <f t="shared" si="37"/>
        <v>6.3E-2</v>
      </c>
      <c r="DR21" s="3">
        <f t="shared" si="38"/>
        <v>2.5200000000000005</v>
      </c>
      <c r="DS21" s="6">
        <v>46099</v>
      </c>
      <c r="DT21" s="95"/>
      <c r="DU21" s="226" t="s">
        <v>201</v>
      </c>
      <c r="DV21" s="227">
        <f>VLOOKUP(DU21,DATA!$B$13:$C$19,2,0)</f>
        <v>75</v>
      </c>
      <c r="DW21" s="9">
        <f>VLOOKUP($DU$1,DATA!$B$24:$C$45,2,0)</f>
        <v>0.04</v>
      </c>
      <c r="DX21" s="9">
        <f t="shared" si="39"/>
        <v>0.03</v>
      </c>
      <c r="DY21" s="3">
        <f t="shared" si="40"/>
        <v>1.44</v>
      </c>
      <c r="DZ21" s="6">
        <v>46101</v>
      </c>
      <c r="EA21" s="95"/>
      <c r="EB21" s="226" t="s">
        <v>193</v>
      </c>
      <c r="EC21" s="227">
        <f>VLOOKUP(EB21,DATA!$B$13:$C$19,2,0)</f>
        <v>0</v>
      </c>
      <c r="ED21" s="9">
        <f>VLOOKUP($EB$1,DATA!$B$24:$C$45,2,0)</f>
        <v>0.05</v>
      </c>
      <c r="EE21" s="9">
        <f t="shared" si="41"/>
        <v>0</v>
      </c>
      <c r="EF21" s="3">
        <f t="shared" si="42"/>
        <v>1.8</v>
      </c>
      <c r="EG21" s="6">
        <v>46122</v>
      </c>
      <c r="EH21" s="95"/>
      <c r="EI21" s="226" t="s">
        <v>201</v>
      </c>
      <c r="EJ21" s="227">
        <f>VLOOKUP(EI21,DATA!$B$13:$C$19,2,0)</f>
        <v>75</v>
      </c>
      <c r="EK21" s="9">
        <f>VLOOKUP($EI$1,DATA!$B$24:$C$45,2,0)</f>
        <v>0.1</v>
      </c>
      <c r="EL21" s="9">
        <f t="shared" si="43"/>
        <v>7.4999999999999997E-2</v>
      </c>
      <c r="EM21" s="3">
        <f t="shared" si="44"/>
        <v>3.6</v>
      </c>
      <c r="EN21" s="6">
        <v>46104</v>
      </c>
      <c r="EO21" s="95"/>
      <c r="EP21" s="226" t="s">
        <v>193</v>
      </c>
      <c r="EQ21" s="227">
        <f>VLOOKUP(EP21,DATA!$B$13:$C$19,2,0)</f>
        <v>0</v>
      </c>
      <c r="ER21" s="9">
        <f>VLOOKUP($EP$1,DATA!$B$24:$C$45,2,0)</f>
        <v>0.03</v>
      </c>
      <c r="ES21" s="9">
        <f t="shared" si="45"/>
        <v>0</v>
      </c>
      <c r="ET21" s="84">
        <f t="shared" si="46"/>
        <v>1.08</v>
      </c>
      <c r="EU21" s="245">
        <f t="shared" si="47"/>
        <v>10.8</v>
      </c>
      <c r="EV21" s="85" t="s">
        <v>186</v>
      </c>
      <c r="EW21" s="134" t="s">
        <v>239</v>
      </c>
      <c r="EX21" s="6"/>
    </row>
    <row r="22" spans="1:154" x14ac:dyDescent="0.3">
      <c r="A22" s="3" t="s">
        <v>188</v>
      </c>
      <c r="B22" s="3" t="s">
        <v>194</v>
      </c>
      <c r="C22" s="3" t="s">
        <v>182</v>
      </c>
      <c r="D22" s="85" t="s">
        <v>243</v>
      </c>
      <c r="E22" s="85" t="s">
        <v>244</v>
      </c>
      <c r="F22" s="3" t="s">
        <v>245</v>
      </c>
      <c r="G22" s="3" t="s">
        <v>246</v>
      </c>
      <c r="H22" s="3">
        <v>20</v>
      </c>
      <c r="I22" s="3"/>
      <c r="J22" s="229">
        <f>BaseDeDatos[[#This Row],[Budget CS]]+BaseDeDatos[[#This Row],[Change Orders Budget]]</f>
        <v>20</v>
      </c>
      <c r="K22" s="92">
        <f>IFERROR(VLOOKUP(G22, DATA!H:I, 2, FALSE), 0)+BaseDeDatos[[#This Row],[Labor Spend on Design errors]]+BaseDeDatos[[#This Row],[Labor
Spent Customer changes]]</f>
        <v>4</v>
      </c>
      <c r="L22" s="92"/>
      <c r="M22" s="92"/>
      <c r="N22" s="232">
        <f t="shared" si="0"/>
        <v>0.13975000000000001</v>
      </c>
      <c r="O22" s="238">
        <f t="shared" si="1"/>
        <v>4</v>
      </c>
      <c r="P22" s="39">
        <v>26.73</v>
      </c>
      <c r="Q22" s="89">
        <f>BaseDeDatos[[#This Row],[Budget]]*BaseDeDatos[[#This Row],[Labor Rate from CS]]</f>
        <v>534.6</v>
      </c>
      <c r="R22" s="94">
        <f>BaseDeDatos[[#This Row],[Labor
Spent]]*BaseDeDatos[[#This Row],[Labor Rate from CS]]</f>
        <v>106.92</v>
      </c>
      <c r="S22" s="42">
        <f t="shared" si="2"/>
        <v>0.2</v>
      </c>
      <c r="T22" s="98">
        <v>89500</v>
      </c>
      <c r="U22" s="98"/>
      <c r="V22" s="39"/>
      <c r="W22" s="98">
        <v>22363.57</v>
      </c>
      <c r="X22" s="98">
        <v>22363.57</v>
      </c>
      <c r="Y22" s="39"/>
      <c r="Z22" s="39"/>
      <c r="AA22" s="39">
        <v>126203.11</v>
      </c>
      <c r="AB22" s="120">
        <f t="shared" si="3"/>
        <v>103304.94</v>
      </c>
      <c r="AC22" s="175">
        <f>SUM(AB22,X22,R22,BaseDeDatos[[#This Row],[Additionals cost]])</f>
        <v>125775.43000000001</v>
      </c>
      <c r="AD22" s="224">
        <v>-0.41010000000000002</v>
      </c>
      <c r="AE22" s="117">
        <v>-3.0999999999999999E-3</v>
      </c>
      <c r="AF22" s="241">
        <f t="shared" si="4"/>
        <v>-0.40531206703910622</v>
      </c>
      <c r="AG22" s="226"/>
      <c r="AH22" s="226" t="s">
        <v>185</v>
      </c>
      <c r="AI22" s="227">
        <f>VLOOKUP(AH22,DATA!$B$13:$C$19,2,0)</f>
        <v>100</v>
      </c>
      <c r="AJ22" s="5"/>
      <c r="AK22" s="3">
        <f>BaseDeDatos[[#This Row],[Read info
Status]]*(AJ22)/100</f>
        <v>0</v>
      </c>
      <c r="AL22" s="84">
        <f t="shared" si="5"/>
        <v>0</v>
      </c>
      <c r="AM22" s="226" t="s">
        <v>220</v>
      </c>
      <c r="AN22" s="227">
        <f>VLOOKUP(AM22,DATA!$B$13:$C$19,2,0)</f>
        <v>50</v>
      </c>
      <c r="AO22" s="9">
        <f>VLOOKUP($AM$1,DATA!$B$24:$C$45,2,0)</f>
        <v>0.05</v>
      </c>
      <c r="AP22" s="9">
        <f t="shared" si="6"/>
        <v>2.5000000000000001E-2</v>
      </c>
      <c r="AQ22" s="3">
        <f t="shared" si="7"/>
        <v>1</v>
      </c>
      <c r="AR22" s="6"/>
      <c r="AS22" s="95"/>
      <c r="AT22" s="226" t="s">
        <v>193</v>
      </c>
      <c r="AU22" s="227">
        <f>VLOOKUP(AT22,DATA!$B$13:$C$19,2,0)</f>
        <v>0</v>
      </c>
      <c r="AV22" s="9">
        <f>VLOOKUP($AT$1,DATA!$B$24:$C$45,2,0)</f>
        <v>0.01</v>
      </c>
      <c r="AW22" s="9">
        <f t="shared" si="8"/>
        <v>0</v>
      </c>
      <c r="AX22" s="3">
        <f t="shared" si="9"/>
        <v>0.2</v>
      </c>
      <c r="AY22" s="6"/>
      <c r="AZ22" s="95"/>
      <c r="BA22" s="226" t="s">
        <v>185</v>
      </c>
      <c r="BB22" s="227">
        <f>VLOOKUP(BA22,DATA!$B$13:$C$19,2,0)</f>
        <v>100</v>
      </c>
      <c r="BC22" s="9">
        <f>VLOOKUP($BA$1,DATA!$B$24:$C$45,2,0)</f>
        <v>0.01</v>
      </c>
      <c r="BD22" s="9">
        <f t="shared" si="10"/>
        <v>0.01</v>
      </c>
      <c r="BE22" s="84">
        <f t="shared" si="11"/>
        <v>0.2</v>
      </c>
      <c r="BF22" s="226" t="s">
        <v>237</v>
      </c>
      <c r="BG22" s="227">
        <f>VLOOKUP(BF22,DATA!$B$13:$C$19,2,0)</f>
        <v>25</v>
      </c>
      <c r="BH22" s="9">
        <f>VLOOKUP($BF$1,DATA!$B$24:$C$45,2,0)</f>
        <v>0.08</v>
      </c>
      <c r="BI22" s="9">
        <f t="shared" si="12"/>
        <v>0.02</v>
      </c>
      <c r="BJ22" s="84">
        <f t="shared" si="13"/>
        <v>1.6</v>
      </c>
      <c r="BK22" s="226" t="s">
        <v>193</v>
      </c>
      <c r="BL22" s="227">
        <f>VLOOKUP(BK22,DATA!$B$13:$C$19,2,0)</f>
        <v>0</v>
      </c>
      <c r="BM22" s="9">
        <f>VLOOKUP($BK$1,DATA!$B$24:$C$45,2,0)</f>
        <v>0.18</v>
      </c>
      <c r="BN22" s="9">
        <f t="shared" si="14"/>
        <v>0</v>
      </c>
      <c r="BO22" s="84">
        <f t="shared" si="15"/>
        <v>3.5999999999999996</v>
      </c>
      <c r="BP22" s="226" t="s">
        <v>193</v>
      </c>
      <c r="BQ22" s="227">
        <f>VLOOKUP(BP22,DATA!$B$13:$C$19,2,0)</f>
        <v>0</v>
      </c>
      <c r="BR22" s="9">
        <f>VLOOKUP($BP$1,DATA!$B$24:$C$45,2,0)</f>
        <v>0.28000000000000003</v>
      </c>
      <c r="BS22" s="9">
        <f t="shared" si="16"/>
        <v>0</v>
      </c>
      <c r="BT22" s="84">
        <f t="shared" si="17"/>
        <v>5.6000000000000005</v>
      </c>
      <c r="BU22" s="226" t="s">
        <v>185</v>
      </c>
      <c r="BV22" s="227">
        <f>VLOOKUP(BU22,DATA!$B$13:$C$19,2,0)</f>
        <v>100</v>
      </c>
      <c r="BW22" s="9">
        <f>VLOOKUP($BU$1,DATA!$B$24:$C$45,2,0)</f>
        <v>0.15</v>
      </c>
      <c r="BX22" s="9">
        <f t="shared" si="18"/>
        <v>0.15</v>
      </c>
      <c r="BY22" s="84">
        <f t="shared" si="19"/>
        <v>3</v>
      </c>
      <c r="BZ22" s="226" t="s">
        <v>193</v>
      </c>
      <c r="CA22" s="227">
        <f>VLOOKUP(BZ22,DATA!$B$13:$C$19,2,0)</f>
        <v>0</v>
      </c>
      <c r="CB22" s="9">
        <f>VLOOKUP($BZ$1,DATA!$B$24:$C$45,2,0)</f>
        <v>0.16</v>
      </c>
      <c r="CC22" s="9">
        <f t="shared" si="20"/>
        <v>0</v>
      </c>
      <c r="CD22" s="84">
        <f t="shared" si="21"/>
        <v>3.2</v>
      </c>
      <c r="CE22" s="226" t="s">
        <v>237</v>
      </c>
      <c r="CF22" s="227">
        <f>VLOOKUP(CE22,DATA!$B$13:$C$19,2,0)</f>
        <v>25</v>
      </c>
      <c r="CG22" s="9">
        <f>VLOOKUP($CE$1,DATA!$B$24:$C$45,2,0)</f>
        <v>0.13</v>
      </c>
      <c r="CH22" s="9">
        <f t="shared" si="22"/>
        <v>3.2500000000000001E-2</v>
      </c>
      <c r="CI22" s="84">
        <f t="shared" si="23"/>
        <v>2.6</v>
      </c>
      <c r="CJ22" s="226" t="s">
        <v>193</v>
      </c>
      <c r="CK22" s="227">
        <f>VLOOKUP(CJ22,DATA!$B$13:$C$19,2,0)</f>
        <v>0</v>
      </c>
      <c r="CL22" s="9">
        <f>VLOOKUP($CJ$1,DATA!$B$24:$C$45,2,0)</f>
        <v>0.01</v>
      </c>
      <c r="CM22" s="9">
        <f t="shared" si="24"/>
        <v>0</v>
      </c>
      <c r="CN22" s="84">
        <f t="shared" si="25"/>
        <v>0.2</v>
      </c>
      <c r="CO22" s="96">
        <f t="shared" si="26"/>
        <v>0.21249999999999999</v>
      </c>
      <c r="CP22" s="9">
        <f>VLOOKUP($CO$1,DATA!$B$24:$C$45,2,0)</f>
        <v>0.54</v>
      </c>
      <c r="CQ22" s="9">
        <f t="shared" si="27"/>
        <v>0.11475</v>
      </c>
      <c r="CR22" s="3">
        <f t="shared" si="28"/>
        <v>10.8</v>
      </c>
      <c r="CS22" s="7">
        <f t="shared" si="29"/>
        <v>2.2949999999999999</v>
      </c>
      <c r="CT22" s="243">
        <f t="shared" si="30"/>
        <v>8.5050000000000008</v>
      </c>
      <c r="CU22" s="226" t="s">
        <v>193</v>
      </c>
      <c r="CV22" s="227">
        <f>VLOOKUP(CU22,DATA!$B$13:$C$19,2,0)</f>
        <v>0</v>
      </c>
      <c r="CW22" s="9">
        <f>VLOOKUP($CU$1,DATA!$B$24:$C$45,2,0)</f>
        <v>0.02</v>
      </c>
      <c r="CX22" s="9">
        <f t="shared" si="31"/>
        <v>0</v>
      </c>
      <c r="CY22" s="3">
        <f t="shared" si="32"/>
        <v>0.4</v>
      </c>
      <c r="CZ22" s="6"/>
      <c r="DA22" s="95"/>
      <c r="DB22" s="226" t="s">
        <v>193</v>
      </c>
      <c r="DC22" s="227">
        <f>VLOOKUP(DB22,DATA!$B$13:$C$19,2,0)</f>
        <v>0</v>
      </c>
      <c r="DD22" s="9">
        <f>VLOOKUP($DB$1,DATA!$B$24:$C$45,2,0)</f>
        <v>0.01</v>
      </c>
      <c r="DE22" s="9">
        <f t="shared" si="33"/>
        <v>0</v>
      </c>
      <c r="DF22" s="3">
        <f t="shared" si="34"/>
        <v>0.2</v>
      </c>
      <c r="DG22" s="6"/>
      <c r="DH22" s="95"/>
      <c r="DI22" s="226" t="s">
        <v>193</v>
      </c>
      <c r="DJ22" s="227">
        <f>VLOOKUP(DI22,DATA!$B$13:$C$19,2,0)</f>
        <v>0</v>
      </c>
      <c r="DK22" s="9">
        <f>VLOOKUP($DI$1,DATA!$B$24:$C$45,2,0)</f>
        <v>0.03</v>
      </c>
      <c r="DL22" s="9">
        <f t="shared" si="35"/>
        <v>0</v>
      </c>
      <c r="DM22" s="84">
        <f t="shared" si="36"/>
        <v>0.6</v>
      </c>
      <c r="DN22" s="226" t="s">
        <v>193</v>
      </c>
      <c r="DO22" s="227">
        <f>VLOOKUP(DN22,DATA!$B$13:$C$19,2,0)</f>
        <v>0</v>
      </c>
      <c r="DP22" s="9">
        <f>VLOOKUP($DN$1,DATA!$B$24:$C$45,2,0)</f>
        <v>7.0000000000000007E-2</v>
      </c>
      <c r="DQ22" s="9">
        <f t="shared" si="37"/>
        <v>0</v>
      </c>
      <c r="DR22" s="3">
        <f t="shared" si="38"/>
        <v>1.4000000000000001</v>
      </c>
      <c r="DS22" s="6"/>
      <c r="DT22" s="95"/>
      <c r="DU22" s="226" t="s">
        <v>193</v>
      </c>
      <c r="DV22" s="227">
        <f>VLOOKUP(DU22,DATA!$B$13:$C$19,2,0)</f>
        <v>0</v>
      </c>
      <c r="DW22" s="9">
        <f>VLOOKUP($DU$1,DATA!$B$24:$C$45,2,0)</f>
        <v>0.04</v>
      </c>
      <c r="DX22" s="9">
        <f t="shared" si="39"/>
        <v>0</v>
      </c>
      <c r="DY22" s="3">
        <f t="shared" si="40"/>
        <v>0.8</v>
      </c>
      <c r="DZ22" s="6"/>
      <c r="EA22" s="95"/>
      <c r="EB22" s="226" t="s">
        <v>193</v>
      </c>
      <c r="EC22" s="227">
        <f>VLOOKUP(EB22,DATA!$B$13:$C$19,2,0)</f>
        <v>0</v>
      </c>
      <c r="ED22" s="9">
        <f>VLOOKUP($EB$1,DATA!$B$24:$C$45,2,0)</f>
        <v>0.05</v>
      </c>
      <c r="EE22" s="9">
        <f t="shared" si="41"/>
        <v>0</v>
      </c>
      <c r="EF22" s="3">
        <f t="shared" si="42"/>
        <v>1</v>
      </c>
      <c r="EG22" s="6"/>
      <c r="EH22" s="95"/>
      <c r="EI22" s="226" t="s">
        <v>193</v>
      </c>
      <c r="EJ22" s="227">
        <f>VLOOKUP(EI22,DATA!$B$13:$C$19,2,0)</f>
        <v>0</v>
      </c>
      <c r="EK22" s="9">
        <f>VLOOKUP($EI$1,DATA!$B$24:$C$45,2,0)</f>
        <v>0.1</v>
      </c>
      <c r="EL22" s="9">
        <f t="shared" si="43"/>
        <v>0</v>
      </c>
      <c r="EM22" s="3">
        <f t="shared" si="44"/>
        <v>2</v>
      </c>
      <c r="EN22" s="6"/>
      <c r="EO22" s="95"/>
      <c r="EP22" s="226" t="s">
        <v>193</v>
      </c>
      <c r="EQ22" s="227">
        <f>VLOOKUP(EP22,DATA!$B$13:$C$19,2,0)</f>
        <v>0</v>
      </c>
      <c r="ER22" s="9">
        <f>VLOOKUP($EP$1,DATA!$B$24:$C$45,2,0)</f>
        <v>0.03</v>
      </c>
      <c r="ES22" s="9">
        <f t="shared" si="45"/>
        <v>0</v>
      </c>
      <c r="ET22" s="84">
        <f t="shared" si="46"/>
        <v>0.6</v>
      </c>
      <c r="EU22" s="245">
        <f t="shared" si="47"/>
        <v>16.705000000000002</v>
      </c>
      <c r="EV22" s="85" t="s">
        <v>186</v>
      </c>
      <c r="EW22" s="134" t="s">
        <v>187</v>
      </c>
      <c r="EX22" s="6"/>
    </row>
    <row r="23" spans="1:154" x14ac:dyDescent="0.3">
      <c r="A23" s="3" t="s">
        <v>188</v>
      </c>
      <c r="B23" s="3" t="s">
        <v>194</v>
      </c>
      <c r="C23" s="3" t="s">
        <v>182</v>
      </c>
      <c r="D23" s="85" t="s">
        <v>243</v>
      </c>
      <c r="E23" s="85" t="s">
        <v>247</v>
      </c>
      <c r="F23" s="3" t="s">
        <v>245</v>
      </c>
      <c r="G23" s="3" t="s">
        <v>248</v>
      </c>
      <c r="H23" s="3">
        <v>30</v>
      </c>
      <c r="I23" s="3"/>
      <c r="J23" s="229">
        <f>BaseDeDatos[[#This Row],[Budget CS]]+BaseDeDatos[[#This Row],[Change Orders Budget]]</f>
        <v>30</v>
      </c>
      <c r="K23" s="92">
        <f>IFERROR(VLOOKUP(G23, DATA!H:I, 2, FALSE), 0)+BaseDeDatos[[#This Row],[Labor Spend on Design errors]]+BaseDeDatos[[#This Row],[Labor
Spent Customer changes]]</f>
        <v>3</v>
      </c>
      <c r="L23" s="92"/>
      <c r="M23" s="92"/>
      <c r="N23" s="232">
        <f t="shared" si="0"/>
        <v>0.22615000000000005</v>
      </c>
      <c r="O23" s="238">
        <f t="shared" si="1"/>
        <v>3</v>
      </c>
      <c r="P23" s="39">
        <v>26.73</v>
      </c>
      <c r="Q23" s="89">
        <f>BaseDeDatos[[#This Row],[Budget]]*BaseDeDatos[[#This Row],[Labor Rate from CS]]</f>
        <v>801.9</v>
      </c>
      <c r="R23" s="94">
        <f>BaseDeDatos[[#This Row],[Labor
Spent]]*BaseDeDatos[[#This Row],[Labor Rate from CS]]</f>
        <v>80.19</v>
      </c>
      <c r="S23" s="42">
        <f t="shared" si="2"/>
        <v>0.1</v>
      </c>
      <c r="T23" s="98">
        <v>143300</v>
      </c>
      <c r="U23" s="98"/>
      <c r="V23" s="39"/>
      <c r="W23" s="98">
        <v>13794.08</v>
      </c>
      <c r="X23" s="98">
        <v>13794.08</v>
      </c>
      <c r="Y23" s="39"/>
      <c r="Z23" s="39"/>
      <c r="AA23" s="39">
        <v>112472.95</v>
      </c>
      <c r="AB23" s="120">
        <f t="shared" si="3"/>
        <v>97876.97</v>
      </c>
      <c r="AC23" s="175">
        <f>SUM(AB23,X23,R23,BaseDeDatos[[#This Row],[Additionals cost]])</f>
        <v>111751.24</v>
      </c>
      <c r="AD23" s="224">
        <v>0.21510000000000001</v>
      </c>
      <c r="AE23" s="117">
        <v>-3.0999999999999999E-3</v>
      </c>
      <c r="AF23" s="241">
        <f t="shared" si="4"/>
        <v>0.22015882763433353</v>
      </c>
      <c r="AG23" s="226"/>
      <c r="AH23" s="226" t="s">
        <v>185</v>
      </c>
      <c r="AI23" s="227">
        <f>VLOOKUP(AH23,DATA!$B$13:$C$19,2,0)</f>
        <v>100</v>
      </c>
      <c r="AJ23" s="5"/>
      <c r="AK23" s="3">
        <f>BaseDeDatos[[#This Row],[Read info
Status]]*(AJ23)/100</f>
        <v>0</v>
      </c>
      <c r="AL23" s="84">
        <f t="shared" si="5"/>
        <v>0</v>
      </c>
      <c r="AM23" s="226" t="s">
        <v>220</v>
      </c>
      <c r="AN23" s="227">
        <f>VLOOKUP(AM23,DATA!$B$13:$C$19,2,0)</f>
        <v>50</v>
      </c>
      <c r="AO23" s="9">
        <f>VLOOKUP($AM$1,DATA!$B$24:$C$45,2,0)</f>
        <v>0.05</v>
      </c>
      <c r="AP23" s="9">
        <f t="shared" si="6"/>
        <v>2.5000000000000001E-2</v>
      </c>
      <c r="AQ23" s="3">
        <f t="shared" si="7"/>
        <v>1.5</v>
      </c>
      <c r="AR23" s="6"/>
      <c r="AS23" s="95"/>
      <c r="AT23" s="226" t="s">
        <v>193</v>
      </c>
      <c r="AU23" s="227">
        <f>VLOOKUP(AT23,DATA!$B$13:$C$19,2,0)</f>
        <v>0</v>
      </c>
      <c r="AV23" s="9">
        <f>VLOOKUP($AT$1,DATA!$B$24:$C$45,2,0)</f>
        <v>0.01</v>
      </c>
      <c r="AW23" s="9">
        <f t="shared" si="8"/>
        <v>0</v>
      </c>
      <c r="AX23" s="3">
        <f t="shared" si="9"/>
        <v>0.3</v>
      </c>
      <c r="AY23" s="6"/>
      <c r="AZ23" s="95"/>
      <c r="BA23" s="226" t="s">
        <v>185</v>
      </c>
      <c r="BB23" s="227">
        <f>VLOOKUP(BA23,DATA!$B$13:$C$19,2,0)</f>
        <v>100</v>
      </c>
      <c r="BC23" s="9">
        <f>VLOOKUP($BA$1,DATA!$B$24:$C$45,2,0)</f>
        <v>0.01</v>
      </c>
      <c r="BD23" s="9">
        <f t="shared" si="10"/>
        <v>0.01</v>
      </c>
      <c r="BE23" s="84">
        <f t="shared" si="11"/>
        <v>0.3</v>
      </c>
      <c r="BF23" s="226" t="s">
        <v>237</v>
      </c>
      <c r="BG23" s="227">
        <f>VLOOKUP(BF23,DATA!$B$13:$C$19,2,0)</f>
        <v>25</v>
      </c>
      <c r="BH23" s="9">
        <f>VLOOKUP($BF$1,DATA!$B$24:$C$45,2,0)</f>
        <v>0.08</v>
      </c>
      <c r="BI23" s="9">
        <f t="shared" si="12"/>
        <v>0.02</v>
      </c>
      <c r="BJ23" s="84">
        <f t="shared" si="13"/>
        <v>2.4</v>
      </c>
      <c r="BK23" s="226" t="s">
        <v>193</v>
      </c>
      <c r="BL23" s="227">
        <f>VLOOKUP(BK23,DATA!$B$13:$C$19,2,0)</f>
        <v>0</v>
      </c>
      <c r="BM23" s="9">
        <f>VLOOKUP($BK$1,DATA!$B$24:$C$45,2,0)</f>
        <v>0.18</v>
      </c>
      <c r="BN23" s="9">
        <f t="shared" si="14"/>
        <v>0</v>
      </c>
      <c r="BO23" s="84">
        <f t="shared" si="15"/>
        <v>5.3999999999999995</v>
      </c>
      <c r="BP23" s="226" t="s">
        <v>193</v>
      </c>
      <c r="BQ23" s="227">
        <f>VLOOKUP(BP23,DATA!$B$13:$C$19,2,0)</f>
        <v>0</v>
      </c>
      <c r="BR23" s="9">
        <f>VLOOKUP($BP$1,DATA!$B$24:$C$45,2,0)</f>
        <v>0.28000000000000003</v>
      </c>
      <c r="BS23" s="9">
        <f t="shared" si="16"/>
        <v>0</v>
      </c>
      <c r="BT23" s="84">
        <f t="shared" si="17"/>
        <v>8.4</v>
      </c>
      <c r="BU23" s="226" t="s">
        <v>185</v>
      </c>
      <c r="BV23" s="227">
        <f>VLOOKUP(BU23,DATA!$B$13:$C$19,2,0)</f>
        <v>100</v>
      </c>
      <c r="BW23" s="9">
        <f>VLOOKUP($BU$1,DATA!$B$24:$C$45,2,0)</f>
        <v>0.15</v>
      </c>
      <c r="BX23" s="9">
        <f t="shared" si="18"/>
        <v>0.15</v>
      </c>
      <c r="BY23" s="84">
        <f t="shared" si="19"/>
        <v>4.5</v>
      </c>
      <c r="BZ23" s="226" t="s">
        <v>185</v>
      </c>
      <c r="CA23" s="227">
        <f>VLOOKUP(BZ23,DATA!$B$13:$C$19,2,0)</f>
        <v>100</v>
      </c>
      <c r="CB23" s="9">
        <f>VLOOKUP($BZ$1,DATA!$B$24:$C$45,2,0)</f>
        <v>0.16</v>
      </c>
      <c r="CC23" s="9">
        <f t="shared" si="20"/>
        <v>0.16</v>
      </c>
      <c r="CD23" s="84">
        <f t="shared" si="21"/>
        <v>4.8</v>
      </c>
      <c r="CE23" s="226" t="s">
        <v>237</v>
      </c>
      <c r="CF23" s="227">
        <f>VLOOKUP(CE23,DATA!$B$13:$C$19,2,0)</f>
        <v>25</v>
      </c>
      <c r="CG23" s="9">
        <f>VLOOKUP($CE$1,DATA!$B$24:$C$45,2,0)</f>
        <v>0.13</v>
      </c>
      <c r="CH23" s="9">
        <f t="shared" si="22"/>
        <v>3.2500000000000001E-2</v>
      </c>
      <c r="CI23" s="84">
        <f t="shared" si="23"/>
        <v>3.9000000000000004</v>
      </c>
      <c r="CJ23" s="226" t="s">
        <v>193</v>
      </c>
      <c r="CK23" s="227">
        <f>VLOOKUP(CJ23,DATA!$B$13:$C$19,2,0)</f>
        <v>0</v>
      </c>
      <c r="CL23" s="9">
        <f>VLOOKUP($CJ$1,DATA!$B$24:$C$45,2,0)</f>
        <v>0.01</v>
      </c>
      <c r="CM23" s="9">
        <f t="shared" si="24"/>
        <v>0</v>
      </c>
      <c r="CN23" s="84">
        <f t="shared" si="25"/>
        <v>0.3</v>
      </c>
      <c r="CO23" s="96">
        <f t="shared" si="26"/>
        <v>0.37250000000000005</v>
      </c>
      <c r="CP23" s="9">
        <f>VLOOKUP($CO$1,DATA!$B$24:$C$45,2,0)</f>
        <v>0.54</v>
      </c>
      <c r="CQ23" s="9">
        <f t="shared" si="27"/>
        <v>0.20115000000000005</v>
      </c>
      <c r="CR23" s="3">
        <f t="shared" si="28"/>
        <v>16.200000000000003</v>
      </c>
      <c r="CS23" s="7">
        <f t="shared" si="29"/>
        <v>6.0345000000000013</v>
      </c>
      <c r="CT23" s="243">
        <f t="shared" si="30"/>
        <v>10.165500000000002</v>
      </c>
      <c r="CU23" s="226" t="s">
        <v>193</v>
      </c>
      <c r="CV23" s="227">
        <f>VLOOKUP(CU23,DATA!$B$13:$C$19,2,0)</f>
        <v>0</v>
      </c>
      <c r="CW23" s="9">
        <f>VLOOKUP($CU$1,DATA!$B$24:$C$45,2,0)</f>
        <v>0.02</v>
      </c>
      <c r="CX23" s="9">
        <f t="shared" si="31"/>
        <v>0</v>
      </c>
      <c r="CY23" s="3">
        <f t="shared" si="32"/>
        <v>0.6</v>
      </c>
      <c r="CZ23" s="6"/>
      <c r="DA23" s="95"/>
      <c r="DB23" s="226" t="s">
        <v>193</v>
      </c>
      <c r="DC23" s="227">
        <f>VLOOKUP(DB23,DATA!$B$13:$C$19,2,0)</f>
        <v>0</v>
      </c>
      <c r="DD23" s="9">
        <f>VLOOKUP($DB$1,DATA!$B$24:$C$45,2,0)</f>
        <v>0.01</v>
      </c>
      <c r="DE23" s="9">
        <f t="shared" si="33"/>
        <v>0</v>
      </c>
      <c r="DF23" s="3">
        <f t="shared" si="34"/>
        <v>0.3</v>
      </c>
      <c r="DG23" s="6"/>
      <c r="DH23" s="95"/>
      <c r="DI23" s="226" t="s">
        <v>193</v>
      </c>
      <c r="DJ23" s="227">
        <f>VLOOKUP(DI23,DATA!$B$13:$C$19,2,0)</f>
        <v>0</v>
      </c>
      <c r="DK23" s="9">
        <f>VLOOKUP($DI$1,DATA!$B$24:$C$45,2,0)</f>
        <v>0.03</v>
      </c>
      <c r="DL23" s="9">
        <f t="shared" si="35"/>
        <v>0</v>
      </c>
      <c r="DM23" s="84">
        <f t="shared" si="36"/>
        <v>0.89999999999999991</v>
      </c>
      <c r="DN23" s="226" t="s">
        <v>193</v>
      </c>
      <c r="DO23" s="227">
        <f>VLOOKUP(DN23,DATA!$B$13:$C$19,2,0)</f>
        <v>0</v>
      </c>
      <c r="DP23" s="9">
        <f>VLOOKUP($DN$1,DATA!$B$24:$C$45,2,0)</f>
        <v>7.0000000000000007E-2</v>
      </c>
      <c r="DQ23" s="9">
        <f t="shared" si="37"/>
        <v>0</v>
      </c>
      <c r="DR23" s="3">
        <f t="shared" si="38"/>
        <v>2.1</v>
      </c>
      <c r="DS23" s="6"/>
      <c r="DT23" s="95"/>
      <c r="DU23" s="226" t="s">
        <v>193</v>
      </c>
      <c r="DV23" s="227">
        <f>VLOOKUP(DU23,DATA!$B$13:$C$19,2,0)</f>
        <v>0</v>
      </c>
      <c r="DW23" s="9">
        <f>VLOOKUP($DU$1,DATA!$B$24:$C$45,2,0)</f>
        <v>0.04</v>
      </c>
      <c r="DX23" s="9">
        <f t="shared" si="39"/>
        <v>0</v>
      </c>
      <c r="DY23" s="3">
        <f t="shared" si="40"/>
        <v>1.2</v>
      </c>
      <c r="DZ23" s="6"/>
      <c r="EA23" s="95"/>
      <c r="EB23" s="226" t="s">
        <v>193</v>
      </c>
      <c r="EC23" s="227">
        <f>VLOOKUP(EB23,DATA!$B$13:$C$19,2,0)</f>
        <v>0</v>
      </c>
      <c r="ED23" s="9">
        <f>VLOOKUP($EB$1,DATA!$B$24:$C$45,2,0)</f>
        <v>0.05</v>
      </c>
      <c r="EE23" s="9">
        <f t="shared" si="41"/>
        <v>0</v>
      </c>
      <c r="EF23" s="3">
        <f t="shared" si="42"/>
        <v>1.5</v>
      </c>
      <c r="EG23" s="6"/>
      <c r="EH23" s="95"/>
      <c r="EI23" s="226" t="s">
        <v>193</v>
      </c>
      <c r="EJ23" s="227">
        <f>VLOOKUP(EI23,DATA!$B$13:$C$19,2,0)</f>
        <v>0</v>
      </c>
      <c r="EK23" s="9">
        <f>VLOOKUP($EI$1,DATA!$B$24:$C$45,2,0)</f>
        <v>0.1</v>
      </c>
      <c r="EL23" s="9">
        <f t="shared" si="43"/>
        <v>0</v>
      </c>
      <c r="EM23" s="3">
        <f t="shared" si="44"/>
        <v>3</v>
      </c>
      <c r="EN23" s="6"/>
      <c r="EO23" s="95"/>
      <c r="EP23" s="226" t="s">
        <v>193</v>
      </c>
      <c r="EQ23" s="227">
        <f>VLOOKUP(EP23,DATA!$B$13:$C$19,2,0)</f>
        <v>0</v>
      </c>
      <c r="ER23" s="9">
        <f>VLOOKUP($EP$1,DATA!$B$24:$C$45,2,0)</f>
        <v>0.03</v>
      </c>
      <c r="ES23" s="9">
        <f t="shared" si="45"/>
        <v>0</v>
      </c>
      <c r="ET23" s="84">
        <f t="shared" si="46"/>
        <v>0.89999999999999991</v>
      </c>
      <c r="EU23" s="245">
        <f t="shared" si="47"/>
        <v>22.465500000000002</v>
      </c>
      <c r="EV23" s="85" t="s">
        <v>186</v>
      </c>
      <c r="EW23" s="134" t="s">
        <v>187</v>
      </c>
      <c r="EX23" s="6"/>
    </row>
    <row r="24" spans="1:154" x14ac:dyDescent="0.3">
      <c r="A24" s="3" t="s">
        <v>188</v>
      </c>
      <c r="B24" s="3" t="s">
        <v>194</v>
      </c>
      <c r="C24" s="3" t="s">
        <v>182</v>
      </c>
      <c r="D24" s="85" t="s">
        <v>243</v>
      </c>
      <c r="E24" s="85" t="s">
        <v>249</v>
      </c>
      <c r="F24" s="3" t="s">
        <v>245</v>
      </c>
      <c r="G24" s="3" t="s">
        <v>250</v>
      </c>
      <c r="H24" s="3">
        <v>10</v>
      </c>
      <c r="I24" s="3"/>
      <c r="J24" s="229">
        <f>BaseDeDatos[[#This Row],[Budget CS]]+BaseDeDatos[[#This Row],[Change Orders Budget]]</f>
        <v>10</v>
      </c>
      <c r="K24" s="92">
        <f>IFERROR(VLOOKUP(G24, DATA!H:I, 2, FALSE), 0)+BaseDeDatos[[#This Row],[Labor Spend on Design errors]]+BaseDeDatos[[#This Row],[Labor
Spent Customer changes]]</f>
        <v>3</v>
      </c>
      <c r="L24" s="92"/>
      <c r="M24" s="92"/>
      <c r="N24" s="232">
        <f t="shared" si="0"/>
        <v>0.34900000000000003</v>
      </c>
      <c r="O24" s="238">
        <f t="shared" si="1"/>
        <v>3</v>
      </c>
      <c r="P24" s="39">
        <v>26.73</v>
      </c>
      <c r="Q24" s="89">
        <f>BaseDeDatos[[#This Row],[Budget]]*BaseDeDatos[[#This Row],[Labor Rate from CS]]</f>
        <v>267.3</v>
      </c>
      <c r="R24" s="94">
        <f>BaseDeDatos[[#This Row],[Labor
Spent]]*BaseDeDatos[[#This Row],[Labor Rate from CS]]</f>
        <v>80.19</v>
      </c>
      <c r="S24" s="42">
        <f t="shared" si="2"/>
        <v>0.3</v>
      </c>
      <c r="T24" s="98">
        <v>8835</v>
      </c>
      <c r="U24" s="98"/>
      <c r="V24" s="39"/>
      <c r="W24" s="98">
        <v>472</v>
      </c>
      <c r="X24" s="98">
        <v>472</v>
      </c>
      <c r="Y24" s="39"/>
      <c r="Z24" s="39"/>
      <c r="AA24" s="39">
        <v>6933.58</v>
      </c>
      <c r="AB24" s="120">
        <f t="shared" si="3"/>
        <v>6194.28</v>
      </c>
      <c r="AC24" s="175">
        <f>SUM(AB24,X24,R24,BaseDeDatos[[#This Row],[Additionals cost]])</f>
        <v>6746.4699999999993</v>
      </c>
      <c r="AD24" s="224">
        <v>0.2152</v>
      </c>
      <c r="AE24" s="117">
        <v>-3.0999999999999999E-3</v>
      </c>
      <c r="AF24" s="241">
        <f t="shared" si="4"/>
        <v>0.23639275608375784</v>
      </c>
      <c r="AG24" s="226"/>
      <c r="AH24" s="226" t="s">
        <v>185</v>
      </c>
      <c r="AI24" s="227">
        <f>VLOOKUP(AH24,DATA!$B$13:$C$19,2,0)</f>
        <v>100</v>
      </c>
      <c r="AJ24" s="5"/>
      <c r="AK24" s="3">
        <f>BaseDeDatos[[#This Row],[Read info
Status]]*(AJ24)/100</f>
        <v>0</v>
      </c>
      <c r="AL24" s="84">
        <f t="shared" si="5"/>
        <v>0</v>
      </c>
      <c r="AM24" s="226" t="s">
        <v>220</v>
      </c>
      <c r="AN24" s="227">
        <f>VLOOKUP(AM24,DATA!$B$13:$C$19,2,0)</f>
        <v>50</v>
      </c>
      <c r="AO24" s="9">
        <f>VLOOKUP($AM$1,DATA!$B$24:$C$45,2,0)</f>
        <v>0.05</v>
      </c>
      <c r="AP24" s="9">
        <f t="shared" si="6"/>
        <v>2.5000000000000001E-2</v>
      </c>
      <c r="AQ24" s="3">
        <f t="shared" si="7"/>
        <v>0.5</v>
      </c>
      <c r="AR24" s="6"/>
      <c r="AS24" s="95"/>
      <c r="AT24" s="226" t="s">
        <v>193</v>
      </c>
      <c r="AU24" s="227">
        <f>VLOOKUP(AT24,DATA!$B$13:$C$19,2,0)</f>
        <v>0</v>
      </c>
      <c r="AV24" s="9">
        <f>VLOOKUP($AT$1,DATA!$B$24:$C$45,2,0)</f>
        <v>0.01</v>
      </c>
      <c r="AW24" s="9">
        <f t="shared" si="8"/>
        <v>0</v>
      </c>
      <c r="AX24" s="3">
        <f t="shared" si="9"/>
        <v>0.1</v>
      </c>
      <c r="AY24" s="6"/>
      <c r="AZ24" s="95"/>
      <c r="BA24" s="226" t="s">
        <v>185</v>
      </c>
      <c r="BB24" s="227">
        <f>VLOOKUP(BA24,DATA!$B$13:$C$19,2,0)</f>
        <v>100</v>
      </c>
      <c r="BC24" s="9">
        <f>VLOOKUP($BA$1,DATA!$B$24:$C$45,2,0)</f>
        <v>0.01</v>
      </c>
      <c r="BD24" s="9">
        <f t="shared" si="10"/>
        <v>0.01</v>
      </c>
      <c r="BE24" s="84">
        <f t="shared" si="11"/>
        <v>0.1</v>
      </c>
      <c r="BF24" s="226" t="s">
        <v>185</v>
      </c>
      <c r="BG24" s="227">
        <f>VLOOKUP(BF24,DATA!$B$13:$C$19,2,0)</f>
        <v>100</v>
      </c>
      <c r="BH24" s="9">
        <f>VLOOKUP($BF$1,DATA!$B$24:$C$45,2,0)</f>
        <v>0.08</v>
      </c>
      <c r="BI24" s="9">
        <f t="shared" si="12"/>
        <v>0.08</v>
      </c>
      <c r="BJ24" s="84">
        <f t="shared" si="13"/>
        <v>0.8</v>
      </c>
      <c r="BK24" s="226" t="s">
        <v>193</v>
      </c>
      <c r="BL24" s="227">
        <f>VLOOKUP(BK24,DATA!$B$13:$C$19,2,0)</f>
        <v>0</v>
      </c>
      <c r="BM24" s="9">
        <f>VLOOKUP($BK$1,DATA!$B$24:$C$45,2,0)</f>
        <v>0.18</v>
      </c>
      <c r="BN24" s="9">
        <f t="shared" si="14"/>
        <v>0</v>
      </c>
      <c r="BO24" s="84">
        <f t="shared" si="15"/>
        <v>1.7999999999999998</v>
      </c>
      <c r="BP24" s="226" t="s">
        <v>237</v>
      </c>
      <c r="BQ24" s="227">
        <f>VLOOKUP(BP24,DATA!$B$13:$C$19,2,0)</f>
        <v>25</v>
      </c>
      <c r="BR24" s="9">
        <f>VLOOKUP($BP$1,DATA!$B$24:$C$45,2,0)</f>
        <v>0.28000000000000003</v>
      </c>
      <c r="BS24" s="9">
        <f t="shared" si="16"/>
        <v>7.0000000000000007E-2</v>
      </c>
      <c r="BT24" s="84">
        <f t="shared" si="17"/>
        <v>2.8000000000000003</v>
      </c>
      <c r="BU24" s="226" t="s">
        <v>185</v>
      </c>
      <c r="BV24" s="227">
        <f>VLOOKUP(BU24,DATA!$B$13:$C$19,2,0)</f>
        <v>100</v>
      </c>
      <c r="BW24" s="9">
        <f>VLOOKUP($BU$1,DATA!$B$24:$C$45,2,0)</f>
        <v>0.15</v>
      </c>
      <c r="BX24" s="9">
        <f t="shared" si="18"/>
        <v>0.15</v>
      </c>
      <c r="BY24" s="84">
        <f t="shared" si="19"/>
        <v>1.5</v>
      </c>
      <c r="BZ24" s="226" t="s">
        <v>185</v>
      </c>
      <c r="CA24" s="227">
        <f>VLOOKUP(BZ24,DATA!$B$13:$C$19,2,0)</f>
        <v>100</v>
      </c>
      <c r="CB24" s="9">
        <f>VLOOKUP($BZ$1,DATA!$B$24:$C$45,2,0)</f>
        <v>0.16</v>
      </c>
      <c r="CC24" s="9">
        <f t="shared" si="20"/>
        <v>0.16</v>
      </c>
      <c r="CD24" s="84">
        <f t="shared" si="21"/>
        <v>1.6</v>
      </c>
      <c r="CE24" s="226" t="s">
        <v>185</v>
      </c>
      <c r="CF24" s="227">
        <f>VLOOKUP(CE24,DATA!$B$13:$C$19,2,0)</f>
        <v>100</v>
      </c>
      <c r="CG24" s="9">
        <f>VLOOKUP($CE$1,DATA!$B$24:$C$45,2,0)</f>
        <v>0.13</v>
      </c>
      <c r="CH24" s="9">
        <f t="shared" si="22"/>
        <v>0.13</v>
      </c>
      <c r="CI24" s="84">
        <f t="shared" si="23"/>
        <v>1.3</v>
      </c>
      <c r="CJ24" s="226" t="s">
        <v>193</v>
      </c>
      <c r="CK24" s="227">
        <f>VLOOKUP(CJ24,DATA!$B$13:$C$19,2,0)</f>
        <v>0</v>
      </c>
      <c r="CL24" s="9">
        <f>VLOOKUP($CJ$1,DATA!$B$24:$C$45,2,0)</f>
        <v>0.01</v>
      </c>
      <c r="CM24" s="9">
        <f t="shared" si="24"/>
        <v>0</v>
      </c>
      <c r="CN24" s="84">
        <f t="shared" si="25"/>
        <v>0.1</v>
      </c>
      <c r="CO24" s="96">
        <f t="shared" si="26"/>
        <v>0.6</v>
      </c>
      <c r="CP24" s="9">
        <f>VLOOKUP($CO$1,DATA!$B$24:$C$45,2,0)</f>
        <v>0.54</v>
      </c>
      <c r="CQ24" s="9">
        <f t="shared" si="27"/>
        <v>0.32400000000000001</v>
      </c>
      <c r="CR24" s="3">
        <f t="shared" si="28"/>
        <v>5.4</v>
      </c>
      <c r="CS24" s="7">
        <f t="shared" si="29"/>
        <v>3.24</v>
      </c>
      <c r="CT24" s="243">
        <f t="shared" si="30"/>
        <v>2.16</v>
      </c>
      <c r="CU24" s="226" t="s">
        <v>193</v>
      </c>
      <c r="CV24" s="227">
        <f>VLOOKUP(CU24,DATA!$B$13:$C$19,2,0)</f>
        <v>0</v>
      </c>
      <c r="CW24" s="9">
        <f>VLOOKUP($CU$1,DATA!$B$24:$C$45,2,0)</f>
        <v>0.02</v>
      </c>
      <c r="CX24" s="9">
        <f t="shared" si="31"/>
        <v>0</v>
      </c>
      <c r="CY24" s="3">
        <f t="shared" si="32"/>
        <v>0.2</v>
      </c>
      <c r="CZ24" s="6"/>
      <c r="DA24" s="95"/>
      <c r="DB24" s="226" t="s">
        <v>193</v>
      </c>
      <c r="DC24" s="227">
        <f>VLOOKUP(DB24,DATA!$B$13:$C$19,2,0)</f>
        <v>0</v>
      </c>
      <c r="DD24" s="9">
        <f>VLOOKUP($DB$1,DATA!$B$24:$C$45,2,0)</f>
        <v>0.01</v>
      </c>
      <c r="DE24" s="9">
        <f t="shared" si="33"/>
        <v>0</v>
      </c>
      <c r="DF24" s="3">
        <f t="shared" si="34"/>
        <v>0.1</v>
      </c>
      <c r="DG24" s="6"/>
      <c r="DH24" s="95"/>
      <c r="DI24" s="226" t="s">
        <v>193</v>
      </c>
      <c r="DJ24" s="227">
        <f>VLOOKUP(DI24,DATA!$B$13:$C$19,2,0)</f>
        <v>0</v>
      </c>
      <c r="DK24" s="9">
        <f>VLOOKUP($DI$1,DATA!$B$24:$C$45,2,0)</f>
        <v>0.03</v>
      </c>
      <c r="DL24" s="9">
        <f t="shared" si="35"/>
        <v>0</v>
      </c>
      <c r="DM24" s="84">
        <f t="shared" si="36"/>
        <v>0.3</v>
      </c>
      <c r="DN24" s="226" t="s">
        <v>193</v>
      </c>
      <c r="DO24" s="227">
        <f>VLOOKUP(DN24,DATA!$B$13:$C$19,2,0)</f>
        <v>0</v>
      </c>
      <c r="DP24" s="9">
        <f>VLOOKUP($DN$1,DATA!$B$24:$C$45,2,0)</f>
        <v>7.0000000000000007E-2</v>
      </c>
      <c r="DQ24" s="9">
        <f t="shared" si="37"/>
        <v>0</v>
      </c>
      <c r="DR24" s="3">
        <f t="shared" si="38"/>
        <v>0.70000000000000007</v>
      </c>
      <c r="DS24" s="6"/>
      <c r="DT24" s="95"/>
      <c r="DU24" s="226" t="s">
        <v>193</v>
      </c>
      <c r="DV24" s="227">
        <f>VLOOKUP(DU24,DATA!$B$13:$C$19,2,0)</f>
        <v>0</v>
      </c>
      <c r="DW24" s="9">
        <f>VLOOKUP($DU$1,DATA!$B$24:$C$45,2,0)</f>
        <v>0.04</v>
      </c>
      <c r="DX24" s="9">
        <f t="shared" si="39"/>
        <v>0</v>
      </c>
      <c r="DY24" s="3">
        <f t="shared" si="40"/>
        <v>0.4</v>
      </c>
      <c r="DZ24" s="6"/>
      <c r="EA24" s="95"/>
      <c r="EB24" s="226" t="s">
        <v>193</v>
      </c>
      <c r="EC24" s="227">
        <f>VLOOKUP(EB24,DATA!$B$13:$C$19,2,0)</f>
        <v>0</v>
      </c>
      <c r="ED24" s="9">
        <f>VLOOKUP($EB$1,DATA!$B$24:$C$45,2,0)</f>
        <v>0.05</v>
      </c>
      <c r="EE24" s="9">
        <f t="shared" si="41"/>
        <v>0</v>
      </c>
      <c r="EF24" s="3">
        <f t="shared" si="42"/>
        <v>0.5</v>
      </c>
      <c r="EG24" s="6"/>
      <c r="EH24" s="95"/>
      <c r="EI24" s="226" t="s">
        <v>193</v>
      </c>
      <c r="EJ24" s="227">
        <f>VLOOKUP(EI24,DATA!$B$13:$C$19,2,0)</f>
        <v>0</v>
      </c>
      <c r="EK24" s="9">
        <f>VLOOKUP($EI$1,DATA!$B$24:$C$45,2,0)</f>
        <v>0.1</v>
      </c>
      <c r="EL24" s="9">
        <f t="shared" si="43"/>
        <v>0</v>
      </c>
      <c r="EM24" s="3">
        <f t="shared" si="44"/>
        <v>1</v>
      </c>
      <c r="EN24" s="6"/>
      <c r="EO24" s="95"/>
      <c r="EP24" s="226" t="s">
        <v>193</v>
      </c>
      <c r="EQ24" s="227">
        <f>VLOOKUP(EP24,DATA!$B$13:$C$19,2,0)</f>
        <v>0</v>
      </c>
      <c r="ER24" s="9">
        <f>VLOOKUP($EP$1,DATA!$B$24:$C$45,2,0)</f>
        <v>0.03</v>
      </c>
      <c r="ES24" s="9">
        <f t="shared" si="45"/>
        <v>0</v>
      </c>
      <c r="ET24" s="84">
        <f t="shared" si="46"/>
        <v>0.3</v>
      </c>
      <c r="EU24" s="245">
        <f t="shared" si="47"/>
        <v>6.2600000000000007</v>
      </c>
      <c r="EV24" s="85" t="s">
        <v>186</v>
      </c>
      <c r="EW24" s="134" t="s">
        <v>187</v>
      </c>
      <c r="EX24" s="6"/>
    </row>
    <row r="25" spans="1:154" x14ac:dyDescent="0.3">
      <c r="A25" s="3" t="s">
        <v>180</v>
      </c>
      <c r="B25" s="3" t="s">
        <v>181</v>
      </c>
      <c r="C25" s="3" t="s">
        <v>251</v>
      </c>
      <c r="D25" s="85" t="s">
        <v>252</v>
      </c>
      <c r="E25" s="85" t="s">
        <v>253</v>
      </c>
      <c r="F25" s="3">
        <v>3328</v>
      </c>
      <c r="G25" s="3" t="s">
        <v>254</v>
      </c>
      <c r="H25" s="3">
        <v>30</v>
      </c>
      <c r="I25" s="3"/>
      <c r="J25" s="229">
        <f>BaseDeDatos[[#This Row],[Budget CS]]+BaseDeDatos[[#This Row],[Change Orders Budget]]</f>
        <v>30</v>
      </c>
      <c r="K25" s="92">
        <f>IFERROR(VLOOKUP(G25, DATA!H:I, 2, FALSE), 0)+BaseDeDatos[[#This Row],[Labor Spend on Design errors]]+BaseDeDatos[[#This Row],[Labor
Spent Customer changes]]</f>
        <v>20.5</v>
      </c>
      <c r="L25" s="92"/>
      <c r="M25" s="92"/>
      <c r="N25" s="232">
        <f t="shared" si="0"/>
        <v>0.94500000000000006</v>
      </c>
      <c r="O25" s="238">
        <f t="shared" si="1"/>
        <v>20.5</v>
      </c>
      <c r="P25" s="39">
        <v>26.73</v>
      </c>
      <c r="Q25" s="89">
        <f>BaseDeDatos[[#This Row],[Budget]]*BaseDeDatos[[#This Row],[Labor Rate from CS]]</f>
        <v>801.9</v>
      </c>
      <c r="R25" s="89">
        <f>BaseDeDatos[[#This Row],[Labor
Spent]]*BaseDeDatos[[#This Row],[Labor Rate from CS]]</f>
        <v>547.96500000000003</v>
      </c>
      <c r="S25" s="93">
        <f t="shared" si="2"/>
        <v>0.68333333333333335</v>
      </c>
      <c r="T25" s="98">
        <v>45410</v>
      </c>
      <c r="U25" s="98">
        <v>10493.57</v>
      </c>
      <c r="V25" s="98">
        <v>8236.48</v>
      </c>
      <c r="W25" s="98">
        <v>6866</v>
      </c>
      <c r="X25" s="98">
        <v>6866</v>
      </c>
      <c r="Y25" s="98"/>
      <c r="Z25" s="98"/>
      <c r="AA25" s="98">
        <v>35641.82</v>
      </c>
      <c r="AB25" s="89">
        <f t="shared" si="3"/>
        <v>27973.919999999998</v>
      </c>
      <c r="AC25" s="120">
        <f>SUM(AB25,X25,R25,BaseDeDatos[[#This Row],[Additionals cost]])</f>
        <v>43624.364999999991</v>
      </c>
      <c r="AD25" s="117">
        <v>0.21510000000000001</v>
      </c>
      <c r="AE25" s="117">
        <v>0.23499999999999999</v>
      </c>
      <c r="AF25" s="240">
        <f t="shared" si="4"/>
        <v>0.22070281876238726</v>
      </c>
      <c r="AG25" s="226">
        <v>45824</v>
      </c>
      <c r="AH25" s="226" t="s">
        <v>185</v>
      </c>
      <c r="AI25" s="227">
        <f>VLOOKUP(AH25,DATA!$B$13:$C$19,2,0)</f>
        <v>100</v>
      </c>
      <c r="AJ25" s="4">
        <f>VLOOKUP($AH$1,DATA!$B$24:$C$45,2,0)</f>
        <v>0.05</v>
      </c>
      <c r="AK25" s="69">
        <f>BaseDeDatos[[#This Row],[Read info
Status]]*(AJ25)/100</f>
        <v>0.05</v>
      </c>
      <c r="AL25" s="79">
        <f t="shared" si="5"/>
        <v>1.5</v>
      </c>
      <c r="AM25" s="226" t="s">
        <v>185</v>
      </c>
      <c r="AN25" s="227">
        <f>VLOOKUP(AM25,DATA!$B$13:$C$19,2,0)</f>
        <v>100</v>
      </c>
      <c r="AO25" s="4">
        <f>VLOOKUP($AM$1,DATA!$B$24:$C$45,2,0)</f>
        <v>0.05</v>
      </c>
      <c r="AP25" s="4">
        <f t="shared" si="6"/>
        <v>0.05</v>
      </c>
      <c r="AQ25" s="69">
        <f t="shared" si="7"/>
        <v>1.5</v>
      </c>
      <c r="AR25" s="5">
        <v>45838</v>
      </c>
      <c r="AS25" s="95">
        <v>45840</v>
      </c>
      <c r="AT25" s="226" t="s">
        <v>185</v>
      </c>
      <c r="AU25" s="227">
        <f>VLOOKUP(AT25,DATA!$B$13:$C$19,2,0)</f>
        <v>100</v>
      </c>
      <c r="AV25" s="4">
        <f>VLOOKUP($AT$1,DATA!$B$24:$C$45,2,0)</f>
        <v>0.01</v>
      </c>
      <c r="AW25" s="4">
        <f t="shared" si="8"/>
        <v>0.01</v>
      </c>
      <c r="AX25" s="69">
        <f t="shared" si="9"/>
        <v>0.3</v>
      </c>
      <c r="AY25" s="5">
        <v>45905</v>
      </c>
      <c r="AZ25" s="95">
        <v>45930</v>
      </c>
      <c r="BA25" s="226" t="s">
        <v>185</v>
      </c>
      <c r="BB25" s="227">
        <f>VLOOKUP(BA25,DATA!$B$13:$C$19,2,0)</f>
        <v>100</v>
      </c>
      <c r="BC25" s="4">
        <f>VLOOKUP($BA$1,DATA!$B$24:$C$45,2,0)</f>
        <v>0.01</v>
      </c>
      <c r="BD25" s="4">
        <f t="shared" si="10"/>
        <v>0.01</v>
      </c>
      <c r="BE25" s="79">
        <f t="shared" si="11"/>
        <v>0.3</v>
      </c>
      <c r="BF25" s="226" t="s">
        <v>185</v>
      </c>
      <c r="BG25" s="227">
        <f>VLOOKUP(BF25,DATA!$B$13:$C$19,2,0)</f>
        <v>100</v>
      </c>
      <c r="BH25" s="4">
        <f>VLOOKUP($BF$1,DATA!$B$24:$C$45,2,0)</f>
        <v>0.08</v>
      </c>
      <c r="BI25" s="4">
        <f t="shared" si="12"/>
        <v>0.08</v>
      </c>
      <c r="BJ25" s="79">
        <f t="shared" si="13"/>
        <v>2.4</v>
      </c>
      <c r="BK25" s="226" t="s">
        <v>185</v>
      </c>
      <c r="BL25" s="227">
        <f>VLOOKUP(BK25,DATA!$B$13:$C$19,2,0)</f>
        <v>100</v>
      </c>
      <c r="BM25" s="4">
        <f>VLOOKUP($BK$1,DATA!$B$24:$C$45,2,0)</f>
        <v>0.18</v>
      </c>
      <c r="BN25" s="4">
        <f t="shared" si="14"/>
        <v>0.18</v>
      </c>
      <c r="BO25" s="79">
        <f t="shared" si="15"/>
        <v>5.3999999999999995</v>
      </c>
      <c r="BP25" s="226" t="s">
        <v>185</v>
      </c>
      <c r="BQ25" s="227">
        <f>VLOOKUP(BP25,DATA!$B$13:$C$19,2,0)</f>
        <v>100</v>
      </c>
      <c r="BR25" s="4">
        <f>VLOOKUP($BP$1,DATA!$B$24:$C$45,2,0)</f>
        <v>0.28000000000000003</v>
      </c>
      <c r="BS25" s="4">
        <f t="shared" si="16"/>
        <v>0.28000000000000003</v>
      </c>
      <c r="BT25" s="79">
        <f t="shared" si="17"/>
        <v>8.4</v>
      </c>
      <c r="BU25" s="226" t="s">
        <v>185</v>
      </c>
      <c r="BV25" s="227">
        <f>VLOOKUP(BU25,DATA!$B$13:$C$19,2,0)</f>
        <v>100</v>
      </c>
      <c r="BW25" s="4">
        <f>VLOOKUP($BU$1,DATA!$B$24:$C$45,2,0)</f>
        <v>0.15</v>
      </c>
      <c r="BX25" s="4">
        <f t="shared" si="18"/>
        <v>0.15</v>
      </c>
      <c r="BY25" s="79">
        <f t="shared" si="19"/>
        <v>4.5</v>
      </c>
      <c r="BZ25" s="226" t="s">
        <v>185</v>
      </c>
      <c r="CA25" s="227">
        <f>VLOOKUP(BZ25,DATA!$B$13:$C$19,2,0)</f>
        <v>100</v>
      </c>
      <c r="CB25" s="4">
        <f>VLOOKUP($BZ$1,DATA!$B$24:$C$45,2,0)</f>
        <v>0.16</v>
      </c>
      <c r="CC25" s="4">
        <f t="shared" si="20"/>
        <v>0.16</v>
      </c>
      <c r="CD25" s="79">
        <f t="shared" si="21"/>
        <v>4.8</v>
      </c>
      <c r="CE25" s="226" t="s">
        <v>185</v>
      </c>
      <c r="CF25" s="227">
        <f>VLOOKUP(CE25,DATA!$B$13:$C$19,2,0)</f>
        <v>100</v>
      </c>
      <c r="CG25" s="4">
        <f>VLOOKUP($CE$1,DATA!$B$24:$C$45,2,0)</f>
        <v>0.13</v>
      </c>
      <c r="CH25" s="4">
        <f t="shared" si="22"/>
        <v>0.13</v>
      </c>
      <c r="CI25" s="79">
        <f t="shared" si="23"/>
        <v>3.9000000000000004</v>
      </c>
      <c r="CJ25" s="226" t="s">
        <v>185</v>
      </c>
      <c r="CK25" s="227">
        <f>VLOOKUP(CJ25,DATA!$B$13:$C$19,2,0)</f>
        <v>100</v>
      </c>
      <c r="CL25" s="4">
        <f>VLOOKUP($CJ$1,DATA!$B$24:$C$45,2,0)</f>
        <v>0.01</v>
      </c>
      <c r="CM25" s="4">
        <f t="shared" si="24"/>
        <v>0.01</v>
      </c>
      <c r="CN25" s="79">
        <f t="shared" si="25"/>
        <v>0.3</v>
      </c>
      <c r="CO25" s="83">
        <f t="shared" si="26"/>
        <v>1</v>
      </c>
      <c r="CP25" s="4">
        <f>VLOOKUP($CO$1,DATA!$B$24:$C$45,2,0)</f>
        <v>0.54</v>
      </c>
      <c r="CQ25" s="81">
        <f t="shared" si="27"/>
        <v>0.54</v>
      </c>
      <c r="CR25" s="80">
        <f t="shared" si="28"/>
        <v>16.200000000000003</v>
      </c>
      <c r="CS25" s="129">
        <f t="shared" si="29"/>
        <v>16.200000000000003</v>
      </c>
      <c r="CT25" s="242">
        <f t="shared" si="30"/>
        <v>0</v>
      </c>
      <c r="CU25" s="226" t="s">
        <v>185</v>
      </c>
      <c r="CV25" s="227">
        <f>VLOOKUP(CU25,DATA!$B$13:$C$19,2,0)</f>
        <v>100</v>
      </c>
      <c r="CW25" s="4">
        <f>VLOOKUP($CU$1,DATA!$B$24:$C$45,2,0)</f>
        <v>0.02</v>
      </c>
      <c r="CX25" s="4">
        <f t="shared" si="31"/>
        <v>0.02</v>
      </c>
      <c r="CY25" s="69">
        <f t="shared" si="32"/>
        <v>0.6</v>
      </c>
      <c r="CZ25" s="87">
        <v>45916</v>
      </c>
      <c r="DA25" s="86">
        <v>45931</v>
      </c>
      <c r="DB25" s="226" t="s">
        <v>185</v>
      </c>
      <c r="DC25" s="227">
        <f>VLOOKUP(DB25,DATA!$B$13:$C$19,2,0)</f>
        <v>100</v>
      </c>
      <c r="DD25" s="4">
        <f>VLOOKUP($DB$1,DATA!$B$24:$C$45,2,0)</f>
        <v>0.01</v>
      </c>
      <c r="DE25" s="4">
        <f t="shared" si="33"/>
        <v>0.01</v>
      </c>
      <c r="DF25" s="69">
        <f t="shared" si="34"/>
        <v>0.3</v>
      </c>
      <c r="DG25" s="87">
        <v>45919</v>
      </c>
      <c r="DH25" s="86">
        <v>45936</v>
      </c>
      <c r="DI25" s="226" t="s">
        <v>185</v>
      </c>
      <c r="DJ25" s="227">
        <f>VLOOKUP(DI25,DATA!$B$13:$C$19,2,0)</f>
        <v>100</v>
      </c>
      <c r="DK25" s="4">
        <f>VLOOKUP($DI$1,DATA!$B$24:$C$45,2,0)</f>
        <v>0.03</v>
      </c>
      <c r="DL25" s="4">
        <f t="shared" si="35"/>
        <v>0.03</v>
      </c>
      <c r="DM25" s="79">
        <f t="shared" si="36"/>
        <v>0.89999999999999991</v>
      </c>
      <c r="DN25" s="226" t="s">
        <v>185</v>
      </c>
      <c r="DO25" s="227">
        <f>VLOOKUP(DN25,DATA!$B$13:$C$19,2,0)</f>
        <v>100</v>
      </c>
      <c r="DP25" s="4">
        <f>VLOOKUP($DN$1,DATA!$B$24:$C$45,2,0)</f>
        <v>7.0000000000000007E-2</v>
      </c>
      <c r="DQ25" s="4">
        <f t="shared" si="37"/>
        <v>7.0000000000000007E-2</v>
      </c>
      <c r="DR25" s="69">
        <f t="shared" si="38"/>
        <v>2.1</v>
      </c>
      <c r="DS25" s="87">
        <v>45919</v>
      </c>
      <c r="DT25" s="86">
        <v>45939</v>
      </c>
      <c r="DU25" s="226" t="s">
        <v>185</v>
      </c>
      <c r="DV25" s="227">
        <f>VLOOKUP(DU25,DATA!$B$13:$C$19,2,0)</f>
        <v>100</v>
      </c>
      <c r="DW25" s="4">
        <f>VLOOKUP($DU$1,DATA!$B$24:$C$45,2,0)</f>
        <v>0.04</v>
      </c>
      <c r="DX25" s="4">
        <f t="shared" si="39"/>
        <v>0.04</v>
      </c>
      <c r="DY25" s="69">
        <f t="shared" si="40"/>
        <v>1.2</v>
      </c>
      <c r="DZ25" s="87">
        <v>45923</v>
      </c>
      <c r="EA25" s="86">
        <v>45953</v>
      </c>
      <c r="EB25" s="226" t="s">
        <v>220</v>
      </c>
      <c r="EC25" s="227">
        <f>VLOOKUP(EB25,DATA!$B$13:$C$19,2,0)</f>
        <v>50</v>
      </c>
      <c r="ED25" s="4">
        <f>VLOOKUP($EB$1,DATA!$B$24:$C$45,2,0)</f>
        <v>0.05</v>
      </c>
      <c r="EE25" s="4">
        <f t="shared" si="41"/>
        <v>2.5000000000000001E-2</v>
      </c>
      <c r="EF25" s="69">
        <f t="shared" si="42"/>
        <v>1.5</v>
      </c>
      <c r="EG25" s="87"/>
      <c r="EH25" s="86"/>
      <c r="EI25" s="226" t="s">
        <v>185</v>
      </c>
      <c r="EJ25" s="227">
        <f>VLOOKUP(EI25,DATA!$B$13:$C$19,2,0)</f>
        <v>100</v>
      </c>
      <c r="EK25" s="4">
        <f>VLOOKUP($EI$1,DATA!$B$24:$C$45,2,0)</f>
        <v>0.1</v>
      </c>
      <c r="EL25" s="4">
        <f t="shared" si="43"/>
        <v>0.1</v>
      </c>
      <c r="EM25" s="69">
        <f t="shared" si="44"/>
        <v>3</v>
      </c>
      <c r="EN25" s="87"/>
      <c r="EO25" s="86">
        <v>45986</v>
      </c>
      <c r="EP25" s="226" t="s">
        <v>193</v>
      </c>
      <c r="EQ25" s="227">
        <f>VLOOKUP(EP25,DATA!$B$13:$C$19,2,0)</f>
        <v>0</v>
      </c>
      <c r="ER25" s="4">
        <f>VLOOKUP($EP$1,DATA!$B$24:$C$45,2,0)</f>
        <v>0.03</v>
      </c>
      <c r="ES25" s="4">
        <f t="shared" si="45"/>
        <v>0</v>
      </c>
      <c r="ET25" s="79">
        <f t="shared" si="46"/>
        <v>0.89999999999999991</v>
      </c>
      <c r="EU25" s="244">
        <f t="shared" si="47"/>
        <v>2.4</v>
      </c>
      <c r="EV25" s="85" t="s">
        <v>187</v>
      </c>
      <c r="EW25" s="134" t="s">
        <v>197</v>
      </c>
      <c r="EX25" s="6"/>
    </row>
    <row r="26" spans="1:154" x14ac:dyDescent="0.3">
      <c r="A26" s="3" t="s">
        <v>180</v>
      </c>
      <c r="B26" s="3" t="s">
        <v>181</v>
      </c>
      <c r="C26" s="3" t="s">
        <v>251</v>
      </c>
      <c r="D26" s="85" t="s">
        <v>255</v>
      </c>
      <c r="E26" s="85" t="s">
        <v>253</v>
      </c>
      <c r="F26" s="3">
        <v>3328</v>
      </c>
      <c r="G26" s="3" t="s">
        <v>256</v>
      </c>
      <c r="H26" s="3">
        <v>20</v>
      </c>
      <c r="I26" s="3"/>
      <c r="J26" s="229">
        <f>BaseDeDatos[[#This Row],[Budget CS]]+BaseDeDatos[[#This Row],[Change Orders Budget]]</f>
        <v>20</v>
      </c>
      <c r="K26" s="92">
        <f>IFERROR(VLOOKUP(G26, DATA!H:I, 2, FALSE), 0)+BaseDeDatos[[#This Row],[Labor Spend on Design errors]]+BaseDeDatos[[#This Row],[Labor
Spent Customer changes]]</f>
        <v>14.5</v>
      </c>
      <c r="L26" s="92"/>
      <c r="M26" s="92"/>
      <c r="N26" s="232">
        <f t="shared" si="0"/>
        <v>0.94500000000000006</v>
      </c>
      <c r="O26" s="238">
        <f t="shared" si="1"/>
        <v>14.5</v>
      </c>
      <c r="P26" s="39">
        <v>26.73</v>
      </c>
      <c r="Q26" s="89">
        <f>BaseDeDatos[[#This Row],[Budget]]*BaseDeDatos[[#This Row],[Labor Rate from CS]]</f>
        <v>534.6</v>
      </c>
      <c r="R26" s="89">
        <f>BaseDeDatos[[#This Row],[Labor
Spent]]*BaseDeDatos[[#This Row],[Labor Rate from CS]]</f>
        <v>387.58499999999998</v>
      </c>
      <c r="S26" s="93">
        <f t="shared" si="2"/>
        <v>0.72499999999999998</v>
      </c>
      <c r="T26" s="98">
        <v>30695</v>
      </c>
      <c r="U26" s="98">
        <v>10493.57</v>
      </c>
      <c r="V26" s="98">
        <v>8236.48</v>
      </c>
      <c r="W26" s="98">
        <v>2144</v>
      </c>
      <c r="X26" s="98">
        <v>2144</v>
      </c>
      <c r="Y26" s="98"/>
      <c r="Z26" s="98"/>
      <c r="AA26" s="98">
        <v>24091.07</v>
      </c>
      <c r="AB26" s="89">
        <f t="shared" si="3"/>
        <v>21412.47</v>
      </c>
      <c r="AC26" s="120">
        <f>SUM(AB26,X26,R26,BaseDeDatos[[#This Row],[Additionals cost]])</f>
        <v>32180.535</v>
      </c>
      <c r="AD26" s="117">
        <v>0.21510000000000001</v>
      </c>
      <c r="AE26" s="117">
        <v>0.23499999999999999</v>
      </c>
      <c r="AF26" s="240">
        <f t="shared" si="4"/>
        <v>0.21993630884508877</v>
      </c>
      <c r="AG26" s="226">
        <v>45824</v>
      </c>
      <c r="AH26" s="226" t="s">
        <v>185</v>
      </c>
      <c r="AI26" s="227">
        <f>VLOOKUP(AH26,DATA!$B$13:$C$19,2,0)</f>
        <v>100</v>
      </c>
      <c r="AJ26" s="4">
        <f>VLOOKUP($AH$1,DATA!$B$24:$C$45,2,0)</f>
        <v>0.05</v>
      </c>
      <c r="AK26" s="69">
        <f>BaseDeDatos[[#This Row],[Read info
Status]]*(AJ26)/100</f>
        <v>0.05</v>
      </c>
      <c r="AL26" s="79">
        <f t="shared" si="5"/>
        <v>1</v>
      </c>
      <c r="AM26" s="226" t="s">
        <v>185</v>
      </c>
      <c r="AN26" s="227">
        <f>VLOOKUP(AM26,DATA!$B$13:$C$19,2,0)</f>
        <v>100</v>
      </c>
      <c r="AO26" s="4">
        <f>VLOOKUP($AM$1,DATA!$B$24:$C$45,2,0)</f>
        <v>0.05</v>
      </c>
      <c r="AP26" s="4">
        <f t="shared" si="6"/>
        <v>0.05</v>
      </c>
      <c r="AQ26" s="69">
        <f t="shared" si="7"/>
        <v>1</v>
      </c>
      <c r="AR26" s="5">
        <v>45838</v>
      </c>
      <c r="AS26" s="95">
        <v>45840</v>
      </c>
      <c r="AT26" s="226" t="s">
        <v>185</v>
      </c>
      <c r="AU26" s="227">
        <f>VLOOKUP(AT26,DATA!$B$13:$C$19,2,0)</f>
        <v>100</v>
      </c>
      <c r="AV26" s="4">
        <f>VLOOKUP($AT$1,DATA!$B$24:$C$45,2,0)</f>
        <v>0.01</v>
      </c>
      <c r="AW26" s="4">
        <f t="shared" si="8"/>
        <v>0.01</v>
      </c>
      <c r="AX26" s="69">
        <f t="shared" si="9"/>
        <v>0.2</v>
      </c>
      <c r="AY26" s="5">
        <v>45905</v>
      </c>
      <c r="AZ26" s="95">
        <v>45930</v>
      </c>
      <c r="BA26" s="226" t="s">
        <v>185</v>
      </c>
      <c r="BB26" s="227">
        <f>VLOOKUP(BA26,DATA!$B$13:$C$19,2,0)</f>
        <v>100</v>
      </c>
      <c r="BC26" s="4">
        <f>VLOOKUP($BA$1,DATA!$B$24:$C$45,2,0)</f>
        <v>0.01</v>
      </c>
      <c r="BD26" s="4">
        <f t="shared" si="10"/>
        <v>0.01</v>
      </c>
      <c r="BE26" s="79">
        <f t="shared" si="11"/>
        <v>0.2</v>
      </c>
      <c r="BF26" s="226" t="s">
        <v>185</v>
      </c>
      <c r="BG26" s="227">
        <f>VLOOKUP(BF26,DATA!$B$13:$C$19,2,0)</f>
        <v>100</v>
      </c>
      <c r="BH26" s="4">
        <f>VLOOKUP($BF$1,DATA!$B$24:$C$45,2,0)</f>
        <v>0.08</v>
      </c>
      <c r="BI26" s="4">
        <f t="shared" si="12"/>
        <v>0.08</v>
      </c>
      <c r="BJ26" s="79">
        <f t="shared" si="13"/>
        <v>1.6</v>
      </c>
      <c r="BK26" s="226" t="s">
        <v>185</v>
      </c>
      <c r="BL26" s="227">
        <f>VLOOKUP(BK26,DATA!$B$13:$C$19,2,0)</f>
        <v>100</v>
      </c>
      <c r="BM26" s="4">
        <f>VLOOKUP($BK$1,DATA!$B$24:$C$45,2,0)</f>
        <v>0.18</v>
      </c>
      <c r="BN26" s="4">
        <f t="shared" si="14"/>
        <v>0.18</v>
      </c>
      <c r="BO26" s="79">
        <f t="shared" si="15"/>
        <v>3.5999999999999996</v>
      </c>
      <c r="BP26" s="226" t="s">
        <v>185</v>
      </c>
      <c r="BQ26" s="227">
        <f>VLOOKUP(BP26,DATA!$B$13:$C$19,2,0)</f>
        <v>100</v>
      </c>
      <c r="BR26" s="4">
        <f>VLOOKUP($BP$1,DATA!$B$24:$C$45,2,0)</f>
        <v>0.28000000000000003</v>
      </c>
      <c r="BS26" s="4">
        <f t="shared" si="16"/>
        <v>0.28000000000000003</v>
      </c>
      <c r="BT26" s="79">
        <f t="shared" si="17"/>
        <v>5.6000000000000005</v>
      </c>
      <c r="BU26" s="226" t="s">
        <v>185</v>
      </c>
      <c r="BV26" s="227">
        <f>VLOOKUP(BU26,DATA!$B$13:$C$19,2,0)</f>
        <v>100</v>
      </c>
      <c r="BW26" s="4">
        <f>VLOOKUP($BU$1,DATA!$B$24:$C$45,2,0)</f>
        <v>0.15</v>
      </c>
      <c r="BX26" s="4">
        <f t="shared" si="18"/>
        <v>0.15</v>
      </c>
      <c r="BY26" s="79">
        <f t="shared" si="19"/>
        <v>3</v>
      </c>
      <c r="BZ26" s="226" t="s">
        <v>185</v>
      </c>
      <c r="CA26" s="227">
        <f>VLOOKUP(BZ26,DATA!$B$13:$C$19,2,0)</f>
        <v>100</v>
      </c>
      <c r="CB26" s="4">
        <f>VLOOKUP($BZ$1,DATA!$B$24:$C$45,2,0)</f>
        <v>0.16</v>
      </c>
      <c r="CC26" s="4">
        <f t="shared" si="20"/>
        <v>0.16</v>
      </c>
      <c r="CD26" s="79">
        <f t="shared" si="21"/>
        <v>3.2</v>
      </c>
      <c r="CE26" s="226" t="s">
        <v>185</v>
      </c>
      <c r="CF26" s="227">
        <f>VLOOKUP(CE26,DATA!$B$13:$C$19,2,0)</f>
        <v>100</v>
      </c>
      <c r="CG26" s="4">
        <f>VLOOKUP($CE$1,DATA!$B$24:$C$45,2,0)</f>
        <v>0.13</v>
      </c>
      <c r="CH26" s="4">
        <f t="shared" si="22"/>
        <v>0.13</v>
      </c>
      <c r="CI26" s="79">
        <f t="shared" si="23"/>
        <v>2.6</v>
      </c>
      <c r="CJ26" s="226" t="s">
        <v>185</v>
      </c>
      <c r="CK26" s="227">
        <f>VLOOKUP(CJ26,DATA!$B$13:$C$19,2,0)</f>
        <v>100</v>
      </c>
      <c r="CL26" s="4">
        <f>VLOOKUP($CJ$1,DATA!$B$24:$C$45,2,0)</f>
        <v>0.01</v>
      </c>
      <c r="CM26" s="4">
        <f t="shared" si="24"/>
        <v>0.01</v>
      </c>
      <c r="CN26" s="79">
        <f t="shared" si="25"/>
        <v>0.2</v>
      </c>
      <c r="CO26" s="83">
        <f t="shared" si="26"/>
        <v>1</v>
      </c>
      <c r="CP26" s="4">
        <f>VLOOKUP($CO$1,DATA!$B$24:$C$45,2,0)</f>
        <v>0.54</v>
      </c>
      <c r="CQ26" s="81">
        <f t="shared" si="27"/>
        <v>0.54</v>
      </c>
      <c r="CR26" s="80">
        <f t="shared" si="28"/>
        <v>10.8</v>
      </c>
      <c r="CS26" s="129">
        <f t="shared" si="29"/>
        <v>10.8</v>
      </c>
      <c r="CT26" s="242">
        <f t="shared" si="30"/>
        <v>0</v>
      </c>
      <c r="CU26" s="226" t="s">
        <v>185</v>
      </c>
      <c r="CV26" s="227">
        <f>VLOOKUP(CU26,DATA!$B$13:$C$19,2,0)</f>
        <v>100</v>
      </c>
      <c r="CW26" s="4">
        <f>VLOOKUP($CU$1,DATA!$B$24:$C$45,2,0)</f>
        <v>0.02</v>
      </c>
      <c r="CX26" s="4">
        <f t="shared" si="31"/>
        <v>0.02</v>
      </c>
      <c r="CY26" s="69">
        <f t="shared" si="32"/>
        <v>0.4</v>
      </c>
      <c r="CZ26" s="87">
        <v>45916</v>
      </c>
      <c r="DA26" s="86">
        <v>45931</v>
      </c>
      <c r="DB26" s="226" t="s">
        <v>185</v>
      </c>
      <c r="DC26" s="227">
        <f>VLOOKUP(DB26,DATA!$B$13:$C$19,2,0)</f>
        <v>100</v>
      </c>
      <c r="DD26" s="4">
        <f>VLOOKUP($DB$1,DATA!$B$24:$C$45,2,0)</f>
        <v>0.01</v>
      </c>
      <c r="DE26" s="4">
        <f t="shared" si="33"/>
        <v>0.01</v>
      </c>
      <c r="DF26" s="69">
        <f t="shared" si="34"/>
        <v>0.2</v>
      </c>
      <c r="DG26" s="87">
        <v>45919</v>
      </c>
      <c r="DH26" s="86">
        <v>45936</v>
      </c>
      <c r="DI26" s="226" t="s">
        <v>185</v>
      </c>
      <c r="DJ26" s="227">
        <f>VLOOKUP(DI26,DATA!$B$13:$C$19,2,0)</f>
        <v>100</v>
      </c>
      <c r="DK26" s="4">
        <f>VLOOKUP($DI$1,DATA!$B$24:$C$45,2,0)</f>
        <v>0.03</v>
      </c>
      <c r="DL26" s="4">
        <f t="shared" si="35"/>
        <v>0.03</v>
      </c>
      <c r="DM26" s="79">
        <f t="shared" si="36"/>
        <v>0.6</v>
      </c>
      <c r="DN26" s="226" t="s">
        <v>185</v>
      </c>
      <c r="DO26" s="227">
        <f>VLOOKUP(DN26,DATA!$B$13:$C$19,2,0)</f>
        <v>100</v>
      </c>
      <c r="DP26" s="4">
        <f>VLOOKUP($DN$1,DATA!$B$24:$C$45,2,0)</f>
        <v>7.0000000000000007E-2</v>
      </c>
      <c r="DQ26" s="4">
        <f t="shared" si="37"/>
        <v>7.0000000000000007E-2</v>
      </c>
      <c r="DR26" s="69">
        <f t="shared" si="38"/>
        <v>1.4000000000000001</v>
      </c>
      <c r="DS26" s="87">
        <v>45919</v>
      </c>
      <c r="DT26" s="86">
        <v>45939</v>
      </c>
      <c r="DU26" s="226" t="s">
        <v>185</v>
      </c>
      <c r="DV26" s="227">
        <f>VLOOKUP(DU26,DATA!$B$13:$C$19,2,0)</f>
        <v>100</v>
      </c>
      <c r="DW26" s="4">
        <f>VLOOKUP($DU$1,DATA!$B$24:$C$45,2,0)</f>
        <v>0.04</v>
      </c>
      <c r="DX26" s="4">
        <f t="shared" si="39"/>
        <v>0.04</v>
      </c>
      <c r="DY26" s="69">
        <f t="shared" si="40"/>
        <v>0.8</v>
      </c>
      <c r="DZ26" s="87">
        <v>45923</v>
      </c>
      <c r="EA26" s="86">
        <v>45953</v>
      </c>
      <c r="EB26" s="226" t="s">
        <v>220</v>
      </c>
      <c r="EC26" s="227">
        <f>VLOOKUP(EB26,DATA!$B$13:$C$19,2,0)</f>
        <v>50</v>
      </c>
      <c r="ED26" s="4">
        <f>VLOOKUP($EB$1,DATA!$B$24:$C$45,2,0)</f>
        <v>0.05</v>
      </c>
      <c r="EE26" s="4">
        <f t="shared" si="41"/>
        <v>2.5000000000000001E-2</v>
      </c>
      <c r="EF26" s="69">
        <f t="shared" si="42"/>
        <v>1</v>
      </c>
      <c r="EG26" s="87"/>
      <c r="EH26" s="86"/>
      <c r="EI26" s="226" t="s">
        <v>185</v>
      </c>
      <c r="EJ26" s="227">
        <f>VLOOKUP(EI26,DATA!$B$13:$C$19,2,0)</f>
        <v>100</v>
      </c>
      <c r="EK26" s="4">
        <f>VLOOKUP($EI$1,DATA!$B$24:$C$45,2,0)</f>
        <v>0.1</v>
      </c>
      <c r="EL26" s="4">
        <f t="shared" si="43"/>
        <v>0.1</v>
      </c>
      <c r="EM26" s="69">
        <f t="shared" si="44"/>
        <v>2</v>
      </c>
      <c r="EN26" s="87"/>
      <c r="EO26" s="86">
        <v>45986</v>
      </c>
      <c r="EP26" s="226" t="s">
        <v>193</v>
      </c>
      <c r="EQ26" s="227">
        <f>VLOOKUP(EP26,DATA!$B$13:$C$19,2,0)</f>
        <v>0</v>
      </c>
      <c r="ER26" s="4">
        <f>VLOOKUP($EP$1,DATA!$B$24:$C$45,2,0)</f>
        <v>0.03</v>
      </c>
      <c r="ES26" s="4">
        <f t="shared" si="45"/>
        <v>0</v>
      </c>
      <c r="ET26" s="79">
        <f t="shared" si="46"/>
        <v>0.6</v>
      </c>
      <c r="EU26" s="244">
        <f t="shared" si="47"/>
        <v>1.6</v>
      </c>
      <c r="EV26" s="85" t="s">
        <v>187</v>
      </c>
      <c r="EW26" s="134" t="s">
        <v>197</v>
      </c>
      <c r="EX26" s="6"/>
    </row>
    <row r="27" spans="1:154" x14ac:dyDescent="0.3">
      <c r="A27" s="3" t="s">
        <v>180</v>
      </c>
      <c r="B27" s="3" t="s">
        <v>181</v>
      </c>
      <c r="C27" s="3" t="s">
        <v>251</v>
      </c>
      <c r="D27" s="85" t="s">
        <v>257</v>
      </c>
      <c r="E27" s="85" t="s">
        <v>253</v>
      </c>
      <c r="F27" s="3">
        <v>3328</v>
      </c>
      <c r="G27" s="3" t="s">
        <v>258</v>
      </c>
      <c r="H27" s="3">
        <v>30</v>
      </c>
      <c r="I27" s="3"/>
      <c r="J27" s="229">
        <f>BaseDeDatos[[#This Row],[Budget CS]]+BaseDeDatos[[#This Row],[Change Orders Budget]]</f>
        <v>30</v>
      </c>
      <c r="K27" s="92">
        <f>IFERROR(VLOOKUP(G27, DATA!H:I, 2, FALSE), 0)+BaseDeDatos[[#This Row],[Labor Spend on Design errors]]+BaseDeDatos[[#This Row],[Labor
Spent Customer changes]]</f>
        <v>21</v>
      </c>
      <c r="L27" s="92"/>
      <c r="M27" s="92"/>
      <c r="N27" s="232">
        <f t="shared" si="0"/>
        <v>0.94500000000000006</v>
      </c>
      <c r="O27" s="238">
        <f t="shared" si="1"/>
        <v>21</v>
      </c>
      <c r="P27" s="39">
        <v>26.73</v>
      </c>
      <c r="Q27" s="89">
        <f>BaseDeDatos[[#This Row],[Budget]]*BaseDeDatos[[#This Row],[Labor Rate from CS]]</f>
        <v>801.9</v>
      </c>
      <c r="R27" s="89">
        <f>BaseDeDatos[[#This Row],[Labor
Spent]]*BaseDeDatos[[#This Row],[Labor Rate from CS]]</f>
        <v>561.33000000000004</v>
      </c>
      <c r="S27" s="93">
        <f t="shared" si="2"/>
        <v>0.7</v>
      </c>
      <c r="T27" s="98">
        <v>56030</v>
      </c>
      <c r="U27" s="98">
        <v>10493.57</v>
      </c>
      <c r="V27" s="98">
        <v>8236.48</v>
      </c>
      <c r="W27" s="98">
        <v>6240</v>
      </c>
      <c r="X27" s="98">
        <v>6240</v>
      </c>
      <c r="Y27" s="98"/>
      <c r="Z27" s="98"/>
      <c r="AA27" s="98">
        <v>43977.74</v>
      </c>
      <c r="AB27" s="89">
        <f t="shared" si="3"/>
        <v>36935.839999999997</v>
      </c>
      <c r="AC27" s="120">
        <f>SUM(AB27,X27,R27,BaseDeDatos[[#This Row],[Additionals cost]])</f>
        <v>51973.649999999994</v>
      </c>
      <c r="AD27" s="117">
        <v>0.21510000000000001</v>
      </c>
      <c r="AE27" s="117">
        <v>0.23499999999999999</v>
      </c>
      <c r="AF27" s="240">
        <f t="shared" si="4"/>
        <v>0.21939728716758883</v>
      </c>
      <c r="AG27" s="226">
        <v>45824</v>
      </c>
      <c r="AH27" s="226" t="s">
        <v>185</v>
      </c>
      <c r="AI27" s="227">
        <f>VLOOKUP(AH27,DATA!$B$13:$C$19,2,0)</f>
        <v>100</v>
      </c>
      <c r="AJ27" s="4">
        <f>VLOOKUP($AH$1,DATA!$B$24:$C$45,2,0)</f>
        <v>0.05</v>
      </c>
      <c r="AK27" s="69">
        <f>BaseDeDatos[[#This Row],[Read info
Status]]*(AJ27)/100</f>
        <v>0.05</v>
      </c>
      <c r="AL27" s="79">
        <f t="shared" si="5"/>
        <v>1.5</v>
      </c>
      <c r="AM27" s="226" t="s">
        <v>185</v>
      </c>
      <c r="AN27" s="227">
        <f>VLOOKUP(AM27,DATA!$B$13:$C$19,2,0)</f>
        <v>100</v>
      </c>
      <c r="AO27" s="4">
        <f>VLOOKUP($AM$1,DATA!$B$24:$C$45,2,0)</f>
        <v>0.05</v>
      </c>
      <c r="AP27" s="4">
        <f t="shared" si="6"/>
        <v>0.05</v>
      </c>
      <c r="AQ27" s="69">
        <f t="shared" si="7"/>
        <v>1.5</v>
      </c>
      <c r="AR27" s="5">
        <v>45838</v>
      </c>
      <c r="AS27" s="95">
        <v>45840</v>
      </c>
      <c r="AT27" s="226" t="s">
        <v>185</v>
      </c>
      <c r="AU27" s="227">
        <f>VLOOKUP(AT27,DATA!$B$13:$C$19,2,0)</f>
        <v>100</v>
      </c>
      <c r="AV27" s="4">
        <f>VLOOKUP($AT$1,DATA!$B$24:$C$45,2,0)</f>
        <v>0.01</v>
      </c>
      <c r="AW27" s="4">
        <f t="shared" si="8"/>
        <v>0.01</v>
      </c>
      <c r="AX27" s="69">
        <f t="shared" si="9"/>
        <v>0.3</v>
      </c>
      <c r="AY27" s="5">
        <v>45905</v>
      </c>
      <c r="AZ27" s="95">
        <v>45905</v>
      </c>
      <c r="BA27" s="226" t="s">
        <v>185</v>
      </c>
      <c r="BB27" s="227">
        <f>VLOOKUP(BA27,DATA!$B$13:$C$19,2,0)</f>
        <v>100</v>
      </c>
      <c r="BC27" s="4">
        <f>VLOOKUP($BA$1,DATA!$B$24:$C$45,2,0)</f>
        <v>0.01</v>
      </c>
      <c r="BD27" s="4">
        <f t="shared" si="10"/>
        <v>0.01</v>
      </c>
      <c r="BE27" s="79">
        <f t="shared" si="11"/>
        <v>0.3</v>
      </c>
      <c r="BF27" s="226" t="s">
        <v>185</v>
      </c>
      <c r="BG27" s="227">
        <f>VLOOKUP(BF27,DATA!$B$13:$C$19,2,0)</f>
        <v>100</v>
      </c>
      <c r="BH27" s="4">
        <f>VLOOKUP($BF$1,DATA!$B$24:$C$45,2,0)</f>
        <v>0.08</v>
      </c>
      <c r="BI27" s="4">
        <f t="shared" si="12"/>
        <v>0.08</v>
      </c>
      <c r="BJ27" s="79">
        <f t="shared" si="13"/>
        <v>2.4</v>
      </c>
      <c r="BK27" s="226" t="s">
        <v>185</v>
      </c>
      <c r="BL27" s="227">
        <f>VLOOKUP(BK27,DATA!$B$13:$C$19,2,0)</f>
        <v>100</v>
      </c>
      <c r="BM27" s="4">
        <f>VLOOKUP($BK$1,DATA!$B$24:$C$45,2,0)</f>
        <v>0.18</v>
      </c>
      <c r="BN27" s="4">
        <f t="shared" si="14"/>
        <v>0.18</v>
      </c>
      <c r="BO27" s="79">
        <f t="shared" si="15"/>
        <v>5.3999999999999995</v>
      </c>
      <c r="BP27" s="226" t="s">
        <v>185</v>
      </c>
      <c r="BQ27" s="227">
        <f>VLOOKUP(BP27,DATA!$B$13:$C$19,2,0)</f>
        <v>100</v>
      </c>
      <c r="BR27" s="4">
        <f>VLOOKUP($BP$1,DATA!$B$24:$C$45,2,0)</f>
        <v>0.28000000000000003</v>
      </c>
      <c r="BS27" s="4">
        <f t="shared" si="16"/>
        <v>0.28000000000000003</v>
      </c>
      <c r="BT27" s="79">
        <f t="shared" si="17"/>
        <v>8.4</v>
      </c>
      <c r="BU27" s="226" t="s">
        <v>185</v>
      </c>
      <c r="BV27" s="227">
        <f>VLOOKUP(BU27,DATA!$B$13:$C$19,2,0)</f>
        <v>100</v>
      </c>
      <c r="BW27" s="4">
        <f>VLOOKUP($BU$1,DATA!$B$24:$C$45,2,0)</f>
        <v>0.15</v>
      </c>
      <c r="BX27" s="4">
        <f t="shared" si="18"/>
        <v>0.15</v>
      </c>
      <c r="BY27" s="79">
        <f t="shared" si="19"/>
        <v>4.5</v>
      </c>
      <c r="BZ27" s="226" t="s">
        <v>185</v>
      </c>
      <c r="CA27" s="227">
        <f>VLOOKUP(BZ27,DATA!$B$13:$C$19,2,0)</f>
        <v>100</v>
      </c>
      <c r="CB27" s="4">
        <f>VLOOKUP($BZ$1,DATA!$B$24:$C$45,2,0)</f>
        <v>0.16</v>
      </c>
      <c r="CC27" s="4">
        <f t="shared" si="20"/>
        <v>0.16</v>
      </c>
      <c r="CD27" s="79">
        <f t="shared" si="21"/>
        <v>4.8</v>
      </c>
      <c r="CE27" s="226" t="s">
        <v>185</v>
      </c>
      <c r="CF27" s="227">
        <f>VLOOKUP(CE27,DATA!$B$13:$C$19,2,0)</f>
        <v>100</v>
      </c>
      <c r="CG27" s="4">
        <f>VLOOKUP($CE$1,DATA!$B$24:$C$45,2,0)</f>
        <v>0.13</v>
      </c>
      <c r="CH27" s="4">
        <f t="shared" si="22"/>
        <v>0.13</v>
      </c>
      <c r="CI27" s="79">
        <f t="shared" si="23"/>
        <v>3.9000000000000004</v>
      </c>
      <c r="CJ27" s="226" t="s">
        <v>185</v>
      </c>
      <c r="CK27" s="227">
        <f>VLOOKUP(CJ27,DATA!$B$13:$C$19,2,0)</f>
        <v>100</v>
      </c>
      <c r="CL27" s="4">
        <f>VLOOKUP($CJ$1,DATA!$B$24:$C$45,2,0)</f>
        <v>0.01</v>
      </c>
      <c r="CM27" s="4">
        <f t="shared" si="24"/>
        <v>0.01</v>
      </c>
      <c r="CN27" s="79">
        <f t="shared" si="25"/>
        <v>0.3</v>
      </c>
      <c r="CO27" s="83">
        <f t="shared" si="26"/>
        <v>1</v>
      </c>
      <c r="CP27" s="4">
        <f>VLOOKUP($CO$1,DATA!$B$24:$C$45,2,0)</f>
        <v>0.54</v>
      </c>
      <c r="CQ27" s="81">
        <f t="shared" si="27"/>
        <v>0.54</v>
      </c>
      <c r="CR27" s="80">
        <f t="shared" si="28"/>
        <v>16.200000000000003</v>
      </c>
      <c r="CS27" s="129">
        <f t="shared" si="29"/>
        <v>16.200000000000003</v>
      </c>
      <c r="CT27" s="242">
        <f t="shared" si="30"/>
        <v>0</v>
      </c>
      <c r="CU27" s="226" t="s">
        <v>185</v>
      </c>
      <c r="CV27" s="227">
        <f>VLOOKUP(CU27,DATA!$B$13:$C$19,2,0)</f>
        <v>100</v>
      </c>
      <c r="CW27" s="4">
        <f>VLOOKUP($CU$1,DATA!$B$24:$C$45,2,0)</f>
        <v>0.02</v>
      </c>
      <c r="CX27" s="4">
        <f t="shared" si="31"/>
        <v>0.02</v>
      </c>
      <c r="CY27" s="69">
        <f t="shared" si="32"/>
        <v>0.6</v>
      </c>
      <c r="CZ27" s="87">
        <v>45916</v>
      </c>
      <c r="DA27" s="86">
        <v>45915</v>
      </c>
      <c r="DB27" s="226" t="s">
        <v>185</v>
      </c>
      <c r="DC27" s="227">
        <f>VLOOKUP(DB27,DATA!$B$13:$C$19,2,0)</f>
        <v>100</v>
      </c>
      <c r="DD27" s="4">
        <f>VLOOKUP($DB$1,DATA!$B$24:$C$45,2,0)</f>
        <v>0.01</v>
      </c>
      <c r="DE27" s="4">
        <f t="shared" si="33"/>
        <v>0.01</v>
      </c>
      <c r="DF27" s="69">
        <f t="shared" si="34"/>
        <v>0.3</v>
      </c>
      <c r="DG27" s="87">
        <v>45919</v>
      </c>
      <c r="DH27" s="86">
        <v>45931</v>
      </c>
      <c r="DI27" s="226" t="s">
        <v>185</v>
      </c>
      <c r="DJ27" s="227">
        <f>VLOOKUP(DI27,DATA!$B$13:$C$19,2,0)</f>
        <v>100</v>
      </c>
      <c r="DK27" s="4">
        <f>VLOOKUP($DI$1,DATA!$B$24:$C$45,2,0)</f>
        <v>0.03</v>
      </c>
      <c r="DL27" s="4">
        <f t="shared" si="35"/>
        <v>0.03</v>
      </c>
      <c r="DM27" s="79">
        <f t="shared" si="36"/>
        <v>0.89999999999999991</v>
      </c>
      <c r="DN27" s="226" t="s">
        <v>185</v>
      </c>
      <c r="DO27" s="227">
        <f>VLOOKUP(DN27,DATA!$B$13:$C$19,2,0)</f>
        <v>100</v>
      </c>
      <c r="DP27" s="4">
        <f>VLOOKUP($DN$1,DATA!$B$24:$C$45,2,0)</f>
        <v>7.0000000000000007E-2</v>
      </c>
      <c r="DQ27" s="4">
        <f t="shared" si="37"/>
        <v>7.0000000000000007E-2</v>
      </c>
      <c r="DR27" s="69">
        <f t="shared" si="38"/>
        <v>2.1</v>
      </c>
      <c r="DS27" s="87">
        <v>45919</v>
      </c>
      <c r="DT27" s="86">
        <v>45939</v>
      </c>
      <c r="DU27" s="226" t="s">
        <v>185</v>
      </c>
      <c r="DV27" s="227">
        <f>VLOOKUP(DU27,DATA!$B$13:$C$19,2,0)</f>
        <v>100</v>
      </c>
      <c r="DW27" s="4">
        <f>VLOOKUP($DU$1,DATA!$B$24:$C$45,2,0)</f>
        <v>0.04</v>
      </c>
      <c r="DX27" s="4">
        <f t="shared" si="39"/>
        <v>0.04</v>
      </c>
      <c r="DY27" s="69">
        <f t="shared" si="40"/>
        <v>1.2</v>
      </c>
      <c r="DZ27" s="87">
        <v>45923</v>
      </c>
      <c r="EA27" s="86">
        <v>45953</v>
      </c>
      <c r="EB27" s="226" t="s">
        <v>220</v>
      </c>
      <c r="EC27" s="227">
        <f>VLOOKUP(EB27,DATA!$B$13:$C$19,2,0)</f>
        <v>50</v>
      </c>
      <c r="ED27" s="4">
        <f>VLOOKUP($EB$1,DATA!$B$24:$C$45,2,0)</f>
        <v>0.05</v>
      </c>
      <c r="EE27" s="4">
        <f t="shared" si="41"/>
        <v>2.5000000000000001E-2</v>
      </c>
      <c r="EF27" s="69">
        <f t="shared" si="42"/>
        <v>1.5</v>
      </c>
      <c r="EG27" s="87"/>
      <c r="EH27" s="86"/>
      <c r="EI27" s="226" t="s">
        <v>185</v>
      </c>
      <c r="EJ27" s="227">
        <f>VLOOKUP(EI27,DATA!$B$13:$C$19,2,0)</f>
        <v>100</v>
      </c>
      <c r="EK27" s="4">
        <f>VLOOKUP($EI$1,DATA!$B$24:$C$45,2,0)</f>
        <v>0.1</v>
      </c>
      <c r="EL27" s="4">
        <f t="shared" si="43"/>
        <v>0.1</v>
      </c>
      <c r="EM27" s="69">
        <f t="shared" si="44"/>
        <v>3</v>
      </c>
      <c r="EN27" s="87"/>
      <c r="EO27" s="86">
        <v>45986</v>
      </c>
      <c r="EP27" s="226" t="s">
        <v>193</v>
      </c>
      <c r="EQ27" s="227">
        <f>VLOOKUP(EP27,DATA!$B$13:$C$19,2,0)</f>
        <v>0</v>
      </c>
      <c r="ER27" s="4">
        <f>VLOOKUP($EP$1,DATA!$B$24:$C$45,2,0)</f>
        <v>0.03</v>
      </c>
      <c r="ES27" s="4">
        <f t="shared" si="45"/>
        <v>0</v>
      </c>
      <c r="ET27" s="79">
        <f t="shared" si="46"/>
        <v>0.89999999999999991</v>
      </c>
      <c r="EU27" s="244">
        <f t="shared" si="47"/>
        <v>2.4</v>
      </c>
      <c r="EV27" s="85" t="s">
        <v>187</v>
      </c>
      <c r="EW27" s="134" t="s">
        <v>186</v>
      </c>
      <c r="EX27" s="6"/>
    </row>
    <row r="28" spans="1:154" x14ac:dyDescent="0.3">
      <c r="A28" s="3" t="s">
        <v>180</v>
      </c>
      <c r="B28" s="3" t="s">
        <v>181</v>
      </c>
      <c r="C28" s="3" t="s">
        <v>251</v>
      </c>
      <c r="D28" s="85" t="s">
        <v>259</v>
      </c>
      <c r="E28" s="85" t="s">
        <v>253</v>
      </c>
      <c r="F28" s="3">
        <v>3328</v>
      </c>
      <c r="G28" s="3" t="s">
        <v>260</v>
      </c>
      <c r="H28" s="3">
        <v>20</v>
      </c>
      <c r="I28" s="3"/>
      <c r="J28" s="229">
        <f>BaseDeDatos[[#This Row],[Budget CS]]+BaseDeDatos[[#This Row],[Change Orders Budget]]</f>
        <v>20</v>
      </c>
      <c r="K28" s="92">
        <f>IFERROR(VLOOKUP(G28, DATA!H:I, 2, FALSE), 0)+BaseDeDatos[[#This Row],[Labor Spend on Design errors]]+BaseDeDatos[[#This Row],[Labor
Spent Customer changes]]</f>
        <v>12.5</v>
      </c>
      <c r="L28" s="92"/>
      <c r="M28" s="92"/>
      <c r="N28" s="232">
        <f t="shared" si="0"/>
        <v>0.94500000000000006</v>
      </c>
      <c r="O28" s="238">
        <f t="shared" si="1"/>
        <v>12.5</v>
      </c>
      <c r="P28" s="39">
        <v>26.73</v>
      </c>
      <c r="Q28" s="89">
        <f>BaseDeDatos[[#This Row],[Budget]]*BaseDeDatos[[#This Row],[Labor Rate from CS]]</f>
        <v>534.6</v>
      </c>
      <c r="R28" s="89">
        <f>BaseDeDatos[[#This Row],[Labor
Spent]]*BaseDeDatos[[#This Row],[Labor Rate from CS]]</f>
        <v>334.125</v>
      </c>
      <c r="S28" s="93">
        <f t="shared" si="2"/>
        <v>0.625</v>
      </c>
      <c r="T28" s="98">
        <v>19290</v>
      </c>
      <c r="U28" s="98">
        <v>10493.57</v>
      </c>
      <c r="V28" s="98">
        <v>8236.48</v>
      </c>
      <c r="W28" s="98">
        <v>1490</v>
      </c>
      <c r="X28" s="98">
        <v>1490</v>
      </c>
      <c r="Y28" s="98"/>
      <c r="Z28" s="98"/>
      <c r="AA28" s="98">
        <v>15140.34</v>
      </c>
      <c r="AB28" s="89">
        <f t="shared" si="3"/>
        <v>13115.74</v>
      </c>
      <c r="AC28" s="120">
        <f>SUM(AB28,X28,R28,BaseDeDatos[[#This Row],[Additionals cost]])</f>
        <v>23176.345000000001</v>
      </c>
      <c r="AD28" s="117">
        <v>0.21510000000000001</v>
      </c>
      <c r="AE28" s="117">
        <v>0.23499999999999999</v>
      </c>
      <c r="AF28" s="240">
        <f t="shared" si="4"/>
        <v>0.22551244167962675</v>
      </c>
      <c r="AG28" s="226">
        <v>45824</v>
      </c>
      <c r="AH28" s="226" t="s">
        <v>185</v>
      </c>
      <c r="AI28" s="227">
        <f>VLOOKUP(AH28,DATA!$B$13:$C$19,2,0)</f>
        <v>100</v>
      </c>
      <c r="AJ28" s="4">
        <f>VLOOKUP($AH$1,DATA!$B$24:$C$45,2,0)</f>
        <v>0.05</v>
      </c>
      <c r="AK28" s="69">
        <f>BaseDeDatos[[#This Row],[Read info
Status]]*(AJ28)/100</f>
        <v>0.05</v>
      </c>
      <c r="AL28" s="79">
        <f t="shared" si="5"/>
        <v>1</v>
      </c>
      <c r="AM28" s="226" t="s">
        <v>185</v>
      </c>
      <c r="AN28" s="227">
        <f>VLOOKUP(AM28,DATA!$B$13:$C$19,2,0)</f>
        <v>100</v>
      </c>
      <c r="AO28" s="4">
        <f>VLOOKUP($AM$1,DATA!$B$24:$C$45,2,0)</f>
        <v>0.05</v>
      </c>
      <c r="AP28" s="4">
        <f t="shared" si="6"/>
        <v>0.05</v>
      </c>
      <c r="AQ28" s="69">
        <f t="shared" si="7"/>
        <v>1</v>
      </c>
      <c r="AR28" s="5">
        <v>45838</v>
      </c>
      <c r="AS28" s="95">
        <v>45840</v>
      </c>
      <c r="AT28" s="226" t="s">
        <v>185</v>
      </c>
      <c r="AU28" s="227">
        <f>VLOOKUP(AT28,DATA!$B$13:$C$19,2,0)</f>
        <v>100</v>
      </c>
      <c r="AV28" s="4">
        <f>VLOOKUP($AT$1,DATA!$B$24:$C$45,2,0)</f>
        <v>0.01</v>
      </c>
      <c r="AW28" s="4">
        <f t="shared" si="8"/>
        <v>0.01</v>
      </c>
      <c r="AX28" s="69">
        <f t="shared" si="9"/>
        <v>0.2</v>
      </c>
      <c r="AY28" s="5">
        <v>45905</v>
      </c>
      <c r="AZ28" s="95">
        <v>45905</v>
      </c>
      <c r="BA28" s="226" t="s">
        <v>185</v>
      </c>
      <c r="BB28" s="227">
        <f>VLOOKUP(BA28,DATA!$B$13:$C$19,2,0)</f>
        <v>100</v>
      </c>
      <c r="BC28" s="4">
        <f>VLOOKUP($BA$1,DATA!$B$24:$C$45,2,0)</f>
        <v>0.01</v>
      </c>
      <c r="BD28" s="4">
        <f t="shared" si="10"/>
        <v>0.01</v>
      </c>
      <c r="BE28" s="79">
        <f t="shared" si="11"/>
        <v>0.2</v>
      </c>
      <c r="BF28" s="226" t="s">
        <v>185</v>
      </c>
      <c r="BG28" s="227">
        <f>VLOOKUP(BF28,DATA!$B$13:$C$19,2,0)</f>
        <v>100</v>
      </c>
      <c r="BH28" s="4">
        <f>VLOOKUP($BF$1,DATA!$B$24:$C$45,2,0)</f>
        <v>0.08</v>
      </c>
      <c r="BI28" s="4">
        <f t="shared" si="12"/>
        <v>0.08</v>
      </c>
      <c r="BJ28" s="79">
        <f t="shared" si="13"/>
        <v>1.6</v>
      </c>
      <c r="BK28" s="226" t="s">
        <v>185</v>
      </c>
      <c r="BL28" s="227">
        <f>VLOOKUP(BK28,DATA!$B$13:$C$19,2,0)</f>
        <v>100</v>
      </c>
      <c r="BM28" s="4">
        <f>VLOOKUP($BK$1,DATA!$B$24:$C$45,2,0)</f>
        <v>0.18</v>
      </c>
      <c r="BN28" s="4">
        <f t="shared" si="14"/>
        <v>0.18</v>
      </c>
      <c r="BO28" s="79">
        <f t="shared" si="15"/>
        <v>3.5999999999999996</v>
      </c>
      <c r="BP28" s="226" t="s">
        <v>185</v>
      </c>
      <c r="BQ28" s="227">
        <f>VLOOKUP(BP28,DATA!$B$13:$C$19,2,0)</f>
        <v>100</v>
      </c>
      <c r="BR28" s="4">
        <f>VLOOKUP($BP$1,DATA!$B$24:$C$45,2,0)</f>
        <v>0.28000000000000003</v>
      </c>
      <c r="BS28" s="4">
        <f t="shared" si="16"/>
        <v>0.28000000000000003</v>
      </c>
      <c r="BT28" s="79">
        <f t="shared" si="17"/>
        <v>5.6000000000000005</v>
      </c>
      <c r="BU28" s="226" t="s">
        <v>185</v>
      </c>
      <c r="BV28" s="227">
        <f>VLOOKUP(BU28,DATA!$B$13:$C$19,2,0)</f>
        <v>100</v>
      </c>
      <c r="BW28" s="4">
        <f>VLOOKUP($BU$1,DATA!$B$24:$C$45,2,0)</f>
        <v>0.15</v>
      </c>
      <c r="BX28" s="4">
        <f t="shared" si="18"/>
        <v>0.15</v>
      </c>
      <c r="BY28" s="79">
        <f t="shared" si="19"/>
        <v>3</v>
      </c>
      <c r="BZ28" s="226" t="s">
        <v>185</v>
      </c>
      <c r="CA28" s="227">
        <f>VLOOKUP(BZ28,DATA!$B$13:$C$19,2,0)</f>
        <v>100</v>
      </c>
      <c r="CB28" s="4">
        <f>VLOOKUP($BZ$1,DATA!$B$24:$C$45,2,0)</f>
        <v>0.16</v>
      </c>
      <c r="CC28" s="4">
        <f t="shared" si="20"/>
        <v>0.16</v>
      </c>
      <c r="CD28" s="79">
        <f t="shared" si="21"/>
        <v>3.2</v>
      </c>
      <c r="CE28" s="226" t="s">
        <v>185</v>
      </c>
      <c r="CF28" s="227">
        <f>VLOOKUP(CE28,DATA!$B$13:$C$19,2,0)</f>
        <v>100</v>
      </c>
      <c r="CG28" s="4">
        <f>VLOOKUP($CE$1,DATA!$B$24:$C$45,2,0)</f>
        <v>0.13</v>
      </c>
      <c r="CH28" s="4">
        <f t="shared" si="22"/>
        <v>0.13</v>
      </c>
      <c r="CI28" s="79">
        <f t="shared" si="23"/>
        <v>2.6</v>
      </c>
      <c r="CJ28" s="226" t="s">
        <v>185</v>
      </c>
      <c r="CK28" s="227">
        <f>VLOOKUP(CJ28,DATA!$B$13:$C$19,2,0)</f>
        <v>100</v>
      </c>
      <c r="CL28" s="4">
        <f>VLOOKUP($CJ$1,DATA!$B$24:$C$45,2,0)</f>
        <v>0.01</v>
      </c>
      <c r="CM28" s="4">
        <f t="shared" si="24"/>
        <v>0.01</v>
      </c>
      <c r="CN28" s="79">
        <f t="shared" si="25"/>
        <v>0.2</v>
      </c>
      <c r="CO28" s="83">
        <f t="shared" si="26"/>
        <v>1</v>
      </c>
      <c r="CP28" s="4">
        <f>VLOOKUP($CO$1,DATA!$B$24:$C$45,2,0)</f>
        <v>0.54</v>
      </c>
      <c r="CQ28" s="81">
        <f t="shared" si="27"/>
        <v>0.54</v>
      </c>
      <c r="CR28" s="80">
        <f t="shared" si="28"/>
        <v>10.8</v>
      </c>
      <c r="CS28" s="129">
        <f t="shared" si="29"/>
        <v>10.8</v>
      </c>
      <c r="CT28" s="242">
        <f t="shared" si="30"/>
        <v>0</v>
      </c>
      <c r="CU28" s="226" t="s">
        <v>185</v>
      </c>
      <c r="CV28" s="227">
        <f>VLOOKUP(CU28,DATA!$B$13:$C$19,2,0)</f>
        <v>100</v>
      </c>
      <c r="CW28" s="4">
        <f>VLOOKUP($CU$1,DATA!$B$24:$C$45,2,0)</f>
        <v>0.02</v>
      </c>
      <c r="CX28" s="4">
        <f t="shared" si="31"/>
        <v>0.02</v>
      </c>
      <c r="CY28" s="69">
        <f t="shared" si="32"/>
        <v>0.4</v>
      </c>
      <c r="CZ28" s="87">
        <v>45916</v>
      </c>
      <c r="DA28" s="86">
        <v>45915</v>
      </c>
      <c r="DB28" s="226" t="s">
        <v>185</v>
      </c>
      <c r="DC28" s="227">
        <f>VLOOKUP(DB28,DATA!$B$13:$C$19,2,0)</f>
        <v>100</v>
      </c>
      <c r="DD28" s="4">
        <f>VLOOKUP($DB$1,DATA!$B$24:$C$45,2,0)</f>
        <v>0.01</v>
      </c>
      <c r="DE28" s="4">
        <f t="shared" si="33"/>
        <v>0.01</v>
      </c>
      <c r="DF28" s="69">
        <f t="shared" si="34"/>
        <v>0.2</v>
      </c>
      <c r="DG28" s="87">
        <v>45919</v>
      </c>
      <c r="DH28" s="86">
        <v>45931</v>
      </c>
      <c r="DI28" s="226" t="s">
        <v>185</v>
      </c>
      <c r="DJ28" s="227">
        <f>VLOOKUP(DI28,DATA!$B$13:$C$19,2,0)</f>
        <v>100</v>
      </c>
      <c r="DK28" s="4">
        <f>VLOOKUP($DI$1,DATA!$B$24:$C$45,2,0)</f>
        <v>0.03</v>
      </c>
      <c r="DL28" s="4">
        <f t="shared" si="35"/>
        <v>0.03</v>
      </c>
      <c r="DM28" s="79">
        <f t="shared" si="36"/>
        <v>0.6</v>
      </c>
      <c r="DN28" s="226" t="s">
        <v>185</v>
      </c>
      <c r="DO28" s="227">
        <f>VLOOKUP(DN28,DATA!$B$13:$C$19,2,0)</f>
        <v>100</v>
      </c>
      <c r="DP28" s="4">
        <f>VLOOKUP($DN$1,DATA!$B$24:$C$45,2,0)</f>
        <v>7.0000000000000007E-2</v>
      </c>
      <c r="DQ28" s="4">
        <f t="shared" si="37"/>
        <v>7.0000000000000007E-2</v>
      </c>
      <c r="DR28" s="69">
        <f t="shared" si="38"/>
        <v>1.4000000000000001</v>
      </c>
      <c r="DS28" s="87">
        <v>45919</v>
      </c>
      <c r="DT28" s="86">
        <v>45939</v>
      </c>
      <c r="DU28" s="226" t="s">
        <v>185</v>
      </c>
      <c r="DV28" s="227">
        <f>VLOOKUP(DU28,DATA!$B$13:$C$19,2,0)</f>
        <v>100</v>
      </c>
      <c r="DW28" s="4">
        <f>VLOOKUP($DU$1,DATA!$B$24:$C$45,2,0)</f>
        <v>0.04</v>
      </c>
      <c r="DX28" s="4">
        <f t="shared" si="39"/>
        <v>0.04</v>
      </c>
      <c r="DY28" s="69">
        <f t="shared" si="40"/>
        <v>0.8</v>
      </c>
      <c r="DZ28" s="87">
        <v>45923</v>
      </c>
      <c r="EA28" s="86">
        <v>45953</v>
      </c>
      <c r="EB28" s="226" t="s">
        <v>220</v>
      </c>
      <c r="EC28" s="227">
        <f>VLOOKUP(EB28,DATA!$B$13:$C$19,2,0)</f>
        <v>50</v>
      </c>
      <c r="ED28" s="4">
        <f>VLOOKUP($EB$1,DATA!$B$24:$C$45,2,0)</f>
        <v>0.05</v>
      </c>
      <c r="EE28" s="4">
        <f t="shared" si="41"/>
        <v>2.5000000000000001E-2</v>
      </c>
      <c r="EF28" s="69">
        <f t="shared" si="42"/>
        <v>1</v>
      </c>
      <c r="EG28" s="87"/>
      <c r="EH28" s="86"/>
      <c r="EI28" s="226" t="s">
        <v>185</v>
      </c>
      <c r="EJ28" s="227">
        <f>VLOOKUP(EI28,DATA!$B$13:$C$19,2,0)</f>
        <v>100</v>
      </c>
      <c r="EK28" s="4">
        <f>VLOOKUP($EI$1,DATA!$B$24:$C$45,2,0)</f>
        <v>0.1</v>
      </c>
      <c r="EL28" s="4">
        <f t="shared" si="43"/>
        <v>0.1</v>
      </c>
      <c r="EM28" s="69">
        <f t="shared" si="44"/>
        <v>2</v>
      </c>
      <c r="EN28" s="87"/>
      <c r="EO28" s="86">
        <v>45986</v>
      </c>
      <c r="EP28" s="226" t="s">
        <v>193</v>
      </c>
      <c r="EQ28" s="227">
        <f>VLOOKUP(EP28,DATA!$B$13:$C$19,2,0)</f>
        <v>0</v>
      </c>
      <c r="ER28" s="4">
        <f>VLOOKUP($EP$1,DATA!$B$24:$C$45,2,0)</f>
        <v>0.03</v>
      </c>
      <c r="ES28" s="4">
        <f t="shared" si="45"/>
        <v>0</v>
      </c>
      <c r="ET28" s="79">
        <f t="shared" si="46"/>
        <v>0.6</v>
      </c>
      <c r="EU28" s="244">
        <f t="shared" si="47"/>
        <v>1.6</v>
      </c>
      <c r="EV28" s="85" t="s">
        <v>187</v>
      </c>
      <c r="EW28" s="134" t="s">
        <v>186</v>
      </c>
      <c r="EX28" s="6"/>
    </row>
    <row r="29" spans="1:154" x14ac:dyDescent="0.3">
      <c r="A29" s="3" t="s">
        <v>180</v>
      </c>
      <c r="B29" s="3" t="s">
        <v>181</v>
      </c>
      <c r="C29" s="3" t="s">
        <v>251</v>
      </c>
      <c r="D29" s="85" t="s">
        <v>261</v>
      </c>
      <c r="E29" s="85" t="s">
        <v>253</v>
      </c>
      <c r="F29" s="3">
        <v>3328</v>
      </c>
      <c r="G29" s="3" t="s">
        <v>262</v>
      </c>
      <c r="H29" s="3">
        <v>20</v>
      </c>
      <c r="I29" s="3"/>
      <c r="J29" s="229">
        <f>BaseDeDatos[[#This Row],[Budget CS]]+BaseDeDatos[[#This Row],[Change Orders Budget]]</f>
        <v>20</v>
      </c>
      <c r="K29" s="92">
        <f>IFERROR(VLOOKUP(G29, DATA!H:I, 2, FALSE), 0)+BaseDeDatos[[#This Row],[Labor Spend on Design errors]]+BaseDeDatos[[#This Row],[Labor
Spent Customer changes]]</f>
        <v>13</v>
      </c>
      <c r="L29" s="92"/>
      <c r="M29" s="92"/>
      <c r="N29" s="232">
        <f t="shared" si="0"/>
        <v>0.94500000000000006</v>
      </c>
      <c r="O29" s="238">
        <f t="shared" si="1"/>
        <v>13</v>
      </c>
      <c r="P29" s="39">
        <v>26.73</v>
      </c>
      <c r="Q29" s="89">
        <f>BaseDeDatos[[#This Row],[Budget]]*BaseDeDatos[[#This Row],[Labor Rate from CS]]</f>
        <v>534.6</v>
      </c>
      <c r="R29" s="89">
        <f>BaseDeDatos[[#This Row],[Labor
Spent]]*BaseDeDatos[[#This Row],[Labor Rate from CS]]</f>
        <v>347.49</v>
      </c>
      <c r="S29" s="93">
        <f t="shared" si="2"/>
        <v>0.65</v>
      </c>
      <c r="T29" s="98">
        <v>23935</v>
      </c>
      <c r="U29" s="98">
        <v>10493.57</v>
      </c>
      <c r="V29" s="98">
        <v>8236.48</v>
      </c>
      <c r="W29" s="98">
        <v>1860</v>
      </c>
      <c r="X29" s="98">
        <v>1860</v>
      </c>
      <c r="Y29" s="98"/>
      <c r="Z29" s="98"/>
      <c r="AA29" s="98">
        <v>18786.62</v>
      </c>
      <c r="AB29" s="89">
        <f t="shared" si="3"/>
        <v>16392.02</v>
      </c>
      <c r="AC29" s="120">
        <f>SUM(AB29,X29,R29,BaseDeDatos[[#This Row],[Additionals cost]])</f>
        <v>26835.99</v>
      </c>
      <c r="AD29" s="117">
        <v>0.21510000000000001</v>
      </c>
      <c r="AE29" s="117">
        <v>0.23499999999999999</v>
      </c>
      <c r="AF29" s="240">
        <f t="shared" si="4"/>
        <v>0.22291581366200117</v>
      </c>
      <c r="AG29" s="226">
        <v>45824</v>
      </c>
      <c r="AH29" s="226" t="s">
        <v>185</v>
      </c>
      <c r="AI29" s="227">
        <f>VLOOKUP(AH29,DATA!$B$13:$C$19,2,0)</f>
        <v>100</v>
      </c>
      <c r="AJ29" s="4">
        <f>VLOOKUP($AH$1,DATA!$B$24:$C$45,2,0)</f>
        <v>0.05</v>
      </c>
      <c r="AK29" s="69">
        <f>BaseDeDatos[[#This Row],[Read info
Status]]*(AJ29)/100</f>
        <v>0.05</v>
      </c>
      <c r="AL29" s="79">
        <f t="shared" si="5"/>
        <v>1</v>
      </c>
      <c r="AM29" s="226" t="s">
        <v>185</v>
      </c>
      <c r="AN29" s="227">
        <f>VLOOKUP(AM29,DATA!$B$13:$C$19,2,0)</f>
        <v>100</v>
      </c>
      <c r="AO29" s="4">
        <f>VLOOKUP($AM$1,DATA!$B$24:$C$45,2,0)</f>
        <v>0.05</v>
      </c>
      <c r="AP29" s="4">
        <f t="shared" si="6"/>
        <v>0.05</v>
      </c>
      <c r="AQ29" s="69">
        <f t="shared" si="7"/>
        <v>1</v>
      </c>
      <c r="AR29" s="5">
        <v>45838</v>
      </c>
      <c r="AS29" s="86">
        <v>45840</v>
      </c>
      <c r="AT29" s="226" t="s">
        <v>185</v>
      </c>
      <c r="AU29" s="227">
        <f>VLOOKUP(AT29,DATA!$B$13:$C$19,2,0)</f>
        <v>100</v>
      </c>
      <c r="AV29" s="4">
        <f>VLOOKUP($AT$1,DATA!$B$24:$C$45,2,0)</f>
        <v>0.01</v>
      </c>
      <c r="AW29" s="4">
        <f t="shared" si="8"/>
        <v>0.01</v>
      </c>
      <c r="AX29" s="69">
        <f t="shared" si="9"/>
        <v>0.2</v>
      </c>
      <c r="AY29" s="5">
        <v>45905</v>
      </c>
      <c r="AZ29" s="86">
        <v>45905</v>
      </c>
      <c r="BA29" s="226" t="s">
        <v>185</v>
      </c>
      <c r="BB29" s="227">
        <f>VLOOKUP(BA29,DATA!$B$13:$C$19,2,0)</f>
        <v>100</v>
      </c>
      <c r="BC29" s="4">
        <f>VLOOKUP($BA$1,DATA!$B$24:$C$45,2,0)</f>
        <v>0.01</v>
      </c>
      <c r="BD29" s="4">
        <f t="shared" si="10"/>
        <v>0.01</v>
      </c>
      <c r="BE29" s="79">
        <f t="shared" si="11"/>
        <v>0.2</v>
      </c>
      <c r="BF29" s="226" t="s">
        <v>185</v>
      </c>
      <c r="BG29" s="227">
        <f>VLOOKUP(BF29,DATA!$B$13:$C$19,2,0)</f>
        <v>100</v>
      </c>
      <c r="BH29" s="4">
        <f>VLOOKUP($BF$1,DATA!$B$24:$C$45,2,0)</f>
        <v>0.08</v>
      </c>
      <c r="BI29" s="4">
        <f t="shared" si="12"/>
        <v>0.08</v>
      </c>
      <c r="BJ29" s="79">
        <f t="shared" si="13"/>
        <v>1.6</v>
      </c>
      <c r="BK29" s="226" t="s">
        <v>185</v>
      </c>
      <c r="BL29" s="227">
        <f>VLOOKUP(BK29,DATA!$B$13:$C$19,2,0)</f>
        <v>100</v>
      </c>
      <c r="BM29" s="4">
        <f>VLOOKUP($BK$1,DATA!$B$24:$C$45,2,0)</f>
        <v>0.18</v>
      </c>
      <c r="BN29" s="4">
        <f t="shared" si="14"/>
        <v>0.18</v>
      </c>
      <c r="BO29" s="79">
        <f t="shared" si="15"/>
        <v>3.5999999999999996</v>
      </c>
      <c r="BP29" s="226" t="s">
        <v>185</v>
      </c>
      <c r="BQ29" s="227">
        <f>VLOOKUP(BP29,DATA!$B$13:$C$19,2,0)</f>
        <v>100</v>
      </c>
      <c r="BR29" s="4">
        <f>VLOOKUP($BP$1,DATA!$B$24:$C$45,2,0)</f>
        <v>0.28000000000000003</v>
      </c>
      <c r="BS29" s="4">
        <f t="shared" si="16"/>
        <v>0.28000000000000003</v>
      </c>
      <c r="BT29" s="79">
        <f t="shared" si="17"/>
        <v>5.6000000000000005</v>
      </c>
      <c r="BU29" s="226" t="s">
        <v>185</v>
      </c>
      <c r="BV29" s="227">
        <f>VLOOKUP(BU29,DATA!$B$13:$C$19,2,0)</f>
        <v>100</v>
      </c>
      <c r="BW29" s="4">
        <f>VLOOKUP($BU$1,DATA!$B$24:$C$45,2,0)</f>
        <v>0.15</v>
      </c>
      <c r="BX29" s="4">
        <f t="shared" si="18"/>
        <v>0.15</v>
      </c>
      <c r="BY29" s="79">
        <f t="shared" si="19"/>
        <v>3</v>
      </c>
      <c r="BZ29" s="226" t="s">
        <v>185</v>
      </c>
      <c r="CA29" s="227">
        <f>VLOOKUP(BZ29,DATA!$B$13:$C$19,2,0)</f>
        <v>100</v>
      </c>
      <c r="CB29" s="4">
        <f>VLOOKUP($BZ$1,DATA!$B$24:$C$45,2,0)</f>
        <v>0.16</v>
      </c>
      <c r="CC29" s="4">
        <f t="shared" si="20"/>
        <v>0.16</v>
      </c>
      <c r="CD29" s="79">
        <f t="shared" si="21"/>
        <v>3.2</v>
      </c>
      <c r="CE29" s="226" t="s">
        <v>185</v>
      </c>
      <c r="CF29" s="227">
        <f>VLOOKUP(CE29,DATA!$B$13:$C$19,2,0)</f>
        <v>100</v>
      </c>
      <c r="CG29" s="4">
        <f>VLOOKUP($CE$1,DATA!$B$24:$C$45,2,0)</f>
        <v>0.13</v>
      </c>
      <c r="CH29" s="4">
        <f t="shared" si="22"/>
        <v>0.13</v>
      </c>
      <c r="CI29" s="79">
        <f t="shared" si="23"/>
        <v>2.6</v>
      </c>
      <c r="CJ29" s="226" t="s">
        <v>185</v>
      </c>
      <c r="CK29" s="227">
        <f>VLOOKUP(CJ29,DATA!$B$13:$C$19,2,0)</f>
        <v>100</v>
      </c>
      <c r="CL29" s="4">
        <f>VLOOKUP($CJ$1,DATA!$B$24:$C$45,2,0)</f>
        <v>0.01</v>
      </c>
      <c r="CM29" s="4">
        <f t="shared" si="24"/>
        <v>0.01</v>
      </c>
      <c r="CN29" s="79">
        <f t="shared" si="25"/>
        <v>0.2</v>
      </c>
      <c r="CO29" s="83">
        <f t="shared" si="26"/>
        <v>1</v>
      </c>
      <c r="CP29" s="4">
        <f>VLOOKUP($CO$1,DATA!$B$24:$C$45,2,0)</f>
        <v>0.54</v>
      </c>
      <c r="CQ29" s="81">
        <f t="shared" si="27"/>
        <v>0.54</v>
      </c>
      <c r="CR29" s="80">
        <f t="shared" si="28"/>
        <v>10.8</v>
      </c>
      <c r="CS29" s="129">
        <f t="shared" si="29"/>
        <v>10.8</v>
      </c>
      <c r="CT29" s="242">
        <f t="shared" si="30"/>
        <v>0</v>
      </c>
      <c r="CU29" s="226" t="s">
        <v>185</v>
      </c>
      <c r="CV29" s="227">
        <f>VLOOKUP(CU29,DATA!$B$13:$C$19,2,0)</f>
        <v>100</v>
      </c>
      <c r="CW29" s="4">
        <f>VLOOKUP($CU$1,DATA!$B$24:$C$45,2,0)</f>
        <v>0.02</v>
      </c>
      <c r="CX29" s="4">
        <f t="shared" si="31"/>
        <v>0.02</v>
      </c>
      <c r="CY29" s="69">
        <f t="shared" si="32"/>
        <v>0.4</v>
      </c>
      <c r="CZ29" s="87">
        <v>45916</v>
      </c>
      <c r="DA29" s="86">
        <v>45912</v>
      </c>
      <c r="DB29" s="226" t="s">
        <v>185</v>
      </c>
      <c r="DC29" s="227">
        <f>VLOOKUP(DB29,DATA!$B$13:$C$19,2,0)</f>
        <v>100</v>
      </c>
      <c r="DD29" s="4">
        <f>VLOOKUP($DB$1,DATA!$B$24:$C$45,2,0)</f>
        <v>0.01</v>
      </c>
      <c r="DE29" s="4">
        <f t="shared" si="33"/>
        <v>0.01</v>
      </c>
      <c r="DF29" s="69">
        <f t="shared" si="34"/>
        <v>0.2</v>
      </c>
      <c r="DG29" s="87">
        <v>45919</v>
      </c>
      <c r="DH29" s="86">
        <v>45931</v>
      </c>
      <c r="DI29" s="226" t="s">
        <v>185</v>
      </c>
      <c r="DJ29" s="227">
        <f>VLOOKUP(DI29,DATA!$B$13:$C$19,2,0)</f>
        <v>100</v>
      </c>
      <c r="DK29" s="4">
        <f>VLOOKUP($DI$1,DATA!$B$24:$C$45,2,0)</f>
        <v>0.03</v>
      </c>
      <c r="DL29" s="4">
        <f t="shared" si="35"/>
        <v>0.03</v>
      </c>
      <c r="DM29" s="79">
        <f t="shared" si="36"/>
        <v>0.6</v>
      </c>
      <c r="DN29" s="226" t="s">
        <v>185</v>
      </c>
      <c r="DO29" s="227">
        <f>VLOOKUP(DN29,DATA!$B$13:$C$19,2,0)</f>
        <v>100</v>
      </c>
      <c r="DP29" s="4">
        <f>VLOOKUP($DN$1,DATA!$B$24:$C$45,2,0)</f>
        <v>7.0000000000000007E-2</v>
      </c>
      <c r="DQ29" s="4">
        <f t="shared" si="37"/>
        <v>7.0000000000000007E-2</v>
      </c>
      <c r="DR29" s="69">
        <f t="shared" si="38"/>
        <v>1.4000000000000001</v>
      </c>
      <c r="DS29" s="87">
        <v>45919</v>
      </c>
      <c r="DT29" s="86">
        <v>45939</v>
      </c>
      <c r="DU29" s="226" t="s">
        <v>185</v>
      </c>
      <c r="DV29" s="227">
        <f>VLOOKUP(DU29,DATA!$B$13:$C$19,2,0)</f>
        <v>100</v>
      </c>
      <c r="DW29" s="4">
        <f>VLOOKUP($DU$1,DATA!$B$24:$C$45,2,0)</f>
        <v>0.04</v>
      </c>
      <c r="DX29" s="4">
        <f t="shared" si="39"/>
        <v>0.04</v>
      </c>
      <c r="DY29" s="69">
        <f t="shared" si="40"/>
        <v>0.8</v>
      </c>
      <c r="DZ29" s="87">
        <v>45923</v>
      </c>
      <c r="EA29" s="86">
        <v>45953</v>
      </c>
      <c r="EB29" s="226" t="s">
        <v>220</v>
      </c>
      <c r="EC29" s="227">
        <f>VLOOKUP(EB29,DATA!$B$13:$C$19,2,0)</f>
        <v>50</v>
      </c>
      <c r="ED29" s="4">
        <f>VLOOKUP($EB$1,DATA!$B$24:$C$45,2,0)</f>
        <v>0.05</v>
      </c>
      <c r="EE29" s="4">
        <f t="shared" si="41"/>
        <v>2.5000000000000001E-2</v>
      </c>
      <c r="EF29" s="69">
        <f t="shared" si="42"/>
        <v>1</v>
      </c>
      <c r="EG29" s="87"/>
      <c r="EH29" s="86"/>
      <c r="EI29" s="226" t="s">
        <v>185</v>
      </c>
      <c r="EJ29" s="227">
        <f>VLOOKUP(EI29,DATA!$B$13:$C$19,2,0)</f>
        <v>100</v>
      </c>
      <c r="EK29" s="4">
        <f>VLOOKUP($EI$1,DATA!$B$24:$C$45,2,0)</f>
        <v>0.1</v>
      </c>
      <c r="EL29" s="4">
        <f t="shared" si="43"/>
        <v>0.1</v>
      </c>
      <c r="EM29" s="69">
        <f t="shared" si="44"/>
        <v>2</v>
      </c>
      <c r="EN29" s="87"/>
      <c r="EO29" s="86">
        <v>45986</v>
      </c>
      <c r="EP29" s="226" t="s">
        <v>193</v>
      </c>
      <c r="EQ29" s="227">
        <f>VLOOKUP(EP29,DATA!$B$13:$C$19,2,0)</f>
        <v>0</v>
      </c>
      <c r="ER29" s="4">
        <f>VLOOKUP($EP$1,DATA!$B$24:$C$45,2,0)</f>
        <v>0.03</v>
      </c>
      <c r="ES29" s="4">
        <f t="shared" si="45"/>
        <v>0</v>
      </c>
      <c r="ET29" s="79">
        <f t="shared" si="46"/>
        <v>0.6</v>
      </c>
      <c r="EU29" s="244">
        <f t="shared" si="47"/>
        <v>1.6</v>
      </c>
      <c r="EV29" s="85" t="s">
        <v>187</v>
      </c>
      <c r="EW29" s="134" t="s">
        <v>239</v>
      </c>
      <c r="EX29" s="6"/>
    </row>
    <row r="30" spans="1:154" x14ac:dyDescent="0.3">
      <c r="A30" s="3" t="s">
        <v>180</v>
      </c>
      <c r="B30" s="3" t="s">
        <v>181</v>
      </c>
      <c r="C30" s="3" t="s">
        <v>251</v>
      </c>
      <c r="D30" s="85" t="s">
        <v>263</v>
      </c>
      <c r="E30" s="85" t="s">
        <v>253</v>
      </c>
      <c r="F30" s="3">
        <v>3328</v>
      </c>
      <c r="G30" s="3" t="s">
        <v>264</v>
      </c>
      <c r="H30" s="3">
        <v>20</v>
      </c>
      <c r="I30" s="3"/>
      <c r="J30" s="229">
        <f>BaseDeDatos[[#This Row],[Budget CS]]+BaseDeDatos[[#This Row],[Change Orders Budget]]</f>
        <v>20</v>
      </c>
      <c r="K30" s="92">
        <f>IFERROR(VLOOKUP(G30, DATA!H:I, 2, FALSE), 0)+BaseDeDatos[[#This Row],[Labor Spend on Design errors]]+BaseDeDatos[[#This Row],[Labor
Spent Customer changes]]</f>
        <v>14.5</v>
      </c>
      <c r="L30" s="92"/>
      <c r="M30" s="92"/>
      <c r="N30" s="232">
        <f t="shared" si="0"/>
        <v>0.94500000000000006</v>
      </c>
      <c r="O30" s="238">
        <f t="shared" si="1"/>
        <v>14.5</v>
      </c>
      <c r="P30" s="39">
        <v>26.73</v>
      </c>
      <c r="Q30" s="89">
        <f>BaseDeDatos[[#This Row],[Budget]]*BaseDeDatos[[#This Row],[Labor Rate from CS]]</f>
        <v>534.6</v>
      </c>
      <c r="R30" s="89">
        <f>BaseDeDatos[[#This Row],[Labor
Spent]]*BaseDeDatos[[#This Row],[Labor Rate from CS]]</f>
        <v>387.58499999999998</v>
      </c>
      <c r="S30" s="93">
        <f t="shared" si="2"/>
        <v>0.72499999999999998</v>
      </c>
      <c r="T30" s="98">
        <v>39980</v>
      </c>
      <c r="U30" s="98">
        <v>10493.57</v>
      </c>
      <c r="V30" s="98">
        <v>8236.48</v>
      </c>
      <c r="W30" s="98">
        <v>7776</v>
      </c>
      <c r="X30" s="98">
        <v>7776</v>
      </c>
      <c r="Y30" s="98"/>
      <c r="Z30" s="98"/>
      <c r="AA30" s="98">
        <v>31381.599999999999</v>
      </c>
      <c r="AB30" s="89">
        <f t="shared" si="3"/>
        <v>23071</v>
      </c>
      <c r="AC30" s="120">
        <f>SUM(AB30,X30,R30,BaseDeDatos[[#This Row],[Additionals cost]])</f>
        <v>39471.065000000002</v>
      </c>
      <c r="AD30" s="117">
        <v>0.21510000000000001</v>
      </c>
      <c r="AE30" s="117">
        <v>0.23499999999999999</v>
      </c>
      <c r="AF30" s="240">
        <f t="shared" si="4"/>
        <v>0.21874474737368688</v>
      </c>
      <c r="AG30" s="226">
        <v>45824</v>
      </c>
      <c r="AH30" s="226" t="s">
        <v>185</v>
      </c>
      <c r="AI30" s="227">
        <f>VLOOKUP(AH30,DATA!$B$13:$C$19,2,0)</f>
        <v>100</v>
      </c>
      <c r="AJ30" s="4">
        <f>VLOOKUP($AH$1,DATA!$B$24:$C$45,2,0)</f>
        <v>0.05</v>
      </c>
      <c r="AK30" s="69">
        <f>BaseDeDatos[[#This Row],[Read info
Status]]*(AJ30)/100</f>
        <v>0.05</v>
      </c>
      <c r="AL30" s="79">
        <f t="shared" si="5"/>
        <v>1</v>
      </c>
      <c r="AM30" s="226" t="s">
        <v>185</v>
      </c>
      <c r="AN30" s="227">
        <f>VLOOKUP(AM30,DATA!$B$13:$C$19,2,0)</f>
        <v>100</v>
      </c>
      <c r="AO30" s="4">
        <f>VLOOKUP($AM$1,DATA!$B$24:$C$45,2,0)</f>
        <v>0.05</v>
      </c>
      <c r="AP30" s="4">
        <f t="shared" si="6"/>
        <v>0.05</v>
      </c>
      <c r="AQ30" s="69">
        <f t="shared" si="7"/>
        <v>1</v>
      </c>
      <c r="AR30" s="5">
        <v>45838</v>
      </c>
      <c r="AS30" s="95">
        <v>45840</v>
      </c>
      <c r="AT30" s="226" t="s">
        <v>185</v>
      </c>
      <c r="AU30" s="227">
        <f>VLOOKUP(AT30,DATA!$B$13:$C$19,2,0)</f>
        <v>100</v>
      </c>
      <c r="AV30" s="4">
        <f>VLOOKUP($AT$1,DATA!$B$24:$C$45,2,0)</f>
        <v>0.01</v>
      </c>
      <c r="AW30" s="4">
        <f t="shared" si="8"/>
        <v>0.01</v>
      </c>
      <c r="AX30" s="69">
        <f t="shared" si="9"/>
        <v>0.2</v>
      </c>
      <c r="AY30" s="5">
        <v>45905</v>
      </c>
      <c r="AZ30" s="95">
        <v>45905</v>
      </c>
      <c r="BA30" s="226" t="s">
        <v>185</v>
      </c>
      <c r="BB30" s="227">
        <f>VLOOKUP(BA30,DATA!$B$13:$C$19,2,0)</f>
        <v>100</v>
      </c>
      <c r="BC30" s="4">
        <f>VLOOKUP($BA$1,DATA!$B$24:$C$45,2,0)</f>
        <v>0.01</v>
      </c>
      <c r="BD30" s="4">
        <f t="shared" si="10"/>
        <v>0.01</v>
      </c>
      <c r="BE30" s="79">
        <f t="shared" si="11"/>
        <v>0.2</v>
      </c>
      <c r="BF30" s="226" t="s">
        <v>185</v>
      </c>
      <c r="BG30" s="227">
        <f>VLOOKUP(BF30,DATA!$B$13:$C$19,2,0)</f>
        <v>100</v>
      </c>
      <c r="BH30" s="4">
        <f>VLOOKUP($BF$1,DATA!$B$24:$C$45,2,0)</f>
        <v>0.08</v>
      </c>
      <c r="BI30" s="4">
        <f t="shared" si="12"/>
        <v>0.08</v>
      </c>
      <c r="BJ30" s="79">
        <f t="shared" si="13"/>
        <v>1.6</v>
      </c>
      <c r="BK30" s="226" t="s">
        <v>185</v>
      </c>
      <c r="BL30" s="227">
        <f>VLOOKUP(BK30,DATA!$B$13:$C$19,2,0)</f>
        <v>100</v>
      </c>
      <c r="BM30" s="4">
        <f>VLOOKUP($BK$1,DATA!$B$24:$C$45,2,0)</f>
        <v>0.18</v>
      </c>
      <c r="BN30" s="4">
        <f t="shared" si="14"/>
        <v>0.18</v>
      </c>
      <c r="BO30" s="79">
        <f t="shared" si="15"/>
        <v>3.5999999999999996</v>
      </c>
      <c r="BP30" s="226" t="s">
        <v>185</v>
      </c>
      <c r="BQ30" s="227">
        <f>VLOOKUP(BP30,DATA!$B$13:$C$19,2,0)</f>
        <v>100</v>
      </c>
      <c r="BR30" s="4">
        <f>VLOOKUP($BP$1,DATA!$B$24:$C$45,2,0)</f>
        <v>0.28000000000000003</v>
      </c>
      <c r="BS30" s="4">
        <f t="shared" si="16"/>
        <v>0.28000000000000003</v>
      </c>
      <c r="BT30" s="79">
        <f t="shared" si="17"/>
        <v>5.6000000000000005</v>
      </c>
      <c r="BU30" s="226" t="s">
        <v>185</v>
      </c>
      <c r="BV30" s="227">
        <f>VLOOKUP(BU30,DATA!$B$13:$C$19,2,0)</f>
        <v>100</v>
      </c>
      <c r="BW30" s="4">
        <f>VLOOKUP($BU$1,DATA!$B$24:$C$45,2,0)</f>
        <v>0.15</v>
      </c>
      <c r="BX30" s="4">
        <f t="shared" si="18"/>
        <v>0.15</v>
      </c>
      <c r="BY30" s="79">
        <f t="shared" si="19"/>
        <v>3</v>
      </c>
      <c r="BZ30" s="226" t="s">
        <v>185</v>
      </c>
      <c r="CA30" s="227">
        <f>VLOOKUP(BZ30,DATA!$B$13:$C$19,2,0)</f>
        <v>100</v>
      </c>
      <c r="CB30" s="4">
        <f>VLOOKUP($BZ$1,DATA!$B$24:$C$45,2,0)</f>
        <v>0.16</v>
      </c>
      <c r="CC30" s="4">
        <f t="shared" si="20"/>
        <v>0.16</v>
      </c>
      <c r="CD30" s="79">
        <f t="shared" si="21"/>
        <v>3.2</v>
      </c>
      <c r="CE30" s="226" t="s">
        <v>185</v>
      </c>
      <c r="CF30" s="227">
        <f>VLOOKUP(CE30,DATA!$B$13:$C$19,2,0)</f>
        <v>100</v>
      </c>
      <c r="CG30" s="4">
        <f>VLOOKUP($CE$1,DATA!$B$24:$C$45,2,0)</f>
        <v>0.13</v>
      </c>
      <c r="CH30" s="4">
        <f t="shared" si="22"/>
        <v>0.13</v>
      </c>
      <c r="CI30" s="79">
        <f t="shared" si="23"/>
        <v>2.6</v>
      </c>
      <c r="CJ30" s="226" t="s">
        <v>185</v>
      </c>
      <c r="CK30" s="227">
        <f>VLOOKUP(CJ30,DATA!$B$13:$C$19,2,0)</f>
        <v>100</v>
      </c>
      <c r="CL30" s="4">
        <f>VLOOKUP($CJ$1,DATA!$B$24:$C$45,2,0)</f>
        <v>0.01</v>
      </c>
      <c r="CM30" s="4">
        <f t="shared" si="24"/>
        <v>0.01</v>
      </c>
      <c r="CN30" s="79">
        <f t="shared" si="25"/>
        <v>0.2</v>
      </c>
      <c r="CO30" s="83">
        <f t="shared" si="26"/>
        <v>1</v>
      </c>
      <c r="CP30" s="4">
        <f>VLOOKUP($CO$1,DATA!$B$24:$C$45,2,0)</f>
        <v>0.54</v>
      </c>
      <c r="CQ30" s="81">
        <f t="shared" si="27"/>
        <v>0.54</v>
      </c>
      <c r="CR30" s="80">
        <f t="shared" si="28"/>
        <v>10.8</v>
      </c>
      <c r="CS30" s="129">
        <f t="shared" si="29"/>
        <v>10.8</v>
      </c>
      <c r="CT30" s="242">
        <f t="shared" si="30"/>
        <v>0</v>
      </c>
      <c r="CU30" s="226" t="s">
        <v>185</v>
      </c>
      <c r="CV30" s="227">
        <f>VLOOKUP(CU30,DATA!$B$13:$C$19,2,0)</f>
        <v>100</v>
      </c>
      <c r="CW30" s="4">
        <f>VLOOKUP($CU$1,DATA!$B$24:$C$45,2,0)</f>
        <v>0.02</v>
      </c>
      <c r="CX30" s="4">
        <f t="shared" si="31"/>
        <v>0.02</v>
      </c>
      <c r="CY30" s="69">
        <f t="shared" si="32"/>
        <v>0.4</v>
      </c>
      <c r="CZ30" s="87">
        <v>45916</v>
      </c>
      <c r="DA30" s="86">
        <v>45912</v>
      </c>
      <c r="DB30" s="226" t="s">
        <v>185</v>
      </c>
      <c r="DC30" s="227">
        <f>VLOOKUP(DB30,DATA!$B$13:$C$19,2,0)</f>
        <v>100</v>
      </c>
      <c r="DD30" s="4">
        <f>VLOOKUP($DB$1,DATA!$B$24:$C$45,2,0)</f>
        <v>0.01</v>
      </c>
      <c r="DE30" s="4">
        <f t="shared" si="33"/>
        <v>0.01</v>
      </c>
      <c r="DF30" s="69">
        <f t="shared" si="34"/>
        <v>0.2</v>
      </c>
      <c r="DG30" s="87">
        <v>45919</v>
      </c>
      <c r="DH30" s="86">
        <v>45931</v>
      </c>
      <c r="DI30" s="226" t="s">
        <v>185</v>
      </c>
      <c r="DJ30" s="227">
        <f>VLOOKUP(DI30,DATA!$B$13:$C$19,2,0)</f>
        <v>100</v>
      </c>
      <c r="DK30" s="4">
        <f>VLOOKUP($DI$1,DATA!$B$24:$C$45,2,0)</f>
        <v>0.03</v>
      </c>
      <c r="DL30" s="4">
        <f t="shared" si="35"/>
        <v>0.03</v>
      </c>
      <c r="DM30" s="79">
        <f t="shared" si="36"/>
        <v>0.6</v>
      </c>
      <c r="DN30" s="226" t="s">
        <v>185</v>
      </c>
      <c r="DO30" s="227">
        <f>VLOOKUP(DN30,DATA!$B$13:$C$19,2,0)</f>
        <v>100</v>
      </c>
      <c r="DP30" s="4">
        <f>VLOOKUP($DN$1,DATA!$B$24:$C$45,2,0)</f>
        <v>7.0000000000000007E-2</v>
      </c>
      <c r="DQ30" s="4">
        <f t="shared" si="37"/>
        <v>7.0000000000000007E-2</v>
      </c>
      <c r="DR30" s="69">
        <f t="shared" si="38"/>
        <v>1.4000000000000001</v>
      </c>
      <c r="DS30" s="87">
        <v>45919</v>
      </c>
      <c r="DT30" s="86">
        <v>45939</v>
      </c>
      <c r="DU30" s="226" t="s">
        <v>185</v>
      </c>
      <c r="DV30" s="227">
        <f>VLOOKUP(DU30,DATA!$B$13:$C$19,2,0)</f>
        <v>100</v>
      </c>
      <c r="DW30" s="4">
        <f>VLOOKUP($DU$1,DATA!$B$24:$C$45,2,0)</f>
        <v>0.04</v>
      </c>
      <c r="DX30" s="4">
        <f t="shared" si="39"/>
        <v>0.04</v>
      </c>
      <c r="DY30" s="69">
        <f t="shared" si="40"/>
        <v>0.8</v>
      </c>
      <c r="DZ30" s="87">
        <v>45923</v>
      </c>
      <c r="EA30" s="86">
        <v>45953</v>
      </c>
      <c r="EB30" s="226" t="s">
        <v>220</v>
      </c>
      <c r="EC30" s="227">
        <f>VLOOKUP(EB30,DATA!$B$13:$C$19,2,0)</f>
        <v>50</v>
      </c>
      <c r="ED30" s="4">
        <f>VLOOKUP($EB$1,DATA!$B$24:$C$45,2,0)</f>
        <v>0.05</v>
      </c>
      <c r="EE30" s="4">
        <f t="shared" si="41"/>
        <v>2.5000000000000001E-2</v>
      </c>
      <c r="EF30" s="69">
        <f t="shared" si="42"/>
        <v>1</v>
      </c>
      <c r="EG30" s="87"/>
      <c r="EH30" s="86"/>
      <c r="EI30" s="226" t="s">
        <v>185</v>
      </c>
      <c r="EJ30" s="227">
        <f>VLOOKUP(EI30,DATA!$B$13:$C$19,2,0)</f>
        <v>100</v>
      </c>
      <c r="EK30" s="4">
        <f>VLOOKUP($EI$1,DATA!$B$24:$C$45,2,0)</f>
        <v>0.1</v>
      </c>
      <c r="EL30" s="4">
        <f t="shared" si="43"/>
        <v>0.1</v>
      </c>
      <c r="EM30" s="69">
        <f t="shared" si="44"/>
        <v>2</v>
      </c>
      <c r="EN30" s="87"/>
      <c r="EO30" s="86">
        <v>45986</v>
      </c>
      <c r="EP30" s="226" t="s">
        <v>193</v>
      </c>
      <c r="EQ30" s="227">
        <f>VLOOKUP(EP30,DATA!$B$13:$C$19,2,0)</f>
        <v>0</v>
      </c>
      <c r="ER30" s="4">
        <f>VLOOKUP($EP$1,DATA!$B$24:$C$45,2,0)</f>
        <v>0.03</v>
      </c>
      <c r="ES30" s="4">
        <f t="shared" si="45"/>
        <v>0</v>
      </c>
      <c r="ET30" s="79">
        <f t="shared" si="46"/>
        <v>0.6</v>
      </c>
      <c r="EU30" s="244">
        <f t="shared" si="47"/>
        <v>1.6</v>
      </c>
      <c r="EV30" s="85" t="s">
        <v>187</v>
      </c>
      <c r="EW30" s="134" t="s">
        <v>186</v>
      </c>
      <c r="EX30" s="6"/>
    </row>
    <row r="31" spans="1:154" x14ac:dyDescent="0.3">
      <c r="A31" s="3" t="s">
        <v>180</v>
      </c>
      <c r="B31" s="3" t="s">
        <v>181</v>
      </c>
      <c r="C31" s="3" t="s">
        <v>251</v>
      </c>
      <c r="D31" s="85" t="s">
        <v>265</v>
      </c>
      <c r="E31" s="85" t="s">
        <v>253</v>
      </c>
      <c r="F31" s="3">
        <v>3328</v>
      </c>
      <c r="G31" s="3" t="s">
        <v>266</v>
      </c>
      <c r="H31" s="3">
        <v>20</v>
      </c>
      <c r="I31" s="3"/>
      <c r="J31" s="229">
        <f>BaseDeDatos[[#This Row],[Budget CS]]+BaseDeDatos[[#This Row],[Change Orders Budget]]</f>
        <v>20</v>
      </c>
      <c r="K31" s="92">
        <f>IFERROR(VLOOKUP(G31, DATA!H:I, 2, FALSE), 0)+BaseDeDatos[[#This Row],[Labor Spend on Design errors]]+BaseDeDatos[[#This Row],[Labor
Spent Customer changes]]</f>
        <v>13</v>
      </c>
      <c r="L31" s="92"/>
      <c r="M31" s="92"/>
      <c r="N31" s="232">
        <f t="shared" si="0"/>
        <v>0.94500000000000006</v>
      </c>
      <c r="O31" s="238">
        <f t="shared" si="1"/>
        <v>13</v>
      </c>
      <c r="P31" s="39">
        <v>26.73</v>
      </c>
      <c r="Q31" s="89">
        <f>BaseDeDatos[[#This Row],[Budget]]*BaseDeDatos[[#This Row],[Labor Rate from CS]]</f>
        <v>534.6</v>
      </c>
      <c r="R31" s="89">
        <f>BaseDeDatos[[#This Row],[Labor
Spent]]*BaseDeDatos[[#This Row],[Labor Rate from CS]]</f>
        <v>347.49</v>
      </c>
      <c r="S31" s="93">
        <f t="shared" si="2"/>
        <v>0.65</v>
      </c>
      <c r="T31" s="98">
        <v>32000</v>
      </c>
      <c r="U31" s="98">
        <v>10493.57</v>
      </c>
      <c r="V31" s="98">
        <v>8236.48</v>
      </c>
      <c r="W31" s="98">
        <v>3400</v>
      </c>
      <c r="X31" s="98">
        <v>3400</v>
      </c>
      <c r="Y31" s="98"/>
      <c r="Z31" s="98"/>
      <c r="AA31" s="98">
        <v>25117.29</v>
      </c>
      <c r="AB31" s="89">
        <f t="shared" si="3"/>
        <v>21182.690000000002</v>
      </c>
      <c r="AC31" s="120">
        <f>SUM(AB31,X31,R31,BaseDeDatos[[#This Row],[Additionals cost]])</f>
        <v>33166.660000000003</v>
      </c>
      <c r="AD31" s="117">
        <v>0.21510000000000001</v>
      </c>
      <c r="AE31" s="117">
        <v>0.23499999999999999</v>
      </c>
      <c r="AF31" s="240">
        <f t="shared" si="4"/>
        <v>0.22093187499999989</v>
      </c>
      <c r="AG31" s="226">
        <v>45824</v>
      </c>
      <c r="AH31" s="226" t="s">
        <v>185</v>
      </c>
      <c r="AI31" s="227">
        <f>VLOOKUP(AH31,DATA!$B$13:$C$19,2,0)</f>
        <v>100</v>
      </c>
      <c r="AJ31" s="4">
        <f>VLOOKUP($AH$1,DATA!$B$24:$C$45,2,0)</f>
        <v>0.05</v>
      </c>
      <c r="AK31" s="69">
        <f>BaseDeDatos[[#This Row],[Read info
Status]]*(AJ31)/100</f>
        <v>0.05</v>
      </c>
      <c r="AL31" s="79">
        <f t="shared" si="5"/>
        <v>1</v>
      </c>
      <c r="AM31" s="226" t="s">
        <v>185</v>
      </c>
      <c r="AN31" s="227">
        <f>VLOOKUP(AM31,DATA!$B$13:$C$19,2,0)</f>
        <v>100</v>
      </c>
      <c r="AO31" s="4">
        <f>VLOOKUP($AM$1,DATA!$B$24:$C$45,2,0)</f>
        <v>0.05</v>
      </c>
      <c r="AP31" s="4">
        <f t="shared" si="6"/>
        <v>0.05</v>
      </c>
      <c r="AQ31" s="69">
        <f t="shared" si="7"/>
        <v>1</v>
      </c>
      <c r="AR31" s="5">
        <v>45838</v>
      </c>
      <c r="AS31" s="95">
        <v>45840</v>
      </c>
      <c r="AT31" s="226" t="s">
        <v>185</v>
      </c>
      <c r="AU31" s="227">
        <f>VLOOKUP(AT31,DATA!$B$13:$C$19,2,0)</f>
        <v>100</v>
      </c>
      <c r="AV31" s="4">
        <f>VLOOKUP($AT$1,DATA!$B$24:$C$45,2,0)</f>
        <v>0.01</v>
      </c>
      <c r="AW31" s="4">
        <f t="shared" si="8"/>
        <v>0.01</v>
      </c>
      <c r="AX31" s="69">
        <f t="shared" si="9"/>
        <v>0.2</v>
      </c>
      <c r="AY31" s="5">
        <v>45905</v>
      </c>
      <c r="AZ31" s="95">
        <v>45905</v>
      </c>
      <c r="BA31" s="226" t="s">
        <v>185</v>
      </c>
      <c r="BB31" s="227">
        <f>VLOOKUP(BA31,DATA!$B$13:$C$19,2,0)</f>
        <v>100</v>
      </c>
      <c r="BC31" s="4">
        <f>VLOOKUP($BA$1,DATA!$B$24:$C$45,2,0)</f>
        <v>0.01</v>
      </c>
      <c r="BD31" s="4">
        <f t="shared" si="10"/>
        <v>0.01</v>
      </c>
      <c r="BE31" s="79">
        <f t="shared" si="11"/>
        <v>0.2</v>
      </c>
      <c r="BF31" s="226" t="s">
        <v>185</v>
      </c>
      <c r="BG31" s="227">
        <f>VLOOKUP(BF31,DATA!$B$13:$C$19,2,0)</f>
        <v>100</v>
      </c>
      <c r="BH31" s="4">
        <f>VLOOKUP($BF$1,DATA!$B$24:$C$45,2,0)</f>
        <v>0.08</v>
      </c>
      <c r="BI31" s="4">
        <f t="shared" si="12"/>
        <v>0.08</v>
      </c>
      <c r="BJ31" s="79">
        <f t="shared" si="13"/>
        <v>1.6</v>
      </c>
      <c r="BK31" s="226" t="s">
        <v>185</v>
      </c>
      <c r="BL31" s="227">
        <f>VLOOKUP(BK31,DATA!$B$13:$C$19,2,0)</f>
        <v>100</v>
      </c>
      <c r="BM31" s="4">
        <f>VLOOKUP($BK$1,DATA!$B$24:$C$45,2,0)</f>
        <v>0.18</v>
      </c>
      <c r="BN31" s="4">
        <f t="shared" si="14"/>
        <v>0.18</v>
      </c>
      <c r="BO31" s="79">
        <f t="shared" si="15"/>
        <v>3.5999999999999996</v>
      </c>
      <c r="BP31" s="226" t="s">
        <v>185</v>
      </c>
      <c r="BQ31" s="227">
        <f>VLOOKUP(BP31,DATA!$B$13:$C$19,2,0)</f>
        <v>100</v>
      </c>
      <c r="BR31" s="4">
        <f>VLOOKUP($BP$1,DATA!$B$24:$C$45,2,0)</f>
        <v>0.28000000000000003</v>
      </c>
      <c r="BS31" s="4">
        <f t="shared" si="16"/>
        <v>0.28000000000000003</v>
      </c>
      <c r="BT31" s="79">
        <f t="shared" si="17"/>
        <v>5.6000000000000005</v>
      </c>
      <c r="BU31" s="226" t="s">
        <v>185</v>
      </c>
      <c r="BV31" s="227">
        <f>VLOOKUP(BU31,DATA!$B$13:$C$19,2,0)</f>
        <v>100</v>
      </c>
      <c r="BW31" s="4">
        <f>VLOOKUP($BU$1,DATA!$B$24:$C$45,2,0)</f>
        <v>0.15</v>
      </c>
      <c r="BX31" s="4">
        <f t="shared" si="18"/>
        <v>0.15</v>
      </c>
      <c r="BY31" s="79">
        <f t="shared" si="19"/>
        <v>3</v>
      </c>
      <c r="BZ31" s="226" t="s">
        <v>185</v>
      </c>
      <c r="CA31" s="227">
        <f>VLOOKUP(BZ31,DATA!$B$13:$C$19,2,0)</f>
        <v>100</v>
      </c>
      <c r="CB31" s="4">
        <f>VLOOKUP($BZ$1,DATA!$B$24:$C$45,2,0)</f>
        <v>0.16</v>
      </c>
      <c r="CC31" s="4">
        <f t="shared" si="20"/>
        <v>0.16</v>
      </c>
      <c r="CD31" s="79">
        <f t="shared" si="21"/>
        <v>3.2</v>
      </c>
      <c r="CE31" s="226" t="s">
        <v>185</v>
      </c>
      <c r="CF31" s="227">
        <f>VLOOKUP(CE31,DATA!$B$13:$C$19,2,0)</f>
        <v>100</v>
      </c>
      <c r="CG31" s="4">
        <f>VLOOKUP($CE$1,DATA!$B$24:$C$45,2,0)</f>
        <v>0.13</v>
      </c>
      <c r="CH31" s="4">
        <f t="shared" si="22"/>
        <v>0.13</v>
      </c>
      <c r="CI31" s="79">
        <f t="shared" si="23"/>
        <v>2.6</v>
      </c>
      <c r="CJ31" s="226" t="s">
        <v>185</v>
      </c>
      <c r="CK31" s="227">
        <f>VLOOKUP(CJ31,DATA!$B$13:$C$19,2,0)</f>
        <v>100</v>
      </c>
      <c r="CL31" s="4">
        <f>VLOOKUP($CJ$1,DATA!$B$24:$C$45,2,0)</f>
        <v>0.01</v>
      </c>
      <c r="CM31" s="4">
        <f t="shared" si="24"/>
        <v>0.01</v>
      </c>
      <c r="CN31" s="79">
        <f t="shared" si="25"/>
        <v>0.2</v>
      </c>
      <c r="CO31" s="83">
        <f t="shared" si="26"/>
        <v>1</v>
      </c>
      <c r="CP31" s="4">
        <f>VLOOKUP($CO$1,DATA!$B$24:$C$45,2,0)</f>
        <v>0.54</v>
      </c>
      <c r="CQ31" s="81">
        <f t="shared" si="27"/>
        <v>0.54</v>
      </c>
      <c r="CR31" s="80">
        <f t="shared" si="28"/>
        <v>10.8</v>
      </c>
      <c r="CS31" s="129">
        <f t="shared" si="29"/>
        <v>10.8</v>
      </c>
      <c r="CT31" s="242">
        <f t="shared" si="30"/>
        <v>0</v>
      </c>
      <c r="CU31" s="226" t="s">
        <v>185</v>
      </c>
      <c r="CV31" s="227">
        <f>VLOOKUP(CU31,DATA!$B$13:$C$19,2,0)</f>
        <v>100</v>
      </c>
      <c r="CW31" s="4">
        <f>VLOOKUP($CU$1,DATA!$B$24:$C$45,2,0)</f>
        <v>0.02</v>
      </c>
      <c r="CX31" s="4">
        <f t="shared" si="31"/>
        <v>0.02</v>
      </c>
      <c r="CY31" s="69">
        <f t="shared" si="32"/>
        <v>0.4</v>
      </c>
      <c r="CZ31" s="87">
        <v>45916</v>
      </c>
      <c r="DA31" s="86">
        <v>45918</v>
      </c>
      <c r="DB31" s="226" t="s">
        <v>185</v>
      </c>
      <c r="DC31" s="227">
        <f>VLOOKUP(DB31,DATA!$B$13:$C$19,2,0)</f>
        <v>100</v>
      </c>
      <c r="DD31" s="4">
        <f>VLOOKUP($DB$1,DATA!$B$24:$C$45,2,0)</f>
        <v>0.01</v>
      </c>
      <c r="DE31" s="4">
        <f t="shared" si="33"/>
        <v>0.01</v>
      </c>
      <c r="DF31" s="69">
        <f t="shared" si="34"/>
        <v>0.2</v>
      </c>
      <c r="DG31" s="87">
        <v>45919</v>
      </c>
      <c r="DH31" s="86">
        <v>45931</v>
      </c>
      <c r="DI31" s="226" t="s">
        <v>185</v>
      </c>
      <c r="DJ31" s="227">
        <f>VLOOKUP(DI31,DATA!$B$13:$C$19,2,0)</f>
        <v>100</v>
      </c>
      <c r="DK31" s="4">
        <f>VLOOKUP($DI$1,DATA!$B$24:$C$45,2,0)</f>
        <v>0.03</v>
      </c>
      <c r="DL31" s="4">
        <f t="shared" si="35"/>
        <v>0.03</v>
      </c>
      <c r="DM31" s="79">
        <f t="shared" si="36"/>
        <v>0.6</v>
      </c>
      <c r="DN31" s="226" t="s">
        <v>185</v>
      </c>
      <c r="DO31" s="227">
        <f>VLOOKUP(DN31,DATA!$B$13:$C$19,2,0)</f>
        <v>100</v>
      </c>
      <c r="DP31" s="4">
        <f>VLOOKUP($DN$1,DATA!$B$24:$C$45,2,0)</f>
        <v>7.0000000000000007E-2</v>
      </c>
      <c r="DQ31" s="4">
        <f t="shared" si="37"/>
        <v>7.0000000000000007E-2</v>
      </c>
      <c r="DR31" s="69">
        <f t="shared" si="38"/>
        <v>1.4000000000000001</v>
      </c>
      <c r="DS31" s="87">
        <v>45919</v>
      </c>
      <c r="DT31" s="86">
        <v>45939</v>
      </c>
      <c r="DU31" s="226" t="s">
        <v>185</v>
      </c>
      <c r="DV31" s="227">
        <f>VLOOKUP(DU31,DATA!$B$13:$C$19,2,0)</f>
        <v>100</v>
      </c>
      <c r="DW31" s="4">
        <f>VLOOKUP($DU$1,DATA!$B$24:$C$45,2,0)</f>
        <v>0.04</v>
      </c>
      <c r="DX31" s="4">
        <f t="shared" si="39"/>
        <v>0.04</v>
      </c>
      <c r="DY31" s="69">
        <f t="shared" si="40"/>
        <v>0.8</v>
      </c>
      <c r="DZ31" s="87">
        <v>45923</v>
      </c>
      <c r="EA31" s="86">
        <v>45953</v>
      </c>
      <c r="EB31" s="226" t="s">
        <v>220</v>
      </c>
      <c r="EC31" s="227">
        <f>VLOOKUP(EB31,DATA!$B$13:$C$19,2,0)</f>
        <v>50</v>
      </c>
      <c r="ED31" s="4">
        <f>VLOOKUP($EB$1,DATA!$B$24:$C$45,2,0)</f>
        <v>0.05</v>
      </c>
      <c r="EE31" s="4">
        <f t="shared" si="41"/>
        <v>2.5000000000000001E-2</v>
      </c>
      <c r="EF31" s="69">
        <f t="shared" si="42"/>
        <v>1</v>
      </c>
      <c r="EG31" s="87"/>
      <c r="EH31" s="86"/>
      <c r="EI31" s="226" t="s">
        <v>185</v>
      </c>
      <c r="EJ31" s="227">
        <f>VLOOKUP(EI31,DATA!$B$13:$C$19,2,0)</f>
        <v>100</v>
      </c>
      <c r="EK31" s="4">
        <f>VLOOKUP($EI$1,DATA!$B$24:$C$45,2,0)</f>
        <v>0.1</v>
      </c>
      <c r="EL31" s="4">
        <f t="shared" si="43"/>
        <v>0.1</v>
      </c>
      <c r="EM31" s="69">
        <f t="shared" si="44"/>
        <v>2</v>
      </c>
      <c r="EN31" s="87"/>
      <c r="EO31" s="86">
        <v>45986</v>
      </c>
      <c r="EP31" s="226" t="s">
        <v>193</v>
      </c>
      <c r="EQ31" s="227">
        <f>VLOOKUP(EP31,DATA!$B$13:$C$19,2,0)</f>
        <v>0</v>
      </c>
      <c r="ER31" s="4">
        <f>VLOOKUP($EP$1,DATA!$B$24:$C$45,2,0)</f>
        <v>0.03</v>
      </c>
      <c r="ES31" s="4">
        <f t="shared" si="45"/>
        <v>0</v>
      </c>
      <c r="ET31" s="79">
        <f t="shared" si="46"/>
        <v>0.6</v>
      </c>
      <c r="EU31" s="244">
        <f t="shared" si="47"/>
        <v>1.6</v>
      </c>
      <c r="EV31" s="85" t="s">
        <v>187</v>
      </c>
      <c r="EW31" s="134" t="s">
        <v>239</v>
      </c>
      <c r="EX31" s="6"/>
    </row>
    <row r="32" spans="1:154" x14ac:dyDescent="0.3">
      <c r="A32" s="3" t="s">
        <v>180</v>
      </c>
      <c r="B32" s="3" t="s">
        <v>181</v>
      </c>
      <c r="C32" s="3" t="s">
        <v>251</v>
      </c>
      <c r="D32" s="85" t="s">
        <v>267</v>
      </c>
      <c r="E32" s="85" t="s">
        <v>253</v>
      </c>
      <c r="F32" s="3">
        <v>3328</v>
      </c>
      <c r="G32" s="3" t="s">
        <v>268</v>
      </c>
      <c r="H32" s="3">
        <v>20</v>
      </c>
      <c r="I32" s="3"/>
      <c r="J32" s="229">
        <f>BaseDeDatos[[#This Row],[Budget CS]]+BaseDeDatos[[#This Row],[Change Orders Budget]]</f>
        <v>20</v>
      </c>
      <c r="K32" s="92">
        <f>IFERROR(VLOOKUP(G32, DATA!H:I, 2, FALSE), 0)+BaseDeDatos[[#This Row],[Labor Spend on Design errors]]+BaseDeDatos[[#This Row],[Labor
Spent Customer changes]]</f>
        <v>17</v>
      </c>
      <c r="L32" s="92"/>
      <c r="M32" s="92"/>
      <c r="N32" s="232">
        <f t="shared" si="0"/>
        <v>0.94500000000000006</v>
      </c>
      <c r="O32" s="238">
        <f t="shared" si="1"/>
        <v>17</v>
      </c>
      <c r="P32" s="39">
        <v>26.73</v>
      </c>
      <c r="Q32" s="89">
        <f>BaseDeDatos[[#This Row],[Budget]]*BaseDeDatos[[#This Row],[Labor Rate from CS]]</f>
        <v>534.6</v>
      </c>
      <c r="R32" s="89">
        <f>BaseDeDatos[[#This Row],[Labor
Spent]]*BaseDeDatos[[#This Row],[Labor Rate from CS]]</f>
        <v>454.41</v>
      </c>
      <c r="S32" s="93">
        <f t="shared" si="2"/>
        <v>0.85</v>
      </c>
      <c r="T32" s="98">
        <v>49060</v>
      </c>
      <c r="U32" s="98">
        <v>10493.57</v>
      </c>
      <c r="V32" s="98">
        <v>8236.48</v>
      </c>
      <c r="W32" s="98">
        <v>9412</v>
      </c>
      <c r="X32" s="98">
        <v>9412</v>
      </c>
      <c r="Y32" s="98"/>
      <c r="Z32" s="98"/>
      <c r="AA32" s="98">
        <v>38507.199999999997</v>
      </c>
      <c r="AB32" s="89">
        <f t="shared" si="3"/>
        <v>28560.6</v>
      </c>
      <c r="AC32" s="120">
        <f>SUM(AB32,X32,R32,BaseDeDatos[[#This Row],[Additionals cost]])</f>
        <v>46663.490000000005</v>
      </c>
      <c r="AD32" s="117">
        <v>0.21510000000000001</v>
      </c>
      <c r="AE32" s="117">
        <v>0.23499999999999999</v>
      </c>
      <c r="AF32" s="240">
        <f t="shared" si="4"/>
        <v>0.21673440684875658</v>
      </c>
      <c r="AG32" s="226">
        <v>45824</v>
      </c>
      <c r="AH32" s="226" t="s">
        <v>185</v>
      </c>
      <c r="AI32" s="227">
        <f>VLOOKUP(AH32,DATA!$B$13:$C$19,2,0)</f>
        <v>100</v>
      </c>
      <c r="AJ32" s="4">
        <f>VLOOKUP($AH$1,DATA!$B$24:$C$45,2,0)</f>
        <v>0.05</v>
      </c>
      <c r="AK32" s="69">
        <f>BaseDeDatos[[#This Row],[Read info
Status]]*(AJ32)/100</f>
        <v>0.05</v>
      </c>
      <c r="AL32" s="79">
        <f t="shared" si="5"/>
        <v>1</v>
      </c>
      <c r="AM32" s="226" t="s">
        <v>185</v>
      </c>
      <c r="AN32" s="227">
        <f>VLOOKUP(AM32,DATA!$B$13:$C$19,2,0)</f>
        <v>100</v>
      </c>
      <c r="AO32" s="4">
        <f>VLOOKUP($AM$1,DATA!$B$24:$C$45,2,0)</f>
        <v>0.05</v>
      </c>
      <c r="AP32" s="4">
        <f t="shared" si="6"/>
        <v>0.05</v>
      </c>
      <c r="AQ32" s="69">
        <f t="shared" si="7"/>
        <v>1</v>
      </c>
      <c r="AR32" s="5">
        <v>45838</v>
      </c>
      <c r="AS32" s="95">
        <v>45840</v>
      </c>
      <c r="AT32" s="226" t="s">
        <v>185</v>
      </c>
      <c r="AU32" s="227">
        <f>VLOOKUP(AT32,DATA!$B$13:$C$19,2,0)</f>
        <v>100</v>
      </c>
      <c r="AV32" s="4">
        <f>VLOOKUP($AT$1,DATA!$B$24:$C$45,2,0)</f>
        <v>0.01</v>
      </c>
      <c r="AW32" s="4">
        <f t="shared" si="8"/>
        <v>0.01</v>
      </c>
      <c r="AX32" s="69">
        <f t="shared" si="9"/>
        <v>0.2</v>
      </c>
      <c r="AY32" s="5">
        <v>45905</v>
      </c>
      <c r="AZ32" s="95">
        <v>45940</v>
      </c>
      <c r="BA32" s="226" t="s">
        <v>185</v>
      </c>
      <c r="BB32" s="227">
        <f>VLOOKUP(BA32,DATA!$B$13:$C$19,2,0)</f>
        <v>100</v>
      </c>
      <c r="BC32" s="4">
        <f>VLOOKUP($BA$1,DATA!$B$24:$C$45,2,0)</f>
        <v>0.01</v>
      </c>
      <c r="BD32" s="4">
        <f t="shared" si="10"/>
        <v>0.01</v>
      </c>
      <c r="BE32" s="79">
        <f t="shared" si="11"/>
        <v>0.2</v>
      </c>
      <c r="BF32" s="226" t="s">
        <v>185</v>
      </c>
      <c r="BG32" s="227">
        <f>VLOOKUP(BF32,DATA!$B$13:$C$19,2,0)</f>
        <v>100</v>
      </c>
      <c r="BH32" s="4">
        <f>VLOOKUP($BF$1,DATA!$B$24:$C$45,2,0)</f>
        <v>0.08</v>
      </c>
      <c r="BI32" s="4">
        <f t="shared" si="12"/>
        <v>0.08</v>
      </c>
      <c r="BJ32" s="79">
        <f t="shared" si="13"/>
        <v>1.6</v>
      </c>
      <c r="BK32" s="226" t="s">
        <v>185</v>
      </c>
      <c r="BL32" s="227">
        <f>VLOOKUP(BK32,DATA!$B$13:$C$19,2,0)</f>
        <v>100</v>
      </c>
      <c r="BM32" s="4">
        <f>VLOOKUP($BK$1,DATA!$B$24:$C$45,2,0)</f>
        <v>0.18</v>
      </c>
      <c r="BN32" s="4">
        <f t="shared" si="14"/>
        <v>0.18</v>
      </c>
      <c r="BO32" s="79">
        <f t="shared" si="15"/>
        <v>3.5999999999999996</v>
      </c>
      <c r="BP32" s="226" t="s">
        <v>185</v>
      </c>
      <c r="BQ32" s="227">
        <f>VLOOKUP(BP32,DATA!$B$13:$C$19,2,0)</f>
        <v>100</v>
      </c>
      <c r="BR32" s="4">
        <f>VLOOKUP($BP$1,DATA!$B$24:$C$45,2,0)</f>
        <v>0.28000000000000003</v>
      </c>
      <c r="BS32" s="4">
        <f t="shared" si="16"/>
        <v>0.28000000000000003</v>
      </c>
      <c r="BT32" s="79">
        <f t="shared" si="17"/>
        <v>5.6000000000000005</v>
      </c>
      <c r="BU32" s="226" t="s">
        <v>185</v>
      </c>
      <c r="BV32" s="227">
        <f>VLOOKUP(BU32,DATA!$B$13:$C$19,2,0)</f>
        <v>100</v>
      </c>
      <c r="BW32" s="4">
        <f>VLOOKUP($BU$1,DATA!$B$24:$C$45,2,0)</f>
        <v>0.15</v>
      </c>
      <c r="BX32" s="4">
        <f t="shared" si="18"/>
        <v>0.15</v>
      </c>
      <c r="BY32" s="79">
        <f t="shared" si="19"/>
        <v>3</v>
      </c>
      <c r="BZ32" s="226" t="s">
        <v>185</v>
      </c>
      <c r="CA32" s="227">
        <f>VLOOKUP(BZ32,DATA!$B$13:$C$19,2,0)</f>
        <v>100</v>
      </c>
      <c r="CB32" s="4">
        <f>VLOOKUP($BZ$1,DATA!$B$24:$C$45,2,0)</f>
        <v>0.16</v>
      </c>
      <c r="CC32" s="4">
        <f t="shared" si="20"/>
        <v>0.16</v>
      </c>
      <c r="CD32" s="79">
        <f t="shared" si="21"/>
        <v>3.2</v>
      </c>
      <c r="CE32" s="226" t="s">
        <v>185</v>
      </c>
      <c r="CF32" s="227">
        <f>VLOOKUP(CE32,DATA!$B$13:$C$19,2,0)</f>
        <v>100</v>
      </c>
      <c r="CG32" s="4">
        <f>VLOOKUP($CE$1,DATA!$B$24:$C$45,2,0)</f>
        <v>0.13</v>
      </c>
      <c r="CH32" s="4">
        <f t="shared" si="22"/>
        <v>0.13</v>
      </c>
      <c r="CI32" s="79">
        <f t="shared" si="23"/>
        <v>2.6</v>
      </c>
      <c r="CJ32" s="226" t="s">
        <v>185</v>
      </c>
      <c r="CK32" s="227">
        <f>VLOOKUP(CJ32,DATA!$B$13:$C$19,2,0)</f>
        <v>100</v>
      </c>
      <c r="CL32" s="4">
        <f>VLOOKUP($CJ$1,DATA!$B$24:$C$45,2,0)</f>
        <v>0.01</v>
      </c>
      <c r="CM32" s="4">
        <f t="shared" si="24"/>
        <v>0.01</v>
      </c>
      <c r="CN32" s="79">
        <f t="shared" si="25"/>
        <v>0.2</v>
      </c>
      <c r="CO32" s="83">
        <f t="shared" si="26"/>
        <v>1</v>
      </c>
      <c r="CP32" s="4">
        <f>VLOOKUP($CO$1,DATA!$B$24:$C$45,2,0)</f>
        <v>0.54</v>
      </c>
      <c r="CQ32" s="81">
        <f t="shared" si="27"/>
        <v>0.54</v>
      </c>
      <c r="CR32" s="80">
        <f t="shared" si="28"/>
        <v>10.8</v>
      </c>
      <c r="CS32" s="129">
        <f t="shared" si="29"/>
        <v>10.8</v>
      </c>
      <c r="CT32" s="242">
        <f t="shared" si="30"/>
        <v>0</v>
      </c>
      <c r="CU32" s="226" t="s">
        <v>185</v>
      </c>
      <c r="CV32" s="227">
        <f>VLOOKUP(CU32,DATA!$B$13:$C$19,2,0)</f>
        <v>100</v>
      </c>
      <c r="CW32" s="4">
        <f>VLOOKUP($CU$1,DATA!$B$24:$C$45,2,0)</f>
        <v>0.02</v>
      </c>
      <c r="CX32" s="4">
        <f t="shared" si="31"/>
        <v>0.02</v>
      </c>
      <c r="CY32" s="69">
        <f t="shared" si="32"/>
        <v>0.4</v>
      </c>
      <c r="CZ32" s="87">
        <v>45916</v>
      </c>
      <c r="DA32" s="86">
        <v>45945</v>
      </c>
      <c r="DB32" s="226" t="s">
        <v>185</v>
      </c>
      <c r="DC32" s="227">
        <f>VLOOKUP(DB32,DATA!$B$13:$C$19,2,0)</f>
        <v>100</v>
      </c>
      <c r="DD32" s="4">
        <f>VLOOKUP($DB$1,DATA!$B$24:$C$45,2,0)</f>
        <v>0.01</v>
      </c>
      <c r="DE32" s="4">
        <f t="shared" si="33"/>
        <v>0.01</v>
      </c>
      <c r="DF32" s="69">
        <f t="shared" si="34"/>
        <v>0.2</v>
      </c>
      <c r="DG32" s="87">
        <v>45919</v>
      </c>
      <c r="DH32" s="86">
        <v>45952</v>
      </c>
      <c r="DI32" s="226" t="s">
        <v>185</v>
      </c>
      <c r="DJ32" s="227">
        <f>VLOOKUP(DI32,DATA!$B$13:$C$19,2,0)</f>
        <v>100</v>
      </c>
      <c r="DK32" s="4">
        <f>VLOOKUP($DI$1,DATA!$B$24:$C$45,2,0)</f>
        <v>0.03</v>
      </c>
      <c r="DL32" s="4">
        <f t="shared" si="35"/>
        <v>0.03</v>
      </c>
      <c r="DM32" s="79">
        <f t="shared" si="36"/>
        <v>0.6</v>
      </c>
      <c r="DN32" s="226" t="s">
        <v>185</v>
      </c>
      <c r="DO32" s="227">
        <f>VLOOKUP(DN32,DATA!$B$13:$C$19,2,0)</f>
        <v>100</v>
      </c>
      <c r="DP32" s="4">
        <f>VLOOKUP($DN$1,DATA!$B$24:$C$45,2,0)</f>
        <v>7.0000000000000007E-2</v>
      </c>
      <c r="DQ32" s="4">
        <f t="shared" si="37"/>
        <v>7.0000000000000007E-2</v>
      </c>
      <c r="DR32" s="69">
        <f t="shared" si="38"/>
        <v>1.4000000000000001</v>
      </c>
      <c r="DS32" s="87">
        <v>45919</v>
      </c>
      <c r="DT32" s="86">
        <v>45939</v>
      </c>
      <c r="DU32" s="226" t="s">
        <v>185</v>
      </c>
      <c r="DV32" s="227">
        <f>VLOOKUP(DU32,DATA!$B$13:$C$19,2,0)</f>
        <v>100</v>
      </c>
      <c r="DW32" s="4">
        <f>VLOOKUP($DU$1,DATA!$B$24:$C$45,2,0)</f>
        <v>0.04</v>
      </c>
      <c r="DX32" s="4">
        <f t="shared" si="39"/>
        <v>0.04</v>
      </c>
      <c r="DY32" s="69">
        <f t="shared" si="40"/>
        <v>0.8</v>
      </c>
      <c r="DZ32" s="87">
        <v>45923</v>
      </c>
      <c r="EA32" s="86">
        <v>45953</v>
      </c>
      <c r="EB32" s="226" t="s">
        <v>220</v>
      </c>
      <c r="EC32" s="227">
        <f>VLOOKUP(EB32,DATA!$B$13:$C$19,2,0)</f>
        <v>50</v>
      </c>
      <c r="ED32" s="4">
        <f>VLOOKUP($EB$1,DATA!$B$24:$C$45,2,0)</f>
        <v>0.05</v>
      </c>
      <c r="EE32" s="4">
        <f t="shared" si="41"/>
        <v>2.5000000000000001E-2</v>
      </c>
      <c r="EF32" s="69">
        <f t="shared" si="42"/>
        <v>1</v>
      </c>
      <c r="EG32" s="87"/>
      <c r="EH32" s="86"/>
      <c r="EI32" s="226" t="s">
        <v>185</v>
      </c>
      <c r="EJ32" s="227">
        <f>VLOOKUP(EI32,DATA!$B$13:$C$19,2,0)</f>
        <v>100</v>
      </c>
      <c r="EK32" s="4">
        <f>VLOOKUP($EI$1,DATA!$B$24:$C$45,2,0)</f>
        <v>0.1</v>
      </c>
      <c r="EL32" s="4">
        <f t="shared" si="43"/>
        <v>0.1</v>
      </c>
      <c r="EM32" s="69">
        <f t="shared" si="44"/>
        <v>2</v>
      </c>
      <c r="EN32" s="87"/>
      <c r="EO32" s="86">
        <v>45986</v>
      </c>
      <c r="EP32" s="226" t="s">
        <v>193</v>
      </c>
      <c r="EQ32" s="227">
        <f>VLOOKUP(EP32,DATA!$B$13:$C$19,2,0)</f>
        <v>0</v>
      </c>
      <c r="ER32" s="4">
        <f>VLOOKUP($EP$1,DATA!$B$24:$C$45,2,0)</f>
        <v>0.03</v>
      </c>
      <c r="ES32" s="4">
        <f t="shared" si="45"/>
        <v>0</v>
      </c>
      <c r="ET32" s="79">
        <f t="shared" si="46"/>
        <v>0.6</v>
      </c>
      <c r="EU32" s="244">
        <f t="shared" si="47"/>
        <v>1.6</v>
      </c>
      <c r="EV32" s="85" t="s">
        <v>187</v>
      </c>
      <c r="EW32" s="134" t="s">
        <v>187</v>
      </c>
      <c r="EX32" s="6"/>
    </row>
    <row r="33" spans="1:154" x14ac:dyDescent="0.3">
      <c r="A33" s="3" t="s">
        <v>180</v>
      </c>
      <c r="B33" s="3" t="s">
        <v>181</v>
      </c>
      <c r="C33" s="3" t="s">
        <v>251</v>
      </c>
      <c r="D33" s="85" t="s">
        <v>269</v>
      </c>
      <c r="E33" s="85" t="s">
        <v>253</v>
      </c>
      <c r="F33" s="3">
        <v>3328</v>
      </c>
      <c r="G33" s="3" t="s">
        <v>270</v>
      </c>
      <c r="H33" s="3">
        <v>20</v>
      </c>
      <c r="I33" s="3"/>
      <c r="J33" s="229">
        <f>BaseDeDatos[[#This Row],[Budget CS]]+BaseDeDatos[[#This Row],[Change Orders Budget]]</f>
        <v>20</v>
      </c>
      <c r="K33" s="92">
        <f>IFERROR(VLOOKUP(G33, DATA!H:I, 2, FALSE), 0)+BaseDeDatos[[#This Row],[Labor Spend on Design errors]]+BaseDeDatos[[#This Row],[Labor
Spent Customer changes]]</f>
        <v>11</v>
      </c>
      <c r="L33" s="92"/>
      <c r="M33" s="92"/>
      <c r="N33" s="232">
        <f t="shared" si="0"/>
        <v>0.94500000000000006</v>
      </c>
      <c r="O33" s="238">
        <f t="shared" si="1"/>
        <v>11</v>
      </c>
      <c r="P33" s="39">
        <v>26.73</v>
      </c>
      <c r="Q33" s="89">
        <f>BaseDeDatos[[#This Row],[Budget]]*BaseDeDatos[[#This Row],[Labor Rate from CS]]</f>
        <v>534.6</v>
      </c>
      <c r="R33" s="89">
        <f>BaseDeDatos[[#This Row],[Labor
Spent]]*BaseDeDatos[[#This Row],[Labor Rate from CS]]</f>
        <v>294.03000000000003</v>
      </c>
      <c r="S33" s="93">
        <f t="shared" si="2"/>
        <v>0.55000000000000004</v>
      </c>
      <c r="T33" s="98">
        <v>47120</v>
      </c>
      <c r="U33" s="98">
        <v>10493.57</v>
      </c>
      <c r="V33" s="98">
        <v>8236.48</v>
      </c>
      <c r="W33" s="98">
        <v>5886</v>
      </c>
      <c r="X33" s="98">
        <v>5886</v>
      </c>
      <c r="Y33" s="98"/>
      <c r="Z33" s="98"/>
      <c r="AA33" s="98">
        <v>36984.800000000003</v>
      </c>
      <c r="AB33" s="89">
        <f t="shared" si="3"/>
        <v>30564.200000000004</v>
      </c>
      <c r="AC33" s="120">
        <f>SUM(AB33,X33,R33,BaseDeDatos[[#This Row],[Additionals cost]])</f>
        <v>44980.710000000006</v>
      </c>
      <c r="AD33" s="117">
        <v>0.21510000000000001</v>
      </c>
      <c r="AE33" s="117">
        <v>0.23499999999999999</v>
      </c>
      <c r="AF33" s="240">
        <f t="shared" si="4"/>
        <v>0.22019885398981318</v>
      </c>
      <c r="AG33" s="226">
        <v>45824</v>
      </c>
      <c r="AH33" s="226" t="s">
        <v>185</v>
      </c>
      <c r="AI33" s="227">
        <f>VLOOKUP(AH33,DATA!$B$13:$C$19,2,0)</f>
        <v>100</v>
      </c>
      <c r="AJ33" s="4">
        <f>VLOOKUP($AH$1,DATA!$B$24:$C$45,2,0)</f>
        <v>0.05</v>
      </c>
      <c r="AK33" s="69">
        <f>BaseDeDatos[[#This Row],[Read info
Status]]*(AJ33)/100</f>
        <v>0.05</v>
      </c>
      <c r="AL33" s="79">
        <f t="shared" si="5"/>
        <v>1</v>
      </c>
      <c r="AM33" s="226" t="s">
        <v>185</v>
      </c>
      <c r="AN33" s="227">
        <f>VLOOKUP(AM33,DATA!$B$13:$C$19,2,0)</f>
        <v>100</v>
      </c>
      <c r="AO33" s="4">
        <f>VLOOKUP($AM$1,DATA!$B$24:$C$45,2,0)</f>
        <v>0.05</v>
      </c>
      <c r="AP33" s="4">
        <f t="shared" si="6"/>
        <v>0.05</v>
      </c>
      <c r="AQ33" s="69">
        <f t="shared" si="7"/>
        <v>1</v>
      </c>
      <c r="AR33" s="5">
        <v>45838</v>
      </c>
      <c r="AS33" s="95">
        <v>45840</v>
      </c>
      <c r="AT33" s="226" t="s">
        <v>185</v>
      </c>
      <c r="AU33" s="227">
        <f>VLOOKUP(AT33,DATA!$B$13:$C$19,2,0)</f>
        <v>100</v>
      </c>
      <c r="AV33" s="4">
        <f>VLOOKUP($AT$1,DATA!$B$24:$C$45,2,0)</f>
        <v>0.01</v>
      </c>
      <c r="AW33" s="4">
        <f t="shared" si="8"/>
        <v>0.01</v>
      </c>
      <c r="AX33" s="69">
        <f t="shared" si="9"/>
        <v>0.2</v>
      </c>
      <c r="AY33" s="5">
        <v>45905</v>
      </c>
      <c r="AZ33" s="95">
        <v>45945</v>
      </c>
      <c r="BA33" s="226" t="s">
        <v>185</v>
      </c>
      <c r="BB33" s="227">
        <f>VLOOKUP(BA33,DATA!$B$13:$C$19,2,0)</f>
        <v>100</v>
      </c>
      <c r="BC33" s="4">
        <f>VLOOKUP($BA$1,DATA!$B$24:$C$45,2,0)</f>
        <v>0.01</v>
      </c>
      <c r="BD33" s="4">
        <f t="shared" si="10"/>
        <v>0.01</v>
      </c>
      <c r="BE33" s="79">
        <f t="shared" si="11"/>
        <v>0.2</v>
      </c>
      <c r="BF33" s="226" t="s">
        <v>185</v>
      </c>
      <c r="BG33" s="227">
        <f>VLOOKUP(BF33,DATA!$B$13:$C$19,2,0)</f>
        <v>100</v>
      </c>
      <c r="BH33" s="4">
        <f>VLOOKUP($BF$1,DATA!$B$24:$C$45,2,0)</f>
        <v>0.08</v>
      </c>
      <c r="BI33" s="4">
        <f t="shared" si="12"/>
        <v>0.08</v>
      </c>
      <c r="BJ33" s="79">
        <f t="shared" si="13"/>
        <v>1.6</v>
      </c>
      <c r="BK33" s="226" t="s">
        <v>185</v>
      </c>
      <c r="BL33" s="227">
        <f>VLOOKUP(BK33,DATA!$B$13:$C$19,2,0)</f>
        <v>100</v>
      </c>
      <c r="BM33" s="4">
        <f>VLOOKUP($BK$1,DATA!$B$24:$C$45,2,0)</f>
        <v>0.18</v>
      </c>
      <c r="BN33" s="4">
        <f t="shared" si="14"/>
        <v>0.18</v>
      </c>
      <c r="BO33" s="79">
        <f t="shared" si="15"/>
        <v>3.5999999999999996</v>
      </c>
      <c r="BP33" s="226" t="s">
        <v>185</v>
      </c>
      <c r="BQ33" s="227">
        <f>VLOOKUP(BP33,DATA!$B$13:$C$19,2,0)</f>
        <v>100</v>
      </c>
      <c r="BR33" s="4">
        <f>VLOOKUP($BP$1,DATA!$B$24:$C$45,2,0)</f>
        <v>0.28000000000000003</v>
      </c>
      <c r="BS33" s="4">
        <f t="shared" si="16"/>
        <v>0.28000000000000003</v>
      </c>
      <c r="BT33" s="79">
        <f t="shared" si="17"/>
        <v>5.6000000000000005</v>
      </c>
      <c r="BU33" s="226" t="s">
        <v>185</v>
      </c>
      <c r="BV33" s="227">
        <f>VLOOKUP(BU33,DATA!$B$13:$C$19,2,0)</f>
        <v>100</v>
      </c>
      <c r="BW33" s="4">
        <f>VLOOKUP($BU$1,DATA!$B$24:$C$45,2,0)</f>
        <v>0.15</v>
      </c>
      <c r="BX33" s="4">
        <f t="shared" si="18"/>
        <v>0.15</v>
      </c>
      <c r="BY33" s="79">
        <f t="shared" si="19"/>
        <v>3</v>
      </c>
      <c r="BZ33" s="226" t="s">
        <v>185</v>
      </c>
      <c r="CA33" s="227">
        <f>VLOOKUP(BZ33,DATA!$B$13:$C$19,2,0)</f>
        <v>100</v>
      </c>
      <c r="CB33" s="4">
        <f>VLOOKUP($BZ$1,DATA!$B$24:$C$45,2,0)</f>
        <v>0.16</v>
      </c>
      <c r="CC33" s="4">
        <f t="shared" si="20"/>
        <v>0.16</v>
      </c>
      <c r="CD33" s="79">
        <f t="shared" si="21"/>
        <v>3.2</v>
      </c>
      <c r="CE33" s="226" t="s">
        <v>185</v>
      </c>
      <c r="CF33" s="227">
        <f>VLOOKUP(CE33,DATA!$B$13:$C$19,2,0)</f>
        <v>100</v>
      </c>
      <c r="CG33" s="4">
        <f>VLOOKUP($CE$1,DATA!$B$24:$C$45,2,0)</f>
        <v>0.13</v>
      </c>
      <c r="CH33" s="4">
        <f t="shared" si="22"/>
        <v>0.13</v>
      </c>
      <c r="CI33" s="79">
        <f t="shared" si="23"/>
        <v>2.6</v>
      </c>
      <c r="CJ33" s="226" t="s">
        <v>185</v>
      </c>
      <c r="CK33" s="227">
        <f>VLOOKUP(CJ33,DATA!$B$13:$C$19,2,0)</f>
        <v>100</v>
      </c>
      <c r="CL33" s="4">
        <f>VLOOKUP($CJ$1,DATA!$B$24:$C$45,2,0)</f>
        <v>0.01</v>
      </c>
      <c r="CM33" s="4">
        <f t="shared" si="24"/>
        <v>0.01</v>
      </c>
      <c r="CN33" s="79">
        <f t="shared" si="25"/>
        <v>0.2</v>
      </c>
      <c r="CO33" s="83">
        <f t="shared" si="26"/>
        <v>1</v>
      </c>
      <c r="CP33" s="4">
        <f>VLOOKUP($CO$1,DATA!$B$24:$C$45,2,0)</f>
        <v>0.54</v>
      </c>
      <c r="CQ33" s="81">
        <f t="shared" si="27"/>
        <v>0.54</v>
      </c>
      <c r="CR33" s="80">
        <f t="shared" si="28"/>
        <v>10.8</v>
      </c>
      <c r="CS33" s="129">
        <f t="shared" si="29"/>
        <v>10.8</v>
      </c>
      <c r="CT33" s="242">
        <f t="shared" si="30"/>
        <v>0</v>
      </c>
      <c r="CU33" s="226" t="s">
        <v>185</v>
      </c>
      <c r="CV33" s="227">
        <f>VLOOKUP(CU33,DATA!$B$13:$C$19,2,0)</f>
        <v>100</v>
      </c>
      <c r="CW33" s="4">
        <f>VLOOKUP($CU$1,DATA!$B$24:$C$45,2,0)</f>
        <v>0.02</v>
      </c>
      <c r="CX33" s="4">
        <f t="shared" si="31"/>
        <v>0.02</v>
      </c>
      <c r="CY33" s="69">
        <f t="shared" si="32"/>
        <v>0.4</v>
      </c>
      <c r="CZ33" s="87">
        <v>45916</v>
      </c>
      <c r="DA33" s="86">
        <v>45946</v>
      </c>
      <c r="DB33" s="226" t="s">
        <v>185</v>
      </c>
      <c r="DC33" s="227">
        <f>VLOOKUP(DB33,DATA!$B$13:$C$19,2,0)</f>
        <v>100</v>
      </c>
      <c r="DD33" s="4">
        <f>VLOOKUP($DB$1,DATA!$B$24:$C$45,2,0)</f>
        <v>0.01</v>
      </c>
      <c r="DE33" s="4">
        <f t="shared" si="33"/>
        <v>0.01</v>
      </c>
      <c r="DF33" s="69">
        <f t="shared" si="34"/>
        <v>0.2</v>
      </c>
      <c r="DG33" s="87">
        <v>45919</v>
      </c>
      <c r="DH33" s="86">
        <v>45952</v>
      </c>
      <c r="DI33" s="226" t="s">
        <v>185</v>
      </c>
      <c r="DJ33" s="227">
        <f>VLOOKUP(DI33,DATA!$B$13:$C$19,2,0)</f>
        <v>100</v>
      </c>
      <c r="DK33" s="4">
        <f>VLOOKUP($DI$1,DATA!$B$24:$C$45,2,0)</f>
        <v>0.03</v>
      </c>
      <c r="DL33" s="4">
        <f t="shared" si="35"/>
        <v>0.03</v>
      </c>
      <c r="DM33" s="79">
        <f t="shared" si="36"/>
        <v>0.6</v>
      </c>
      <c r="DN33" s="226" t="s">
        <v>185</v>
      </c>
      <c r="DO33" s="227">
        <f>VLOOKUP(DN33,DATA!$B$13:$C$19,2,0)</f>
        <v>100</v>
      </c>
      <c r="DP33" s="4">
        <f>VLOOKUP($DN$1,DATA!$B$24:$C$45,2,0)</f>
        <v>7.0000000000000007E-2</v>
      </c>
      <c r="DQ33" s="4">
        <f t="shared" si="37"/>
        <v>7.0000000000000007E-2</v>
      </c>
      <c r="DR33" s="69">
        <f t="shared" si="38"/>
        <v>1.4000000000000001</v>
      </c>
      <c r="DS33" s="87">
        <v>45919</v>
      </c>
      <c r="DT33" s="86">
        <v>45939</v>
      </c>
      <c r="DU33" s="226" t="s">
        <v>185</v>
      </c>
      <c r="DV33" s="227">
        <f>VLOOKUP(DU33,DATA!$B$13:$C$19,2,0)</f>
        <v>100</v>
      </c>
      <c r="DW33" s="4">
        <f>VLOOKUP($DU$1,DATA!$B$24:$C$45,2,0)</f>
        <v>0.04</v>
      </c>
      <c r="DX33" s="4">
        <f t="shared" si="39"/>
        <v>0.04</v>
      </c>
      <c r="DY33" s="69">
        <f t="shared" si="40"/>
        <v>0.8</v>
      </c>
      <c r="DZ33" s="87">
        <v>45923</v>
      </c>
      <c r="EA33" s="86">
        <v>45953</v>
      </c>
      <c r="EB33" s="226" t="s">
        <v>220</v>
      </c>
      <c r="EC33" s="227">
        <f>VLOOKUP(EB33,DATA!$B$13:$C$19,2,0)</f>
        <v>50</v>
      </c>
      <c r="ED33" s="4">
        <f>VLOOKUP($EB$1,DATA!$B$24:$C$45,2,0)</f>
        <v>0.05</v>
      </c>
      <c r="EE33" s="4">
        <f t="shared" si="41"/>
        <v>2.5000000000000001E-2</v>
      </c>
      <c r="EF33" s="69">
        <f t="shared" si="42"/>
        <v>1</v>
      </c>
      <c r="EG33" s="87"/>
      <c r="EH33" s="86"/>
      <c r="EI33" s="226" t="s">
        <v>185</v>
      </c>
      <c r="EJ33" s="227">
        <f>VLOOKUP(EI33,DATA!$B$13:$C$19,2,0)</f>
        <v>100</v>
      </c>
      <c r="EK33" s="4">
        <f>VLOOKUP($EI$1,DATA!$B$24:$C$45,2,0)</f>
        <v>0.1</v>
      </c>
      <c r="EL33" s="4">
        <f t="shared" si="43"/>
        <v>0.1</v>
      </c>
      <c r="EM33" s="69">
        <f t="shared" si="44"/>
        <v>2</v>
      </c>
      <c r="EN33" s="87"/>
      <c r="EO33" s="86">
        <v>45986</v>
      </c>
      <c r="EP33" s="226" t="s">
        <v>193</v>
      </c>
      <c r="EQ33" s="227">
        <f>VLOOKUP(EP33,DATA!$B$13:$C$19,2,0)</f>
        <v>0</v>
      </c>
      <c r="ER33" s="4">
        <f>VLOOKUP($EP$1,DATA!$B$24:$C$45,2,0)</f>
        <v>0.03</v>
      </c>
      <c r="ES33" s="4">
        <f t="shared" si="45"/>
        <v>0</v>
      </c>
      <c r="ET33" s="79">
        <f t="shared" si="46"/>
        <v>0.6</v>
      </c>
      <c r="EU33" s="244">
        <f t="shared" si="47"/>
        <v>1.6</v>
      </c>
      <c r="EV33" s="85" t="s">
        <v>187</v>
      </c>
      <c r="EW33" s="134" t="s">
        <v>197</v>
      </c>
      <c r="EX33" s="6"/>
    </row>
    <row r="34" spans="1:154" x14ac:dyDescent="0.3">
      <c r="A34" s="3" t="s">
        <v>180</v>
      </c>
      <c r="B34" s="3" t="s">
        <v>181</v>
      </c>
      <c r="C34" s="3" t="s">
        <v>251</v>
      </c>
      <c r="D34" s="85" t="s">
        <v>271</v>
      </c>
      <c r="E34" s="85" t="s">
        <v>253</v>
      </c>
      <c r="F34" s="3">
        <v>3328</v>
      </c>
      <c r="G34" s="3" t="s">
        <v>272</v>
      </c>
      <c r="H34" s="3">
        <v>20</v>
      </c>
      <c r="I34" s="3"/>
      <c r="J34" s="229">
        <f>BaseDeDatos[[#This Row],[Budget CS]]+BaseDeDatos[[#This Row],[Change Orders Budget]]</f>
        <v>20</v>
      </c>
      <c r="K34" s="92">
        <f>IFERROR(VLOOKUP(G34, DATA!H:I, 2, FALSE), 0)+BaseDeDatos[[#This Row],[Labor Spend on Design errors]]+BaseDeDatos[[#This Row],[Labor
Spent Customer changes]]</f>
        <v>11</v>
      </c>
      <c r="L34" s="92"/>
      <c r="M34" s="92"/>
      <c r="N34" s="232">
        <f t="shared" ref="N34:N65" si="48">AK34+AP34+AW34+CQ34+CX34+DE34+DL34+DQ34+DX34+EE34+EL34+ES34</f>
        <v>0.94500000000000006</v>
      </c>
      <c r="O34" s="238">
        <f t="shared" ref="O34:O65" si="49">J34*S34</f>
        <v>11</v>
      </c>
      <c r="P34" s="39">
        <v>26.73</v>
      </c>
      <c r="Q34" s="89">
        <f>BaseDeDatos[[#This Row],[Budget]]*BaseDeDatos[[#This Row],[Labor Rate from CS]]</f>
        <v>534.6</v>
      </c>
      <c r="R34" s="89">
        <f>BaseDeDatos[[#This Row],[Labor
Spent]]*BaseDeDatos[[#This Row],[Labor Rate from CS]]</f>
        <v>294.03000000000003</v>
      </c>
      <c r="S34" s="93">
        <f t="shared" ref="S34:S65" si="50">K34/J34</f>
        <v>0.55000000000000004</v>
      </c>
      <c r="T34" s="98">
        <v>46000</v>
      </c>
      <c r="U34" s="98">
        <v>10493.57</v>
      </c>
      <c r="V34" s="98">
        <v>8236.48</v>
      </c>
      <c r="W34" s="98">
        <v>5290</v>
      </c>
      <c r="X34" s="98">
        <v>5290</v>
      </c>
      <c r="Y34" s="98"/>
      <c r="Z34" s="98"/>
      <c r="AA34" s="98">
        <v>36105.949999999997</v>
      </c>
      <c r="AB34" s="89">
        <f t="shared" ref="AB34:AB65" si="51">AA34-X34-Q34</f>
        <v>30281.35</v>
      </c>
      <c r="AC34" s="120">
        <f>SUM(AB34,X34,R34,BaseDeDatos[[#This Row],[Additionals cost]])</f>
        <v>44101.86</v>
      </c>
      <c r="AD34" s="117">
        <v>0.21510000000000001</v>
      </c>
      <c r="AE34" s="117">
        <v>0.23499999999999999</v>
      </c>
      <c r="AF34" s="240">
        <f t="shared" ref="AF34:AF65" si="52">(T34-SUM(X34,AB34,R34))/T34</f>
        <v>0.22031782608695658</v>
      </c>
      <c r="AG34" s="226">
        <v>45824</v>
      </c>
      <c r="AH34" s="226" t="s">
        <v>185</v>
      </c>
      <c r="AI34" s="227">
        <f>VLOOKUP(AH34,DATA!$B$13:$C$19,2,0)</f>
        <v>100</v>
      </c>
      <c r="AJ34" s="4">
        <f>VLOOKUP($AH$1,DATA!$B$24:$C$45,2,0)</f>
        <v>0.05</v>
      </c>
      <c r="AK34" s="69">
        <f>BaseDeDatos[[#This Row],[Read info
Status]]*(AJ34)/100</f>
        <v>0.05</v>
      </c>
      <c r="AL34" s="79">
        <f t="shared" ref="AL34:AL65" si="53">AJ34*$J34</f>
        <v>1</v>
      </c>
      <c r="AM34" s="226" t="s">
        <v>185</v>
      </c>
      <c r="AN34" s="227">
        <f>VLOOKUP(AM34,DATA!$B$13:$C$19,2,0)</f>
        <v>100</v>
      </c>
      <c r="AO34" s="4">
        <f>VLOOKUP($AM$1,DATA!$B$24:$C$45,2,0)</f>
        <v>0.05</v>
      </c>
      <c r="AP34" s="4">
        <f t="shared" ref="AP34:AP65" si="54">AN34*AO34/100</f>
        <v>0.05</v>
      </c>
      <c r="AQ34" s="69">
        <f t="shared" ref="AQ34:AQ65" si="55">AO34*$J34</f>
        <v>1</v>
      </c>
      <c r="AR34" s="5">
        <v>45838</v>
      </c>
      <c r="AS34" s="95">
        <v>45840</v>
      </c>
      <c r="AT34" s="226" t="s">
        <v>185</v>
      </c>
      <c r="AU34" s="227">
        <f>VLOOKUP(AT34,DATA!$B$13:$C$19,2,0)</f>
        <v>100</v>
      </c>
      <c r="AV34" s="4">
        <f>VLOOKUP($AT$1,DATA!$B$24:$C$45,2,0)</f>
        <v>0.01</v>
      </c>
      <c r="AW34" s="4">
        <f t="shared" ref="AW34:AW65" si="56">AU34*AV34/100</f>
        <v>0.01</v>
      </c>
      <c r="AX34" s="69">
        <f t="shared" ref="AX34:AX65" si="57">AV34*$J34</f>
        <v>0.2</v>
      </c>
      <c r="AY34" s="5">
        <v>45905</v>
      </c>
      <c r="AZ34" s="95">
        <v>45945</v>
      </c>
      <c r="BA34" s="226" t="s">
        <v>185</v>
      </c>
      <c r="BB34" s="227">
        <f>VLOOKUP(BA34,DATA!$B$13:$C$19,2,0)</f>
        <v>100</v>
      </c>
      <c r="BC34" s="4">
        <f>VLOOKUP($BA$1,DATA!$B$24:$C$45,2,0)</f>
        <v>0.01</v>
      </c>
      <c r="BD34" s="4">
        <f t="shared" ref="BD34:BD65" si="58">BB34*BC34/100</f>
        <v>0.01</v>
      </c>
      <c r="BE34" s="79">
        <f t="shared" ref="BE34:BE65" si="59">BC34*$J34</f>
        <v>0.2</v>
      </c>
      <c r="BF34" s="226" t="s">
        <v>185</v>
      </c>
      <c r="BG34" s="227">
        <f>VLOOKUP(BF34,DATA!$B$13:$C$19,2,0)</f>
        <v>100</v>
      </c>
      <c r="BH34" s="4">
        <f>VLOOKUP($BF$1,DATA!$B$24:$C$45,2,0)</f>
        <v>0.08</v>
      </c>
      <c r="BI34" s="4">
        <f t="shared" ref="BI34:BI65" si="60">BG34*BH34/100</f>
        <v>0.08</v>
      </c>
      <c r="BJ34" s="79">
        <f t="shared" ref="BJ34:BJ65" si="61">BH34*$J34</f>
        <v>1.6</v>
      </c>
      <c r="BK34" s="226" t="s">
        <v>185</v>
      </c>
      <c r="BL34" s="227">
        <f>VLOOKUP(BK34,DATA!$B$13:$C$19,2,0)</f>
        <v>100</v>
      </c>
      <c r="BM34" s="4">
        <f>VLOOKUP($BK$1,DATA!$B$24:$C$45,2,0)</f>
        <v>0.18</v>
      </c>
      <c r="BN34" s="4">
        <f t="shared" ref="BN34:BN65" si="62">BL34*BM34/100</f>
        <v>0.18</v>
      </c>
      <c r="BO34" s="79">
        <f t="shared" ref="BO34:BO65" si="63">BM34*$J34</f>
        <v>3.5999999999999996</v>
      </c>
      <c r="BP34" s="226" t="s">
        <v>185</v>
      </c>
      <c r="BQ34" s="227">
        <f>VLOOKUP(BP34,DATA!$B$13:$C$19,2,0)</f>
        <v>100</v>
      </c>
      <c r="BR34" s="4">
        <f>VLOOKUP($BP$1,DATA!$B$24:$C$45,2,0)</f>
        <v>0.28000000000000003</v>
      </c>
      <c r="BS34" s="4">
        <f t="shared" ref="BS34:BS65" si="64">BQ34*BR34/100</f>
        <v>0.28000000000000003</v>
      </c>
      <c r="BT34" s="79">
        <f t="shared" ref="BT34:BT65" si="65">BR34*$J34</f>
        <v>5.6000000000000005</v>
      </c>
      <c r="BU34" s="226" t="s">
        <v>185</v>
      </c>
      <c r="BV34" s="227">
        <f>VLOOKUP(BU34,DATA!$B$13:$C$19,2,0)</f>
        <v>100</v>
      </c>
      <c r="BW34" s="4">
        <f>VLOOKUP($BU$1,DATA!$B$24:$C$45,2,0)</f>
        <v>0.15</v>
      </c>
      <c r="BX34" s="4">
        <f t="shared" ref="BX34:BX65" si="66">BV34*BW34/100</f>
        <v>0.15</v>
      </c>
      <c r="BY34" s="79">
        <f t="shared" ref="BY34:BY65" si="67">BW34*$J34</f>
        <v>3</v>
      </c>
      <c r="BZ34" s="226" t="s">
        <v>185</v>
      </c>
      <c r="CA34" s="227">
        <f>VLOOKUP(BZ34,DATA!$B$13:$C$19,2,0)</f>
        <v>100</v>
      </c>
      <c r="CB34" s="4">
        <f>VLOOKUP($BZ$1,DATA!$B$24:$C$45,2,0)</f>
        <v>0.16</v>
      </c>
      <c r="CC34" s="4">
        <f t="shared" ref="CC34:CC65" si="68">CA34*CB34/100</f>
        <v>0.16</v>
      </c>
      <c r="CD34" s="79">
        <f t="shared" ref="CD34:CD65" si="69">CB34*$J34</f>
        <v>3.2</v>
      </c>
      <c r="CE34" s="226" t="s">
        <v>185</v>
      </c>
      <c r="CF34" s="227">
        <f>VLOOKUP(CE34,DATA!$B$13:$C$19,2,0)</f>
        <v>100</v>
      </c>
      <c r="CG34" s="4">
        <f>VLOOKUP($CE$1,DATA!$B$24:$C$45,2,0)</f>
        <v>0.13</v>
      </c>
      <c r="CH34" s="4">
        <f t="shared" ref="CH34:CH65" si="70">CF34*CG34/100</f>
        <v>0.13</v>
      </c>
      <c r="CI34" s="79">
        <f t="shared" ref="CI34:CI65" si="71">CG34*$J34</f>
        <v>2.6</v>
      </c>
      <c r="CJ34" s="226" t="s">
        <v>185</v>
      </c>
      <c r="CK34" s="227">
        <f>VLOOKUP(CJ34,DATA!$B$13:$C$19,2,0)</f>
        <v>100</v>
      </c>
      <c r="CL34" s="4">
        <f>VLOOKUP($CJ$1,DATA!$B$24:$C$45,2,0)</f>
        <v>0.01</v>
      </c>
      <c r="CM34" s="4">
        <f t="shared" ref="CM34:CM65" si="72">CK34*CL34/100</f>
        <v>0.01</v>
      </c>
      <c r="CN34" s="79">
        <f t="shared" ref="CN34:CN65" si="73">CL34*$J34</f>
        <v>0.2</v>
      </c>
      <c r="CO34" s="83">
        <f t="shared" ref="CO34:CO65" si="74">CM34+CH34+CC34+BX34+BS34+BN34+BI34+BD34</f>
        <v>1</v>
      </c>
      <c r="CP34" s="4">
        <f>VLOOKUP($CO$1,DATA!$B$24:$C$45,2,0)</f>
        <v>0.54</v>
      </c>
      <c r="CQ34" s="81">
        <f t="shared" ref="CQ34:CQ65" si="75">CP34*CO34</f>
        <v>0.54</v>
      </c>
      <c r="CR34" s="80">
        <f t="shared" ref="CR34:CR65" si="76">CP34*$J34</f>
        <v>10.8</v>
      </c>
      <c r="CS34" s="129">
        <f t="shared" ref="CS34:CS65" si="77">CQ34*$J34</f>
        <v>10.8</v>
      </c>
      <c r="CT34" s="242">
        <f t="shared" ref="CT34:CT65" si="78">CR34-CS34</f>
        <v>0</v>
      </c>
      <c r="CU34" s="226" t="s">
        <v>185</v>
      </c>
      <c r="CV34" s="227">
        <f>VLOOKUP(CU34,DATA!$B$13:$C$19,2,0)</f>
        <v>100</v>
      </c>
      <c r="CW34" s="4">
        <f>VLOOKUP($CU$1,DATA!$B$24:$C$45,2,0)</f>
        <v>0.02</v>
      </c>
      <c r="CX34" s="4">
        <f t="shared" ref="CX34:CX65" si="79">CV34*CW34/100</f>
        <v>0.02</v>
      </c>
      <c r="CY34" s="69">
        <f t="shared" ref="CY34:CY65" si="80">CW34*$J34</f>
        <v>0.4</v>
      </c>
      <c r="CZ34" s="87">
        <v>45916</v>
      </c>
      <c r="DA34" s="86">
        <v>45946</v>
      </c>
      <c r="DB34" s="226" t="s">
        <v>185</v>
      </c>
      <c r="DC34" s="227">
        <f>VLOOKUP(DB34,DATA!$B$13:$C$19,2,0)</f>
        <v>100</v>
      </c>
      <c r="DD34" s="4">
        <f>VLOOKUP($DB$1,DATA!$B$24:$C$45,2,0)</f>
        <v>0.01</v>
      </c>
      <c r="DE34" s="4">
        <f t="shared" ref="DE34:DE65" si="81">DC34*DD34/100</f>
        <v>0.01</v>
      </c>
      <c r="DF34" s="69">
        <f t="shared" ref="DF34:DF65" si="82">DD34*$J34</f>
        <v>0.2</v>
      </c>
      <c r="DG34" s="87">
        <v>45919</v>
      </c>
      <c r="DH34" s="86">
        <v>45952</v>
      </c>
      <c r="DI34" s="226" t="s">
        <v>185</v>
      </c>
      <c r="DJ34" s="227">
        <f>VLOOKUP(DI34,DATA!$B$13:$C$19,2,0)</f>
        <v>100</v>
      </c>
      <c r="DK34" s="4">
        <f>VLOOKUP($DI$1,DATA!$B$24:$C$45,2,0)</f>
        <v>0.03</v>
      </c>
      <c r="DL34" s="4">
        <f t="shared" ref="DL34:DL65" si="83">DJ34*DK34/100</f>
        <v>0.03</v>
      </c>
      <c r="DM34" s="79">
        <f t="shared" ref="DM34:DM65" si="84">DK34*$J34</f>
        <v>0.6</v>
      </c>
      <c r="DN34" s="226" t="s">
        <v>185</v>
      </c>
      <c r="DO34" s="227">
        <f>VLOOKUP(DN34,DATA!$B$13:$C$19,2,0)</f>
        <v>100</v>
      </c>
      <c r="DP34" s="4">
        <f>VLOOKUP($DN$1,DATA!$B$24:$C$45,2,0)</f>
        <v>7.0000000000000007E-2</v>
      </c>
      <c r="DQ34" s="4">
        <f t="shared" ref="DQ34:DQ65" si="85">DO34*DP34/100</f>
        <v>7.0000000000000007E-2</v>
      </c>
      <c r="DR34" s="69">
        <f t="shared" ref="DR34:DR65" si="86">DP34*$J34</f>
        <v>1.4000000000000001</v>
      </c>
      <c r="DS34" s="87">
        <v>45919</v>
      </c>
      <c r="DT34" s="86">
        <v>45939</v>
      </c>
      <c r="DU34" s="226" t="s">
        <v>185</v>
      </c>
      <c r="DV34" s="227">
        <f>VLOOKUP(DU34,DATA!$B$13:$C$19,2,0)</f>
        <v>100</v>
      </c>
      <c r="DW34" s="4">
        <f>VLOOKUP($DU$1,DATA!$B$24:$C$45,2,0)</f>
        <v>0.04</v>
      </c>
      <c r="DX34" s="4">
        <f t="shared" ref="DX34:DX65" si="87">DV34*DW34/100</f>
        <v>0.04</v>
      </c>
      <c r="DY34" s="69">
        <f t="shared" ref="DY34:DY65" si="88">DW34*$J34</f>
        <v>0.8</v>
      </c>
      <c r="DZ34" s="87">
        <v>45923</v>
      </c>
      <c r="EA34" s="86">
        <v>45953</v>
      </c>
      <c r="EB34" s="226" t="s">
        <v>220</v>
      </c>
      <c r="EC34" s="227">
        <f>VLOOKUP(EB34,DATA!$B$13:$C$19,2,0)</f>
        <v>50</v>
      </c>
      <c r="ED34" s="4">
        <f>VLOOKUP($EB$1,DATA!$B$24:$C$45,2,0)</f>
        <v>0.05</v>
      </c>
      <c r="EE34" s="4">
        <f t="shared" ref="EE34:EE65" si="89">EC34*ED34/100</f>
        <v>2.5000000000000001E-2</v>
      </c>
      <c r="EF34" s="69">
        <f t="shared" ref="EF34:EF65" si="90">ED34*$J34</f>
        <v>1</v>
      </c>
      <c r="EG34" s="87"/>
      <c r="EH34" s="86"/>
      <c r="EI34" s="226" t="s">
        <v>185</v>
      </c>
      <c r="EJ34" s="227">
        <f>VLOOKUP(EI34,DATA!$B$13:$C$19,2,0)</f>
        <v>100</v>
      </c>
      <c r="EK34" s="4">
        <f>VLOOKUP($EI$1,DATA!$B$24:$C$45,2,0)</f>
        <v>0.1</v>
      </c>
      <c r="EL34" s="4">
        <f t="shared" ref="EL34:EL65" si="91">EJ34*EK34/100</f>
        <v>0.1</v>
      </c>
      <c r="EM34" s="69">
        <f t="shared" ref="EM34:EM65" si="92">EK34*$J34</f>
        <v>2</v>
      </c>
      <c r="EN34" s="87"/>
      <c r="EO34" s="86">
        <v>45986</v>
      </c>
      <c r="EP34" s="226" t="s">
        <v>193</v>
      </c>
      <c r="EQ34" s="227">
        <f>VLOOKUP(EP34,DATA!$B$13:$C$19,2,0)</f>
        <v>0</v>
      </c>
      <c r="ER34" s="4">
        <f>VLOOKUP($EP$1,DATA!$B$24:$C$45,2,0)</f>
        <v>0.03</v>
      </c>
      <c r="ES34" s="4">
        <f t="shared" ref="ES34:ES65" si="93">EQ34*ER34/100</f>
        <v>0</v>
      </c>
      <c r="ET34" s="79">
        <f t="shared" ref="ET34:ET65" si="94">ER34*$J34</f>
        <v>0.6</v>
      </c>
      <c r="EU34" s="244">
        <f t="shared" ref="EU34:EU65" si="95">SUM(
    IF(AH34&lt;&gt;"Finished",AL34,0) + N("READ INFO"),
    IF(AM34&lt;&gt;"Finished",AQ34,0) + N("LONG LEAD"),
    IF(AT34&lt;&gt;"Finished",AX34,0) + N("SWITCH LAYOUT"),
    IF(CJ34&lt;&gt;"Finished",CT34,0) + N("DESIGN"),
    IF(CU34&lt;&gt;"Finished",CY34,0) + N("REVISION"),
    IF(DB34&lt;&gt;"Finished",DF34,0) + N("CUST APRVL"),
    IF(DI34&lt;&gt;"Finished",DM34,0) + N("MEETINGS"),
    IF(DN34&lt;&gt;"Finished",DR34,0) + N("PURCHASING"),
    IF(DU34&lt;&gt;"Finished",DY34,0) + N("HANDOFF"),
    IF(EB34&lt;&gt;"Finished",EF34,0) + N("SUPPORT"),
    IF(EI34&lt;&gt;"Finished",EM34,0) + N("DOCUMENTATTION"),
    IF(EP34&lt;&gt;"Finished",ET34,0) + N("REDLINES"),
)</f>
        <v>1.6</v>
      </c>
      <c r="EV34" s="85" t="s">
        <v>187</v>
      </c>
      <c r="EW34" s="134" t="s">
        <v>197</v>
      </c>
      <c r="EX34" s="6"/>
    </row>
    <row r="35" spans="1:154" x14ac:dyDescent="0.3">
      <c r="A35" s="3" t="s">
        <v>180</v>
      </c>
      <c r="B35" s="3" t="s">
        <v>181</v>
      </c>
      <c r="C35" s="3" t="s">
        <v>251</v>
      </c>
      <c r="D35" s="85" t="s">
        <v>273</v>
      </c>
      <c r="E35" s="85" t="s">
        <v>253</v>
      </c>
      <c r="F35" s="3">
        <v>3328</v>
      </c>
      <c r="G35" s="3" t="s">
        <v>274</v>
      </c>
      <c r="H35" s="3">
        <v>20</v>
      </c>
      <c r="I35" s="3"/>
      <c r="J35" s="229">
        <f>BaseDeDatos[[#This Row],[Budget CS]]+BaseDeDatos[[#This Row],[Change Orders Budget]]</f>
        <v>20</v>
      </c>
      <c r="K35" s="92">
        <f>IFERROR(VLOOKUP(G35, DATA!H:I, 2, FALSE), 0)+BaseDeDatos[[#This Row],[Labor Spend on Design errors]]+BaseDeDatos[[#This Row],[Labor
Spent Customer changes]]</f>
        <v>10.5</v>
      </c>
      <c r="L35" s="92"/>
      <c r="M35" s="92"/>
      <c r="N35" s="232">
        <f t="shared" si="48"/>
        <v>0.94500000000000006</v>
      </c>
      <c r="O35" s="238">
        <f t="shared" si="49"/>
        <v>10.5</v>
      </c>
      <c r="P35" s="39">
        <v>26.73</v>
      </c>
      <c r="Q35" s="89">
        <f>BaseDeDatos[[#This Row],[Budget]]*BaseDeDatos[[#This Row],[Labor Rate from CS]]</f>
        <v>534.6</v>
      </c>
      <c r="R35" s="89">
        <f>BaseDeDatos[[#This Row],[Labor
Spent]]*BaseDeDatos[[#This Row],[Labor Rate from CS]]</f>
        <v>280.66500000000002</v>
      </c>
      <c r="S35" s="93">
        <f t="shared" si="50"/>
        <v>0.52500000000000002</v>
      </c>
      <c r="T35" s="98">
        <v>29820</v>
      </c>
      <c r="U35" s="98">
        <v>10493.57</v>
      </c>
      <c r="V35" s="98">
        <v>8236.48</v>
      </c>
      <c r="W35" s="98">
        <v>2230</v>
      </c>
      <c r="X35" s="98">
        <v>2230</v>
      </c>
      <c r="Y35" s="98"/>
      <c r="Z35" s="98"/>
      <c r="AA35" s="98">
        <v>23405.98</v>
      </c>
      <c r="AB35" s="89">
        <f t="shared" si="51"/>
        <v>20641.38</v>
      </c>
      <c r="AC35" s="120">
        <f>SUM(AB35,X35,R35,BaseDeDatos[[#This Row],[Additionals cost]])</f>
        <v>31388.525000000001</v>
      </c>
      <c r="AD35" s="117">
        <v>0.21510000000000001</v>
      </c>
      <c r="AE35" s="117">
        <v>0.23499999999999999</v>
      </c>
      <c r="AF35" s="240">
        <f t="shared" si="52"/>
        <v>0.22360680751173703</v>
      </c>
      <c r="AG35" s="226">
        <v>45824</v>
      </c>
      <c r="AH35" s="226" t="s">
        <v>185</v>
      </c>
      <c r="AI35" s="227">
        <f>VLOOKUP(AH35,DATA!$B$13:$C$19,2,0)</f>
        <v>100</v>
      </c>
      <c r="AJ35" s="4">
        <f>VLOOKUP($AH$1,DATA!$B$24:$C$45,2,0)</f>
        <v>0.05</v>
      </c>
      <c r="AK35" s="69">
        <f>BaseDeDatos[[#This Row],[Read info
Status]]*(AJ35)/100</f>
        <v>0.05</v>
      </c>
      <c r="AL35" s="79">
        <f t="shared" si="53"/>
        <v>1</v>
      </c>
      <c r="AM35" s="226" t="s">
        <v>185</v>
      </c>
      <c r="AN35" s="227">
        <f>VLOOKUP(AM35,DATA!$B$13:$C$19,2,0)</f>
        <v>100</v>
      </c>
      <c r="AO35" s="4">
        <f>VLOOKUP($AM$1,DATA!$B$24:$C$45,2,0)</f>
        <v>0.05</v>
      </c>
      <c r="AP35" s="4">
        <f t="shared" si="54"/>
        <v>0.05</v>
      </c>
      <c r="AQ35" s="69">
        <f t="shared" si="55"/>
        <v>1</v>
      </c>
      <c r="AR35" s="5">
        <v>45838</v>
      </c>
      <c r="AS35" s="95">
        <v>45840</v>
      </c>
      <c r="AT35" s="226" t="s">
        <v>185</v>
      </c>
      <c r="AU35" s="227">
        <f>VLOOKUP(AT35,DATA!$B$13:$C$19,2,0)</f>
        <v>100</v>
      </c>
      <c r="AV35" s="4">
        <f>VLOOKUP($AT$1,DATA!$B$24:$C$45,2,0)</f>
        <v>0.01</v>
      </c>
      <c r="AW35" s="4">
        <f t="shared" si="56"/>
        <v>0.01</v>
      </c>
      <c r="AX35" s="69">
        <f t="shared" si="57"/>
        <v>0.2</v>
      </c>
      <c r="AY35" s="5">
        <v>45905</v>
      </c>
      <c r="AZ35" s="86">
        <v>45905</v>
      </c>
      <c r="BA35" s="226" t="s">
        <v>185</v>
      </c>
      <c r="BB35" s="227">
        <f>VLOOKUP(BA35,DATA!$B$13:$C$19,2,0)</f>
        <v>100</v>
      </c>
      <c r="BC35" s="4">
        <f>VLOOKUP($BA$1,DATA!$B$24:$C$45,2,0)</f>
        <v>0.01</v>
      </c>
      <c r="BD35" s="4">
        <f t="shared" si="58"/>
        <v>0.01</v>
      </c>
      <c r="BE35" s="79">
        <f t="shared" si="59"/>
        <v>0.2</v>
      </c>
      <c r="BF35" s="226" t="s">
        <v>185</v>
      </c>
      <c r="BG35" s="227">
        <f>VLOOKUP(BF35,DATA!$B$13:$C$19,2,0)</f>
        <v>100</v>
      </c>
      <c r="BH35" s="4">
        <f>VLOOKUP($BF$1,DATA!$B$24:$C$45,2,0)</f>
        <v>0.08</v>
      </c>
      <c r="BI35" s="4">
        <f t="shared" si="60"/>
        <v>0.08</v>
      </c>
      <c r="BJ35" s="79">
        <f t="shared" si="61"/>
        <v>1.6</v>
      </c>
      <c r="BK35" s="226" t="s">
        <v>185</v>
      </c>
      <c r="BL35" s="227">
        <f>VLOOKUP(BK35,DATA!$B$13:$C$19,2,0)</f>
        <v>100</v>
      </c>
      <c r="BM35" s="4">
        <f>VLOOKUP($BK$1,DATA!$B$24:$C$45,2,0)</f>
        <v>0.18</v>
      </c>
      <c r="BN35" s="4">
        <f t="shared" si="62"/>
        <v>0.18</v>
      </c>
      <c r="BO35" s="79">
        <f t="shared" si="63"/>
        <v>3.5999999999999996</v>
      </c>
      <c r="BP35" s="226" t="s">
        <v>185</v>
      </c>
      <c r="BQ35" s="227">
        <f>VLOOKUP(BP35,DATA!$B$13:$C$19,2,0)</f>
        <v>100</v>
      </c>
      <c r="BR35" s="4">
        <f>VLOOKUP($BP$1,DATA!$B$24:$C$45,2,0)</f>
        <v>0.28000000000000003</v>
      </c>
      <c r="BS35" s="4">
        <f t="shared" si="64"/>
        <v>0.28000000000000003</v>
      </c>
      <c r="BT35" s="79">
        <f t="shared" si="65"/>
        <v>5.6000000000000005</v>
      </c>
      <c r="BU35" s="226" t="s">
        <v>185</v>
      </c>
      <c r="BV35" s="227">
        <f>VLOOKUP(BU35,DATA!$B$13:$C$19,2,0)</f>
        <v>100</v>
      </c>
      <c r="BW35" s="4">
        <f>VLOOKUP($BU$1,DATA!$B$24:$C$45,2,0)</f>
        <v>0.15</v>
      </c>
      <c r="BX35" s="4">
        <f t="shared" si="66"/>
        <v>0.15</v>
      </c>
      <c r="BY35" s="79">
        <f t="shared" si="67"/>
        <v>3</v>
      </c>
      <c r="BZ35" s="226" t="s">
        <v>185</v>
      </c>
      <c r="CA35" s="227">
        <f>VLOOKUP(BZ35,DATA!$B$13:$C$19,2,0)</f>
        <v>100</v>
      </c>
      <c r="CB35" s="4">
        <f>VLOOKUP($BZ$1,DATA!$B$24:$C$45,2,0)</f>
        <v>0.16</v>
      </c>
      <c r="CC35" s="4">
        <f t="shared" si="68"/>
        <v>0.16</v>
      </c>
      <c r="CD35" s="79">
        <f t="shared" si="69"/>
        <v>3.2</v>
      </c>
      <c r="CE35" s="226" t="s">
        <v>185</v>
      </c>
      <c r="CF35" s="227">
        <f>VLOOKUP(CE35,DATA!$B$13:$C$19,2,0)</f>
        <v>100</v>
      </c>
      <c r="CG35" s="4">
        <f>VLOOKUP($CE$1,DATA!$B$24:$C$45,2,0)</f>
        <v>0.13</v>
      </c>
      <c r="CH35" s="4">
        <f t="shared" si="70"/>
        <v>0.13</v>
      </c>
      <c r="CI35" s="79">
        <f t="shared" si="71"/>
        <v>2.6</v>
      </c>
      <c r="CJ35" s="226" t="s">
        <v>185</v>
      </c>
      <c r="CK35" s="227">
        <f>VLOOKUP(CJ35,DATA!$B$13:$C$19,2,0)</f>
        <v>100</v>
      </c>
      <c r="CL35" s="4">
        <f>VLOOKUP($CJ$1,DATA!$B$24:$C$45,2,0)</f>
        <v>0.01</v>
      </c>
      <c r="CM35" s="4">
        <f t="shared" si="72"/>
        <v>0.01</v>
      </c>
      <c r="CN35" s="79">
        <f t="shared" si="73"/>
        <v>0.2</v>
      </c>
      <c r="CO35" s="83">
        <f t="shared" si="74"/>
        <v>1</v>
      </c>
      <c r="CP35" s="4">
        <f>VLOOKUP($CO$1,DATA!$B$24:$C$45,2,0)</f>
        <v>0.54</v>
      </c>
      <c r="CQ35" s="81">
        <f t="shared" si="75"/>
        <v>0.54</v>
      </c>
      <c r="CR35" s="80">
        <f t="shared" si="76"/>
        <v>10.8</v>
      </c>
      <c r="CS35" s="129">
        <f t="shared" si="77"/>
        <v>10.8</v>
      </c>
      <c r="CT35" s="242">
        <f t="shared" si="78"/>
        <v>0</v>
      </c>
      <c r="CU35" s="226" t="s">
        <v>185</v>
      </c>
      <c r="CV35" s="227">
        <f>VLOOKUP(CU35,DATA!$B$13:$C$19,2,0)</f>
        <v>100</v>
      </c>
      <c r="CW35" s="4">
        <f>VLOOKUP($CU$1,DATA!$B$24:$C$45,2,0)</f>
        <v>0.02</v>
      </c>
      <c r="CX35" s="4">
        <f t="shared" si="79"/>
        <v>0.02</v>
      </c>
      <c r="CY35" s="69">
        <f t="shared" si="80"/>
        <v>0.4</v>
      </c>
      <c r="CZ35" s="87">
        <v>45916</v>
      </c>
      <c r="DA35" s="86">
        <v>45912</v>
      </c>
      <c r="DB35" s="226" t="s">
        <v>185</v>
      </c>
      <c r="DC35" s="227">
        <f>VLOOKUP(DB35,DATA!$B$13:$C$19,2,0)</f>
        <v>100</v>
      </c>
      <c r="DD35" s="4">
        <f>VLOOKUP($DB$1,DATA!$B$24:$C$45,2,0)</f>
        <v>0.01</v>
      </c>
      <c r="DE35" s="4">
        <f t="shared" si="81"/>
        <v>0.01</v>
      </c>
      <c r="DF35" s="69">
        <f t="shared" si="82"/>
        <v>0.2</v>
      </c>
      <c r="DG35" s="87">
        <v>45919</v>
      </c>
      <c r="DH35" s="86">
        <v>45931</v>
      </c>
      <c r="DI35" s="226" t="s">
        <v>185</v>
      </c>
      <c r="DJ35" s="227">
        <f>VLOOKUP(DI35,DATA!$B$13:$C$19,2,0)</f>
        <v>100</v>
      </c>
      <c r="DK35" s="4">
        <f>VLOOKUP($DI$1,DATA!$B$24:$C$45,2,0)</f>
        <v>0.03</v>
      </c>
      <c r="DL35" s="4">
        <f t="shared" si="83"/>
        <v>0.03</v>
      </c>
      <c r="DM35" s="79">
        <f t="shared" si="84"/>
        <v>0.6</v>
      </c>
      <c r="DN35" s="226" t="s">
        <v>185</v>
      </c>
      <c r="DO35" s="227">
        <f>VLOOKUP(DN35,DATA!$B$13:$C$19,2,0)</f>
        <v>100</v>
      </c>
      <c r="DP35" s="4">
        <f>VLOOKUP($DN$1,DATA!$B$24:$C$45,2,0)</f>
        <v>7.0000000000000007E-2</v>
      </c>
      <c r="DQ35" s="4">
        <f t="shared" si="85"/>
        <v>7.0000000000000007E-2</v>
      </c>
      <c r="DR35" s="69">
        <f t="shared" si="86"/>
        <v>1.4000000000000001</v>
      </c>
      <c r="DS35" s="87">
        <v>45919</v>
      </c>
      <c r="DT35" s="86">
        <v>45939</v>
      </c>
      <c r="DU35" s="226" t="s">
        <v>185</v>
      </c>
      <c r="DV35" s="227">
        <f>VLOOKUP(DU35,DATA!$B$13:$C$19,2,0)</f>
        <v>100</v>
      </c>
      <c r="DW35" s="4">
        <f>VLOOKUP($DU$1,DATA!$B$24:$C$45,2,0)</f>
        <v>0.04</v>
      </c>
      <c r="DX35" s="4">
        <f t="shared" si="87"/>
        <v>0.04</v>
      </c>
      <c r="DY35" s="69">
        <f t="shared" si="88"/>
        <v>0.8</v>
      </c>
      <c r="DZ35" s="87">
        <v>45923</v>
      </c>
      <c r="EA35" s="86">
        <v>45953</v>
      </c>
      <c r="EB35" s="226" t="s">
        <v>220</v>
      </c>
      <c r="EC35" s="227">
        <f>VLOOKUP(EB35,DATA!$B$13:$C$19,2,0)</f>
        <v>50</v>
      </c>
      <c r="ED35" s="4">
        <f>VLOOKUP($EB$1,DATA!$B$24:$C$45,2,0)</f>
        <v>0.05</v>
      </c>
      <c r="EE35" s="4">
        <f t="shared" si="89"/>
        <v>2.5000000000000001E-2</v>
      </c>
      <c r="EF35" s="69">
        <f t="shared" si="90"/>
        <v>1</v>
      </c>
      <c r="EG35" s="87"/>
      <c r="EH35" s="86"/>
      <c r="EI35" s="226" t="s">
        <v>185</v>
      </c>
      <c r="EJ35" s="227">
        <f>VLOOKUP(EI35,DATA!$B$13:$C$19,2,0)</f>
        <v>100</v>
      </c>
      <c r="EK35" s="4">
        <f>VLOOKUP($EI$1,DATA!$B$24:$C$45,2,0)</f>
        <v>0.1</v>
      </c>
      <c r="EL35" s="4">
        <f t="shared" si="91"/>
        <v>0.1</v>
      </c>
      <c r="EM35" s="69">
        <f t="shared" si="92"/>
        <v>2</v>
      </c>
      <c r="EN35" s="87"/>
      <c r="EO35" s="86">
        <v>45986</v>
      </c>
      <c r="EP35" s="226" t="s">
        <v>193</v>
      </c>
      <c r="EQ35" s="227">
        <f>VLOOKUP(EP35,DATA!$B$13:$C$19,2,0)</f>
        <v>0</v>
      </c>
      <c r="ER35" s="4">
        <f>VLOOKUP($EP$1,DATA!$B$24:$C$45,2,0)</f>
        <v>0.03</v>
      </c>
      <c r="ES35" s="4">
        <f t="shared" si="93"/>
        <v>0</v>
      </c>
      <c r="ET35" s="79">
        <f t="shared" si="94"/>
        <v>0.6</v>
      </c>
      <c r="EU35" s="244">
        <f t="shared" si="95"/>
        <v>1.6</v>
      </c>
      <c r="EV35" s="85" t="s">
        <v>187</v>
      </c>
      <c r="EW35" s="134" t="s">
        <v>239</v>
      </c>
      <c r="EX35" s="6"/>
    </row>
    <row r="36" spans="1:154" x14ac:dyDescent="0.3">
      <c r="A36" s="3" t="s">
        <v>180</v>
      </c>
      <c r="B36" s="3" t="s">
        <v>181</v>
      </c>
      <c r="C36" s="3" t="s">
        <v>251</v>
      </c>
      <c r="D36" s="85" t="s">
        <v>275</v>
      </c>
      <c r="E36" s="85" t="s">
        <v>253</v>
      </c>
      <c r="F36" s="3">
        <v>3328</v>
      </c>
      <c r="G36" s="3" t="s">
        <v>276</v>
      </c>
      <c r="H36" s="3">
        <v>9</v>
      </c>
      <c r="I36" s="3"/>
      <c r="J36" s="229">
        <f>BaseDeDatos[[#This Row],[Budget CS]]+BaseDeDatos[[#This Row],[Change Orders Budget]]</f>
        <v>9</v>
      </c>
      <c r="K36" s="92">
        <f>IFERROR(VLOOKUP(G36, DATA!H:I, 2, FALSE), 0)+BaseDeDatos[[#This Row],[Labor Spend on Design errors]]+BaseDeDatos[[#This Row],[Labor
Spent Customer changes]]</f>
        <v>11</v>
      </c>
      <c r="L36" s="92"/>
      <c r="M36" s="92">
        <v>5</v>
      </c>
      <c r="N36" s="232">
        <f t="shared" si="48"/>
        <v>0.94500000000000006</v>
      </c>
      <c r="O36" s="238">
        <f t="shared" si="49"/>
        <v>11</v>
      </c>
      <c r="P36" s="39">
        <v>26.73</v>
      </c>
      <c r="Q36" s="89">
        <f>BaseDeDatos[[#This Row],[Budget]]*BaseDeDatos[[#This Row],[Labor Rate from CS]]</f>
        <v>240.57</v>
      </c>
      <c r="R36" s="89">
        <f>BaseDeDatos[[#This Row],[Labor
Spent]]*BaseDeDatos[[#This Row],[Labor Rate from CS]]</f>
        <v>294.03000000000003</v>
      </c>
      <c r="S36" s="93">
        <f t="shared" si="50"/>
        <v>1.2222222222222223</v>
      </c>
      <c r="T36" s="98">
        <v>19750</v>
      </c>
      <c r="U36" s="98">
        <v>10493.57</v>
      </c>
      <c r="V36" s="98">
        <v>8236.48</v>
      </c>
      <c r="W36" s="98">
        <v>7400</v>
      </c>
      <c r="X36" s="98">
        <v>7400</v>
      </c>
      <c r="Y36" s="98"/>
      <c r="Z36" s="98"/>
      <c r="AA36" s="98">
        <v>15500.29</v>
      </c>
      <c r="AB36" s="89">
        <f t="shared" si="51"/>
        <v>7859.7200000000012</v>
      </c>
      <c r="AC36" s="120">
        <f>SUM(AB36,X36,R36,BaseDeDatos[[#This Row],[Additionals cost]])</f>
        <v>23790.230000000003</v>
      </c>
      <c r="AD36" s="117">
        <v>0.21510000000000001</v>
      </c>
      <c r="AE36" s="117">
        <v>0.23499999999999999</v>
      </c>
      <c r="AF36" s="240">
        <f t="shared" si="52"/>
        <v>0.21246835443037965</v>
      </c>
      <c r="AG36" s="226">
        <v>45824</v>
      </c>
      <c r="AH36" s="226" t="s">
        <v>185</v>
      </c>
      <c r="AI36" s="227">
        <f>VLOOKUP(AH36,DATA!$B$13:$C$19,2,0)</f>
        <v>100</v>
      </c>
      <c r="AJ36" s="4">
        <f>VLOOKUP($AH$1,DATA!$B$24:$C$45,2,0)</f>
        <v>0.05</v>
      </c>
      <c r="AK36" s="69">
        <f>BaseDeDatos[[#This Row],[Read info
Status]]*(AJ36)/100</f>
        <v>0.05</v>
      </c>
      <c r="AL36" s="79">
        <f t="shared" si="53"/>
        <v>0.45</v>
      </c>
      <c r="AM36" s="226" t="s">
        <v>185</v>
      </c>
      <c r="AN36" s="227">
        <f>VLOOKUP(AM36,DATA!$B$13:$C$19,2,0)</f>
        <v>100</v>
      </c>
      <c r="AO36" s="4">
        <f>VLOOKUP($AM$1,DATA!$B$24:$C$45,2,0)</f>
        <v>0.05</v>
      </c>
      <c r="AP36" s="4">
        <f t="shared" si="54"/>
        <v>0.05</v>
      </c>
      <c r="AQ36" s="69">
        <f t="shared" si="55"/>
        <v>0.45</v>
      </c>
      <c r="AR36" s="5">
        <v>45838</v>
      </c>
      <c r="AS36" s="95">
        <v>45840</v>
      </c>
      <c r="AT36" s="226" t="s">
        <v>185</v>
      </c>
      <c r="AU36" s="227">
        <f>VLOOKUP(AT36,DATA!$B$13:$C$19,2,0)</f>
        <v>100</v>
      </c>
      <c r="AV36" s="4">
        <f>VLOOKUP($AT$1,DATA!$B$24:$C$45,2,0)</f>
        <v>0.01</v>
      </c>
      <c r="AW36" s="4">
        <f t="shared" si="56"/>
        <v>0.01</v>
      </c>
      <c r="AX36" s="69">
        <f t="shared" si="57"/>
        <v>0.09</v>
      </c>
      <c r="AY36" s="5">
        <v>45905</v>
      </c>
      <c r="AZ36" s="95">
        <v>45905</v>
      </c>
      <c r="BA36" s="226" t="s">
        <v>185</v>
      </c>
      <c r="BB36" s="227">
        <f>VLOOKUP(BA36,DATA!$B$13:$C$19,2,0)</f>
        <v>100</v>
      </c>
      <c r="BC36" s="4">
        <f>VLOOKUP($BA$1,DATA!$B$24:$C$45,2,0)</f>
        <v>0.01</v>
      </c>
      <c r="BD36" s="4">
        <f t="shared" si="58"/>
        <v>0.01</v>
      </c>
      <c r="BE36" s="79">
        <f t="shared" si="59"/>
        <v>0.09</v>
      </c>
      <c r="BF36" s="226" t="s">
        <v>185</v>
      </c>
      <c r="BG36" s="227">
        <f>VLOOKUP(BF36,DATA!$B$13:$C$19,2,0)</f>
        <v>100</v>
      </c>
      <c r="BH36" s="4">
        <f>VLOOKUP($BF$1,DATA!$B$24:$C$45,2,0)</f>
        <v>0.08</v>
      </c>
      <c r="BI36" s="4">
        <f t="shared" si="60"/>
        <v>0.08</v>
      </c>
      <c r="BJ36" s="79">
        <f t="shared" si="61"/>
        <v>0.72</v>
      </c>
      <c r="BK36" s="226" t="s">
        <v>185</v>
      </c>
      <c r="BL36" s="227">
        <f>VLOOKUP(BK36,DATA!$B$13:$C$19,2,0)</f>
        <v>100</v>
      </c>
      <c r="BM36" s="4">
        <f>VLOOKUP($BK$1,DATA!$B$24:$C$45,2,0)</f>
        <v>0.18</v>
      </c>
      <c r="BN36" s="4">
        <f t="shared" si="62"/>
        <v>0.18</v>
      </c>
      <c r="BO36" s="79">
        <f t="shared" si="63"/>
        <v>1.6199999999999999</v>
      </c>
      <c r="BP36" s="226" t="s">
        <v>185</v>
      </c>
      <c r="BQ36" s="227">
        <f>VLOOKUP(BP36,DATA!$B$13:$C$19,2,0)</f>
        <v>100</v>
      </c>
      <c r="BR36" s="4">
        <f>VLOOKUP($BP$1,DATA!$B$24:$C$45,2,0)</f>
        <v>0.28000000000000003</v>
      </c>
      <c r="BS36" s="4">
        <f t="shared" si="64"/>
        <v>0.28000000000000003</v>
      </c>
      <c r="BT36" s="79">
        <f t="shared" si="65"/>
        <v>2.5200000000000005</v>
      </c>
      <c r="BU36" s="226" t="s">
        <v>185</v>
      </c>
      <c r="BV36" s="227">
        <f>VLOOKUP(BU36,DATA!$B$13:$C$19,2,0)</f>
        <v>100</v>
      </c>
      <c r="BW36" s="4">
        <f>VLOOKUP($BU$1,DATA!$B$24:$C$45,2,0)</f>
        <v>0.15</v>
      </c>
      <c r="BX36" s="4">
        <f t="shared" si="66"/>
        <v>0.15</v>
      </c>
      <c r="BY36" s="79">
        <f t="shared" si="67"/>
        <v>1.3499999999999999</v>
      </c>
      <c r="BZ36" s="226" t="s">
        <v>185</v>
      </c>
      <c r="CA36" s="227">
        <f>VLOOKUP(BZ36,DATA!$B$13:$C$19,2,0)</f>
        <v>100</v>
      </c>
      <c r="CB36" s="4">
        <f>VLOOKUP($BZ$1,DATA!$B$24:$C$45,2,0)</f>
        <v>0.16</v>
      </c>
      <c r="CC36" s="4">
        <f t="shared" si="68"/>
        <v>0.16</v>
      </c>
      <c r="CD36" s="79">
        <f t="shared" si="69"/>
        <v>1.44</v>
      </c>
      <c r="CE36" s="226" t="s">
        <v>185</v>
      </c>
      <c r="CF36" s="227">
        <f>VLOOKUP(CE36,DATA!$B$13:$C$19,2,0)</f>
        <v>100</v>
      </c>
      <c r="CG36" s="4">
        <f>VLOOKUP($CE$1,DATA!$B$24:$C$45,2,0)</f>
        <v>0.13</v>
      </c>
      <c r="CH36" s="4">
        <f t="shared" si="70"/>
        <v>0.13</v>
      </c>
      <c r="CI36" s="79">
        <f t="shared" si="71"/>
        <v>1.17</v>
      </c>
      <c r="CJ36" s="226" t="s">
        <v>185</v>
      </c>
      <c r="CK36" s="227">
        <f>VLOOKUP(CJ36,DATA!$B$13:$C$19,2,0)</f>
        <v>100</v>
      </c>
      <c r="CL36" s="4">
        <f>VLOOKUP($CJ$1,DATA!$B$24:$C$45,2,0)</f>
        <v>0.01</v>
      </c>
      <c r="CM36" s="4">
        <f t="shared" si="72"/>
        <v>0.01</v>
      </c>
      <c r="CN36" s="79">
        <f t="shared" si="73"/>
        <v>0.09</v>
      </c>
      <c r="CO36" s="83">
        <f t="shared" si="74"/>
        <v>1</v>
      </c>
      <c r="CP36" s="4">
        <f>VLOOKUP($CO$1,DATA!$B$24:$C$45,2,0)</f>
        <v>0.54</v>
      </c>
      <c r="CQ36" s="81">
        <f t="shared" si="75"/>
        <v>0.54</v>
      </c>
      <c r="CR36" s="80">
        <f t="shared" si="76"/>
        <v>4.8600000000000003</v>
      </c>
      <c r="CS36" s="129">
        <f t="shared" si="77"/>
        <v>4.8600000000000003</v>
      </c>
      <c r="CT36" s="242">
        <f t="shared" si="78"/>
        <v>0</v>
      </c>
      <c r="CU36" s="226" t="s">
        <v>185</v>
      </c>
      <c r="CV36" s="227">
        <f>VLOOKUP(CU36,DATA!$B$13:$C$19,2,0)</f>
        <v>100</v>
      </c>
      <c r="CW36" s="4">
        <f>VLOOKUP($CU$1,DATA!$B$24:$C$45,2,0)</f>
        <v>0.02</v>
      </c>
      <c r="CX36" s="4">
        <f t="shared" si="79"/>
        <v>0.02</v>
      </c>
      <c r="CY36" s="69">
        <f t="shared" si="80"/>
        <v>0.18</v>
      </c>
      <c r="CZ36" s="87">
        <v>45916</v>
      </c>
      <c r="DA36" s="86">
        <v>45922</v>
      </c>
      <c r="DB36" s="226" t="s">
        <v>185</v>
      </c>
      <c r="DC36" s="227">
        <f>VLOOKUP(DB36,DATA!$B$13:$C$19,2,0)</f>
        <v>100</v>
      </c>
      <c r="DD36" s="4">
        <f>VLOOKUP($DB$1,DATA!$B$24:$C$45,2,0)</f>
        <v>0.01</v>
      </c>
      <c r="DE36" s="4">
        <f t="shared" si="81"/>
        <v>0.01</v>
      </c>
      <c r="DF36" s="69">
        <f t="shared" si="82"/>
        <v>0.09</v>
      </c>
      <c r="DG36" s="87">
        <v>45919</v>
      </c>
      <c r="DH36" s="86">
        <v>45952</v>
      </c>
      <c r="DI36" s="226" t="s">
        <v>185</v>
      </c>
      <c r="DJ36" s="227">
        <f>VLOOKUP(DI36,DATA!$B$13:$C$19,2,0)</f>
        <v>100</v>
      </c>
      <c r="DK36" s="4">
        <f>VLOOKUP($DI$1,DATA!$B$24:$C$45,2,0)</f>
        <v>0.03</v>
      </c>
      <c r="DL36" s="4">
        <f t="shared" si="83"/>
        <v>0.03</v>
      </c>
      <c r="DM36" s="79">
        <f t="shared" si="84"/>
        <v>0.27</v>
      </c>
      <c r="DN36" s="226" t="s">
        <v>185</v>
      </c>
      <c r="DO36" s="227">
        <f>VLOOKUP(DN36,DATA!$B$13:$C$19,2,0)</f>
        <v>100</v>
      </c>
      <c r="DP36" s="4">
        <f>VLOOKUP($DN$1,DATA!$B$24:$C$45,2,0)</f>
        <v>7.0000000000000007E-2</v>
      </c>
      <c r="DQ36" s="4">
        <f t="shared" si="85"/>
        <v>7.0000000000000007E-2</v>
      </c>
      <c r="DR36" s="69">
        <f t="shared" si="86"/>
        <v>0.63000000000000012</v>
      </c>
      <c r="DS36" s="87">
        <v>45919</v>
      </c>
      <c r="DT36" s="86">
        <v>45939</v>
      </c>
      <c r="DU36" s="226" t="s">
        <v>185</v>
      </c>
      <c r="DV36" s="227">
        <f>VLOOKUP(DU36,DATA!$B$13:$C$19,2,0)</f>
        <v>100</v>
      </c>
      <c r="DW36" s="4">
        <f>VLOOKUP($DU$1,DATA!$B$24:$C$45,2,0)</f>
        <v>0.04</v>
      </c>
      <c r="DX36" s="4">
        <f t="shared" si="87"/>
        <v>0.04</v>
      </c>
      <c r="DY36" s="69">
        <f t="shared" si="88"/>
        <v>0.36</v>
      </c>
      <c r="DZ36" s="87">
        <v>45923</v>
      </c>
      <c r="EA36" s="86">
        <v>45953</v>
      </c>
      <c r="EB36" s="226" t="s">
        <v>220</v>
      </c>
      <c r="EC36" s="227">
        <f>VLOOKUP(EB36,DATA!$B$13:$C$19,2,0)</f>
        <v>50</v>
      </c>
      <c r="ED36" s="4">
        <f>VLOOKUP($EB$1,DATA!$B$24:$C$45,2,0)</f>
        <v>0.05</v>
      </c>
      <c r="EE36" s="4">
        <f t="shared" si="89"/>
        <v>2.5000000000000001E-2</v>
      </c>
      <c r="EF36" s="69">
        <f t="shared" si="90"/>
        <v>0.45</v>
      </c>
      <c r="EG36" s="87"/>
      <c r="EH36" s="86"/>
      <c r="EI36" s="226" t="s">
        <v>185</v>
      </c>
      <c r="EJ36" s="227">
        <f>VLOOKUP(EI36,DATA!$B$13:$C$19,2,0)</f>
        <v>100</v>
      </c>
      <c r="EK36" s="4">
        <f>VLOOKUP($EI$1,DATA!$B$24:$C$45,2,0)</f>
        <v>0.1</v>
      </c>
      <c r="EL36" s="4">
        <f t="shared" si="91"/>
        <v>0.1</v>
      </c>
      <c r="EM36" s="69">
        <f t="shared" si="92"/>
        <v>0.9</v>
      </c>
      <c r="EN36" s="87"/>
      <c r="EO36" s="86">
        <v>45986</v>
      </c>
      <c r="EP36" s="226" t="s">
        <v>193</v>
      </c>
      <c r="EQ36" s="227">
        <f>VLOOKUP(EP36,DATA!$B$13:$C$19,2,0)</f>
        <v>0</v>
      </c>
      <c r="ER36" s="4">
        <f>VLOOKUP($EP$1,DATA!$B$24:$C$45,2,0)</f>
        <v>0.03</v>
      </c>
      <c r="ES36" s="4">
        <f t="shared" si="93"/>
        <v>0</v>
      </c>
      <c r="ET36" s="79">
        <f t="shared" si="94"/>
        <v>0.27</v>
      </c>
      <c r="EU36" s="244">
        <f t="shared" si="95"/>
        <v>0.72</v>
      </c>
      <c r="EV36" s="85" t="s">
        <v>187</v>
      </c>
      <c r="EW36" s="134" t="s">
        <v>187</v>
      </c>
      <c r="EX36" s="6"/>
    </row>
    <row r="37" spans="1:154" x14ac:dyDescent="0.3">
      <c r="A37" s="3" t="s">
        <v>180</v>
      </c>
      <c r="B37" s="3" t="s">
        <v>181</v>
      </c>
      <c r="C37" s="3" t="s">
        <v>251</v>
      </c>
      <c r="D37" s="85" t="s">
        <v>277</v>
      </c>
      <c r="E37" s="85" t="s">
        <v>253</v>
      </c>
      <c r="F37" s="3">
        <v>3328</v>
      </c>
      <c r="G37" s="3" t="s">
        <v>278</v>
      </c>
      <c r="H37" s="3">
        <v>9</v>
      </c>
      <c r="I37" s="3"/>
      <c r="J37" s="229">
        <f>BaseDeDatos[[#This Row],[Budget CS]]+BaseDeDatos[[#This Row],[Change Orders Budget]]</f>
        <v>9</v>
      </c>
      <c r="K37" s="92">
        <f>IFERROR(VLOOKUP(G37, DATA!H:I, 2, FALSE), 0)+BaseDeDatos[[#This Row],[Labor Spend on Design errors]]+BaseDeDatos[[#This Row],[Labor
Spent Customer changes]]</f>
        <v>6</v>
      </c>
      <c r="L37" s="92"/>
      <c r="M37" s="92"/>
      <c r="N37" s="232">
        <f t="shared" si="48"/>
        <v>0.94500000000000006</v>
      </c>
      <c r="O37" s="238">
        <f t="shared" si="49"/>
        <v>6</v>
      </c>
      <c r="P37" s="39">
        <v>26.73</v>
      </c>
      <c r="Q37" s="89">
        <f>BaseDeDatos[[#This Row],[Budget]]*BaseDeDatos[[#This Row],[Labor Rate from CS]]</f>
        <v>240.57</v>
      </c>
      <c r="R37" s="89">
        <f>BaseDeDatos[[#This Row],[Labor
Spent]]*BaseDeDatos[[#This Row],[Labor Rate from CS]]</f>
        <v>160.38</v>
      </c>
      <c r="S37" s="93">
        <f t="shared" si="50"/>
        <v>0.66666666666666663</v>
      </c>
      <c r="T37" s="98">
        <v>27180</v>
      </c>
      <c r="U37" s="98">
        <v>10493.57</v>
      </c>
      <c r="V37" s="98">
        <v>8236.48</v>
      </c>
      <c r="W37" s="98">
        <v>4280</v>
      </c>
      <c r="X37" s="98">
        <v>4280</v>
      </c>
      <c r="Y37" s="98"/>
      <c r="Z37" s="98"/>
      <c r="AA37" s="98">
        <v>21330.45</v>
      </c>
      <c r="AB37" s="89">
        <f t="shared" si="51"/>
        <v>16809.88</v>
      </c>
      <c r="AC37" s="120">
        <f>SUM(AB37,X37,R37,BaseDeDatos[[#This Row],[Additionals cost]])</f>
        <v>29486.74</v>
      </c>
      <c r="AD37" s="117">
        <v>0.215</v>
      </c>
      <c r="AE37" s="117">
        <v>0.23499999999999999</v>
      </c>
      <c r="AF37" s="240">
        <f t="shared" si="52"/>
        <v>0.21816556291390721</v>
      </c>
      <c r="AG37" s="226">
        <v>45824</v>
      </c>
      <c r="AH37" s="226" t="s">
        <v>185</v>
      </c>
      <c r="AI37" s="227">
        <f>VLOOKUP(AH37,DATA!$B$13:$C$19,2,0)</f>
        <v>100</v>
      </c>
      <c r="AJ37" s="4">
        <f>VLOOKUP($AH$1,DATA!$B$24:$C$45,2,0)</f>
        <v>0.05</v>
      </c>
      <c r="AK37" s="69">
        <f>BaseDeDatos[[#This Row],[Read info
Status]]*(AJ37)/100</f>
        <v>0.05</v>
      </c>
      <c r="AL37" s="79">
        <f t="shared" si="53"/>
        <v>0.45</v>
      </c>
      <c r="AM37" s="226" t="s">
        <v>185</v>
      </c>
      <c r="AN37" s="227">
        <f>VLOOKUP(AM37,DATA!$B$13:$C$19,2,0)</f>
        <v>100</v>
      </c>
      <c r="AO37" s="4">
        <f>VLOOKUP($AM$1,DATA!$B$24:$C$45,2,0)</f>
        <v>0.05</v>
      </c>
      <c r="AP37" s="4">
        <f t="shared" si="54"/>
        <v>0.05</v>
      </c>
      <c r="AQ37" s="69">
        <f t="shared" si="55"/>
        <v>0.45</v>
      </c>
      <c r="AR37" s="5">
        <v>45838</v>
      </c>
      <c r="AS37" s="95"/>
      <c r="AT37" s="226" t="s">
        <v>185</v>
      </c>
      <c r="AU37" s="227">
        <f>VLOOKUP(AT37,DATA!$B$13:$C$19,2,0)</f>
        <v>100</v>
      </c>
      <c r="AV37" s="4">
        <f>VLOOKUP($AT$1,DATA!$B$24:$C$45,2,0)</f>
        <v>0.01</v>
      </c>
      <c r="AW37" s="4">
        <f t="shared" si="56"/>
        <v>0.01</v>
      </c>
      <c r="AX37" s="69">
        <f t="shared" si="57"/>
        <v>0.09</v>
      </c>
      <c r="AY37" s="5">
        <v>45905</v>
      </c>
      <c r="AZ37" s="95">
        <v>45922</v>
      </c>
      <c r="BA37" s="226" t="s">
        <v>185</v>
      </c>
      <c r="BB37" s="227">
        <f>VLOOKUP(BA37,DATA!$B$13:$C$19,2,0)</f>
        <v>100</v>
      </c>
      <c r="BC37" s="4">
        <f>VLOOKUP($BA$1,DATA!$B$24:$C$45,2,0)</f>
        <v>0.01</v>
      </c>
      <c r="BD37" s="4">
        <f t="shared" si="58"/>
        <v>0.01</v>
      </c>
      <c r="BE37" s="79">
        <f t="shared" si="59"/>
        <v>0.09</v>
      </c>
      <c r="BF37" s="226" t="s">
        <v>185</v>
      </c>
      <c r="BG37" s="227">
        <f>VLOOKUP(BF37,DATA!$B$13:$C$19,2,0)</f>
        <v>100</v>
      </c>
      <c r="BH37" s="4">
        <f>VLOOKUP($BF$1,DATA!$B$24:$C$45,2,0)</f>
        <v>0.08</v>
      </c>
      <c r="BI37" s="4">
        <f t="shared" si="60"/>
        <v>0.08</v>
      </c>
      <c r="BJ37" s="79">
        <f t="shared" si="61"/>
        <v>0.72</v>
      </c>
      <c r="BK37" s="226" t="s">
        <v>185</v>
      </c>
      <c r="BL37" s="227">
        <f>VLOOKUP(BK37,DATA!$B$13:$C$19,2,0)</f>
        <v>100</v>
      </c>
      <c r="BM37" s="4">
        <f>VLOOKUP($BK$1,DATA!$B$24:$C$45,2,0)</f>
        <v>0.18</v>
      </c>
      <c r="BN37" s="4">
        <f t="shared" si="62"/>
        <v>0.18</v>
      </c>
      <c r="BO37" s="79">
        <f t="shared" si="63"/>
        <v>1.6199999999999999</v>
      </c>
      <c r="BP37" s="226" t="s">
        <v>185</v>
      </c>
      <c r="BQ37" s="227">
        <f>VLOOKUP(BP37,DATA!$B$13:$C$19,2,0)</f>
        <v>100</v>
      </c>
      <c r="BR37" s="4">
        <f>VLOOKUP($BP$1,DATA!$B$24:$C$45,2,0)</f>
        <v>0.28000000000000003</v>
      </c>
      <c r="BS37" s="4">
        <f t="shared" si="64"/>
        <v>0.28000000000000003</v>
      </c>
      <c r="BT37" s="79">
        <f t="shared" si="65"/>
        <v>2.5200000000000005</v>
      </c>
      <c r="BU37" s="226" t="s">
        <v>185</v>
      </c>
      <c r="BV37" s="227">
        <f>VLOOKUP(BU37,DATA!$B$13:$C$19,2,0)</f>
        <v>100</v>
      </c>
      <c r="BW37" s="4">
        <f>VLOOKUP($BU$1,DATA!$B$24:$C$45,2,0)</f>
        <v>0.15</v>
      </c>
      <c r="BX37" s="4">
        <f t="shared" si="66"/>
        <v>0.15</v>
      </c>
      <c r="BY37" s="79">
        <f t="shared" si="67"/>
        <v>1.3499999999999999</v>
      </c>
      <c r="BZ37" s="226" t="s">
        <v>185</v>
      </c>
      <c r="CA37" s="227">
        <f>VLOOKUP(BZ37,DATA!$B$13:$C$19,2,0)</f>
        <v>100</v>
      </c>
      <c r="CB37" s="4">
        <f>VLOOKUP($BZ$1,DATA!$B$24:$C$45,2,0)</f>
        <v>0.16</v>
      </c>
      <c r="CC37" s="4">
        <f t="shared" si="68"/>
        <v>0.16</v>
      </c>
      <c r="CD37" s="79">
        <f t="shared" si="69"/>
        <v>1.44</v>
      </c>
      <c r="CE37" s="226" t="s">
        <v>185</v>
      </c>
      <c r="CF37" s="227">
        <f>VLOOKUP(CE37,DATA!$B$13:$C$19,2,0)</f>
        <v>100</v>
      </c>
      <c r="CG37" s="4">
        <f>VLOOKUP($CE$1,DATA!$B$24:$C$45,2,0)</f>
        <v>0.13</v>
      </c>
      <c r="CH37" s="4">
        <f t="shared" si="70"/>
        <v>0.13</v>
      </c>
      <c r="CI37" s="79">
        <f t="shared" si="71"/>
        <v>1.17</v>
      </c>
      <c r="CJ37" s="226" t="s">
        <v>185</v>
      </c>
      <c r="CK37" s="227">
        <f>VLOOKUP(CJ37,DATA!$B$13:$C$19,2,0)</f>
        <v>100</v>
      </c>
      <c r="CL37" s="4">
        <f>VLOOKUP($CJ$1,DATA!$B$24:$C$45,2,0)</f>
        <v>0.01</v>
      </c>
      <c r="CM37" s="4">
        <f t="shared" si="72"/>
        <v>0.01</v>
      </c>
      <c r="CN37" s="79">
        <f t="shared" si="73"/>
        <v>0.09</v>
      </c>
      <c r="CO37" s="83">
        <f t="shared" si="74"/>
        <v>1</v>
      </c>
      <c r="CP37" s="4">
        <f>VLOOKUP($CO$1,DATA!$B$24:$C$45,2,0)</f>
        <v>0.54</v>
      </c>
      <c r="CQ37" s="81">
        <f t="shared" si="75"/>
        <v>0.54</v>
      </c>
      <c r="CR37" s="80">
        <f t="shared" si="76"/>
        <v>4.8600000000000003</v>
      </c>
      <c r="CS37" s="129">
        <f t="shared" si="77"/>
        <v>4.8600000000000003</v>
      </c>
      <c r="CT37" s="242">
        <f t="shared" si="78"/>
        <v>0</v>
      </c>
      <c r="CU37" s="226" t="s">
        <v>185</v>
      </c>
      <c r="CV37" s="227">
        <f>VLOOKUP(CU37,DATA!$B$13:$C$19,2,0)</f>
        <v>100</v>
      </c>
      <c r="CW37" s="4">
        <f>VLOOKUP($CU$1,DATA!$B$24:$C$45,2,0)</f>
        <v>0.02</v>
      </c>
      <c r="CX37" s="4">
        <f t="shared" si="79"/>
        <v>0.02</v>
      </c>
      <c r="CY37" s="69">
        <f t="shared" si="80"/>
        <v>0.18</v>
      </c>
      <c r="CZ37" s="87">
        <v>45916</v>
      </c>
      <c r="DA37" s="86">
        <v>45926</v>
      </c>
      <c r="DB37" s="226" t="s">
        <v>185</v>
      </c>
      <c r="DC37" s="227">
        <f>VLOOKUP(DB37,DATA!$B$13:$C$19,2,0)</f>
        <v>100</v>
      </c>
      <c r="DD37" s="4">
        <f>VLOOKUP($DB$1,DATA!$B$24:$C$45,2,0)</f>
        <v>0.01</v>
      </c>
      <c r="DE37" s="4">
        <f t="shared" si="81"/>
        <v>0.01</v>
      </c>
      <c r="DF37" s="69">
        <f t="shared" si="82"/>
        <v>0.09</v>
      </c>
      <c r="DG37" s="87">
        <v>45919</v>
      </c>
      <c r="DH37" s="86">
        <v>45952</v>
      </c>
      <c r="DI37" s="226" t="s">
        <v>185</v>
      </c>
      <c r="DJ37" s="227">
        <f>VLOOKUP(DI37,DATA!$B$13:$C$19,2,0)</f>
        <v>100</v>
      </c>
      <c r="DK37" s="4">
        <f>VLOOKUP($DI$1,DATA!$B$24:$C$45,2,0)</f>
        <v>0.03</v>
      </c>
      <c r="DL37" s="4">
        <f t="shared" si="83"/>
        <v>0.03</v>
      </c>
      <c r="DM37" s="79">
        <f t="shared" si="84"/>
        <v>0.27</v>
      </c>
      <c r="DN37" s="226" t="s">
        <v>185</v>
      </c>
      <c r="DO37" s="227">
        <f>VLOOKUP(DN37,DATA!$B$13:$C$19,2,0)</f>
        <v>100</v>
      </c>
      <c r="DP37" s="4">
        <f>VLOOKUP($DN$1,DATA!$B$24:$C$45,2,0)</f>
        <v>7.0000000000000007E-2</v>
      </c>
      <c r="DQ37" s="4">
        <f t="shared" si="85"/>
        <v>7.0000000000000007E-2</v>
      </c>
      <c r="DR37" s="69">
        <f t="shared" si="86"/>
        <v>0.63000000000000012</v>
      </c>
      <c r="DS37" s="87">
        <v>45919</v>
      </c>
      <c r="DT37" s="86">
        <v>45939</v>
      </c>
      <c r="DU37" s="226" t="s">
        <v>185</v>
      </c>
      <c r="DV37" s="227">
        <f>VLOOKUP(DU37,DATA!$B$13:$C$19,2,0)</f>
        <v>100</v>
      </c>
      <c r="DW37" s="4">
        <f>VLOOKUP($DU$1,DATA!$B$24:$C$45,2,0)</f>
        <v>0.04</v>
      </c>
      <c r="DX37" s="4">
        <f t="shared" si="87"/>
        <v>0.04</v>
      </c>
      <c r="DY37" s="69">
        <f t="shared" si="88"/>
        <v>0.36</v>
      </c>
      <c r="DZ37" s="87">
        <v>45923</v>
      </c>
      <c r="EA37" s="86">
        <v>45953</v>
      </c>
      <c r="EB37" s="226" t="s">
        <v>220</v>
      </c>
      <c r="EC37" s="227">
        <f>VLOOKUP(EB37,DATA!$B$13:$C$19,2,0)</f>
        <v>50</v>
      </c>
      <c r="ED37" s="4">
        <f>VLOOKUP($EB$1,DATA!$B$24:$C$45,2,0)</f>
        <v>0.05</v>
      </c>
      <c r="EE37" s="4">
        <f t="shared" si="89"/>
        <v>2.5000000000000001E-2</v>
      </c>
      <c r="EF37" s="69">
        <f t="shared" si="90"/>
        <v>0.45</v>
      </c>
      <c r="EG37" s="87"/>
      <c r="EH37" s="86"/>
      <c r="EI37" s="226" t="s">
        <v>185</v>
      </c>
      <c r="EJ37" s="227">
        <f>VLOOKUP(EI37,DATA!$B$13:$C$19,2,0)</f>
        <v>100</v>
      </c>
      <c r="EK37" s="4">
        <f>VLOOKUP($EI$1,DATA!$B$24:$C$45,2,0)</f>
        <v>0.1</v>
      </c>
      <c r="EL37" s="4">
        <f t="shared" si="91"/>
        <v>0.1</v>
      </c>
      <c r="EM37" s="69">
        <f t="shared" si="92"/>
        <v>0.9</v>
      </c>
      <c r="EN37" s="87"/>
      <c r="EO37" s="86">
        <v>45986</v>
      </c>
      <c r="EP37" s="226" t="s">
        <v>193</v>
      </c>
      <c r="EQ37" s="227">
        <f>VLOOKUP(EP37,DATA!$B$13:$C$19,2,0)</f>
        <v>0</v>
      </c>
      <c r="ER37" s="4">
        <f>VLOOKUP($EP$1,DATA!$B$24:$C$45,2,0)</f>
        <v>0.03</v>
      </c>
      <c r="ES37" s="4">
        <f t="shared" si="93"/>
        <v>0</v>
      </c>
      <c r="ET37" s="79">
        <f t="shared" si="94"/>
        <v>0.27</v>
      </c>
      <c r="EU37" s="244">
        <f t="shared" si="95"/>
        <v>0.72</v>
      </c>
      <c r="EV37" s="85" t="s">
        <v>187</v>
      </c>
      <c r="EW37" s="134" t="s">
        <v>187</v>
      </c>
      <c r="EX37" s="6"/>
    </row>
    <row r="38" spans="1:154" x14ac:dyDescent="0.3">
      <c r="A38" s="3" t="s">
        <v>180</v>
      </c>
      <c r="B38" s="3" t="s">
        <v>181</v>
      </c>
      <c r="C38" s="3" t="s">
        <v>251</v>
      </c>
      <c r="D38" s="85" t="s">
        <v>279</v>
      </c>
      <c r="E38" s="85" t="s">
        <v>253</v>
      </c>
      <c r="F38" s="3">
        <v>3328</v>
      </c>
      <c r="G38" s="3" t="s">
        <v>280</v>
      </c>
      <c r="H38" s="3">
        <v>7</v>
      </c>
      <c r="I38" s="3"/>
      <c r="J38" s="229">
        <f>BaseDeDatos[[#This Row],[Budget CS]]+BaseDeDatos[[#This Row],[Change Orders Budget]]</f>
        <v>7</v>
      </c>
      <c r="K38" s="92">
        <f>IFERROR(VLOOKUP(G38, DATA!H:I, 2, FALSE), 0)+BaseDeDatos[[#This Row],[Labor Spend on Design errors]]+BaseDeDatos[[#This Row],[Labor
Spent Customer changes]]</f>
        <v>5</v>
      </c>
      <c r="L38" s="92"/>
      <c r="M38" s="92"/>
      <c r="N38" s="232">
        <f t="shared" si="48"/>
        <v>0.94500000000000006</v>
      </c>
      <c r="O38" s="238">
        <f t="shared" si="49"/>
        <v>5</v>
      </c>
      <c r="P38" s="39">
        <v>26.73</v>
      </c>
      <c r="Q38" s="89">
        <f>BaseDeDatos[[#This Row],[Budget]]*BaseDeDatos[[#This Row],[Labor Rate from CS]]</f>
        <v>187.11</v>
      </c>
      <c r="R38" s="89">
        <f>BaseDeDatos[[#This Row],[Labor
Spent]]*BaseDeDatos[[#This Row],[Labor Rate from CS]]</f>
        <v>133.65</v>
      </c>
      <c r="S38" s="93">
        <f t="shared" si="50"/>
        <v>0.7142857142857143</v>
      </c>
      <c r="T38" s="98">
        <v>8485</v>
      </c>
      <c r="U38" s="98">
        <v>25428.57</v>
      </c>
      <c r="V38" s="98">
        <v>8236.48</v>
      </c>
      <c r="W38" s="98">
        <v>260</v>
      </c>
      <c r="X38" s="98">
        <v>260</v>
      </c>
      <c r="Y38" s="98"/>
      <c r="Z38" s="98"/>
      <c r="AA38" s="98">
        <v>6660.51</v>
      </c>
      <c r="AB38" s="89">
        <f t="shared" si="51"/>
        <v>6213.4000000000005</v>
      </c>
      <c r="AC38" s="120">
        <f>SUM(AB38,X38,R38,BaseDeDatos[[#This Row],[Additionals cost]])</f>
        <v>14843.529999999999</v>
      </c>
      <c r="AD38" s="117">
        <v>0.215</v>
      </c>
      <c r="AE38" s="117">
        <v>0.23499999999999999</v>
      </c>
      <c r="AF38" s="240">
        <f t="shared" si="52"/>
        <v>0.22132586918090746</v>
      </c>
      <c r="AG38" s="226">
        <v>45824</v>
      </c>
      <c r="AH38" s="226" t="s">
        <v>185</v>
      </c>
      <c r="AI38" s="227">
        <f>VLOOKUP(AH38,DATA!$B$13:$C$19,2,0)</f>
        <v>100</v>
      </c>
      <c r="AJ38" s="4">
        <f>VLOOKUP($AH$1,DATA!$B$24:$C$45,2,0)</f>
        <v>0.05</v>
      </c>
      <c r="AK38" s="69">
        <f>BaseDeDatos[[#This Row],[Read info
Status]]*(AJ38)/100</f>
        <v>0.05</v>
      </c>
      <c r="AL38" s="79">
        <f t="shared" si="53"/>
        <v>0.35000000000000003</v>
      </c>
      <c r="AM38" s="226" t="s">
        <v>185</v>
      </c>
      <c r="AN38" s="227">
        <f>VLOOKUP(AM38,DATA!$B$13:$C$19,2,0)</f>
        <v>100</v>
      </c>
      <c r="AO38" s="4">
        <f>VLOOKUP($AM$1,DATA!$B$24:$C$45,2,0)</f>
        <v>0.05</v>
      </c>
      <c r="AP38" s="4">
        <f t="shared" si="54"/>
        <v>0.05</v>
      </c>
      <c r="AQ38" s="69">
        <f t="shared" si="55"/>
        <v>0.35000000000000003</v>
      </c>
      <c r="AR38" s="5">
        <v>45838</v>
      </c>
      <c r="AS38" s="95"/>
      <c r="AT38" s="226" t="s">
        <v>185</v>
      </c>
      <c r="AU38" s="227">
        <f>VLOOKUP(AT38,DATA!$B$13:$C$19,2,0)</f>
        <v>100</v>
      </c>
      <c r="AV38" s="4">
        <f>VLOOKUP($AT$1,DATA!$B$24:$C$45,2,0)</f>
        <v>0.01</v>
      </c>
      <c r="AW38" s="4">
        <f t="shared" si="56"/>
        <v>0.01</v>
      </c>
      <c r="AX38" s="69">
        <f t="shared" si="57"/>
        <v>7.0000000000000007E-2</v>
      </c>
      <c r="AY38" s="5">
        <v>45905</v>
      </c>
      <c r="AZ38" s="95">
        <v>45905</v>
      </c>
      <c r="BA38" s="226" t="s">
        <v>185</v>
      </c>
      <c r="BB38" s="227">
        <f>VLOOKUP(BA38,DATA!$B$13:$C$19,2,0)</f>
        <v>100</v>
      </c>
      <c r="BC38" s="4">
        <f>VLOOKUP($BA$1,DATA!$B$24:$C$45,2,0)</f>
        <v>0.01</v>
      </c>
      <c r="BD38" s="4">
        <f t="shared" si="58"/>
        <v>0.01</v>
      </c>
      <c r="BE38" s="79">
        <f t="shared" si="59"/>
        <v>7.0000000000000007E-2</v>
      </c>
      <c r="BF38" s="226" t="s">
        <v>185</v>
      </c>
      <c r="BG38" s="227">
        <f>VLOOKUP(BF38,DATA!$B$13:$C$19,2,0)</f>
        <v>100</v>
      </c>
      <c r="BH38" s="4">
        <f>VLOOKUP($BF$1,DATA!$B$24:$C$45,2,0)</f>
        <v>0.08</v>
      </c>
      <c r="BI38" s="4">
        <f t="shared" si="60"/>
        <v>0.08</v>
      </c>
      <c r="BJ38" s="79">
        <f t="shared" si="61"/>
        <v>0.56000000000000005</v>
      </c>
      <c r="BK38" s="226" t="s">
        <v>185</v>
      </c>
      <c r="BL38" s="227">
        <f>VLOOKUP(BK38,DATA!$B$13:$C$19,2,0)</f>
        <v>100</v>
      </c>
      <c r="BM38" s="4">
        <f>VLOOKUP($BK$1,DATA!$B$24:$C$45,2,0)</f>
        <v>0.18</v>
      </c>
      <c r="BN38" s="4">
        <f t="shared" si="62"/>
        <v>0.18</v>
      </c>
      <c r="BO38" s="79">
        <f t="shared" si="63"/>
        <v>1.26</v>
      </c>
      <c r="BP38" s="226" t="s">
        <v>185</v>
      </c>
      <c r="BQ38" s="227">
        <f>VLOOKUP(BP38,DATA!$B$13:$C$19,2,0)</f>
        <v>100</v>
      </c>
      <c r="BR38" s="4">
        <f>VLOOKUP($BP$1,DATA!$B$24:$C$45,2,0)</f>
        <v>0.28000000000000003</v>
      </c>
      <c r="BS38" s="4">
        <f t="shared" si="64"/>
        <v>0.28000000000000003</v>
      </c>
      <c r="BT38" s="79">
        <f t="shared" si="65"/>
        <v>1.9600000000000002</v>
      </c>
      <c r="BU38" s="226" t="s">
        <v>185</v>
      </c>
      <c r="BV38" s="227">
        <f>VLOOKUP(BU38,DATA!$B$13:$C$19,2,0)</f>
        <v>100</v>
      </c>
      <c r="BW38" s="4">
        <f>VLOOKUP($BU$1,DATA!$B$24:$C$45,2,0)</f>
        <v>0.15</v>
      </c>
      <c r="BX38" s="4">
        <f t="shared" si="66"/>
        <v>0.15</v>
      </c>
      <c r="BY38" s="79">
        <f t="shared" si="67"/>
        <v>1.05</v>
      </c>
      <c r="BZ38" s="226" t="s">
        <v>185</v>
      </c>
      <c r="CA38" s="227">
        <f>VLOOKUP(BZ38,DATA!$B$13:$C$19,2,0)</f>
        <v>100</v>
      </c>
      <c r="CB38" s="4">
        <f>VLOOKUP($BZ$1,DATA!$B$24:$C$45,2,0)</f>
        <v>0.16</v>
      </c>
      <c r="CC38" s="4">
        <f t="shared" si="68"/>
        <v>0.16</v>
      </c>
      <c r="CD38" s="79">
        <f t="shared" si="69"/>
        <v>1.1200000000000001</v>
      </c>
      <c r="CE38" s="226" t="s">
        <v>185</v>
      </c>
      <c r="CF38" s="227">
        <f>VLOOKUP(CE38,DATA!$B$13:$C$19,2,0)</f>
        <v>100</v>
      </c>
      <c r="CG38" s="4">
        <f>VLOOKUP($CE$1,DATA!$B$24:$C$45,2,0)</f>
        <v>0.13</v>
      </c>
      <c r="CH38" s="4">
        <f t="shared" si="70"/>
        <v>0.13</v>
      </c>
      <c r="CI38" s="79">
        <f t="shared" si="71"/>
        <v>0.91</v>
      </c>
      <c r="CJ38" s="226" t="s">
        <v>185</v>
      </c>
      <c r="CK38" s="227">
        <f>VLOOKUP(CJ38,DATA!$B$13:$C$19,2,0)</f>
        <v>100</v>
      </c>
      <c r="CL38" s="4">
        <f>VLOOKUP($CJ$1,DATA!$B$24:$C$45,2,0)</f>
        <v>0.01</v>
      </c>
      <c r="CM38" s="4">
        <f t="shared" si="72"/>
        <v>0.01</v>
      </c>
      <c r="CN38" s="79">
        <f t="shared" si="73"/>
        <v>7.0000000000000007E-2</v>
      </c>
      <c r="CO38" s="83">
        <f t="shared" si="74"/>
        <v>1</v>
      </c>
      <c r="CP38" s="4">
        <f>VLOOKUP($CO$1,DATA!$B$24:$C$45,2,0)</f>
        <v>0.54</v>
      </c>
      <c r="CQ38" s="81">
        <f t="shared" si="75"/>
        <v>0.54</v>
      </c>
      <c r="CR38" s="80">
        <f t="shared" si="76"/>
        <v>3.7800000000000002</v>
      </c>
      <c r="CS38" s="129">
        <f t="shared" si="77"/>
        <v>3.7800000000000002</v>
      </c>
      <c r="CT38" s="242">
        <f t="shared" si="78"/>
        <v>0</v>
      </c>
      <c r="CU38" s="226" t="s">
        <v>185</v>
      </c>
      <c r="CV38" s="227">
        <f>VLOOKUP(CU38,DATA!$B$13:$C$19,2,0)</f>
        <v>100</v>
      </c>
      <c r="CW38" s="4">
        <f>VLOOKUP($CU$1,DATA!$B$24:$C$45,2,0)</f>
        <v>0.02</v>
      </c>
      <c r="CX38" s="4">
        <f t="shared" si="79"/>
        <v>0.02</v>
      </c>
      <c r="CY38" s="69">
        <f t="shared" si="80"/>
        <v>0.14000000000000001</v>
      </c>
      <c r="CZ38" s="87">
        <v>45916</v>
      </c>
      <c r="DA38" s="86">
        <v>45922</v>
      </c>
      <c r="DB38" s="226" t="s">
        <v>185</v>
      </c>
      <c r="DC38" s="227">
        <f>VLOOKUP(DB38,DATA!$B$13:$C$19,2,0)</f>
        <v>100</v>
      </c>
      <c r="DD38" s="4">
        <f>VLOOKUP($DB$1,DATA!$B$24:$C$45,2,0)</f>
        <v>0.01</v>
      </c>
      <c r="DE38" s="4">
        <f t="shared" si="81"/>
        <v>0.01</v>
      </c>
      <c r="DF38" s="69">
        <f t="shared" si="82"/>
        <v>7.0000000000000007E-2</v>
      </c>
      <c r="DG38" s="87">
        <v>45919</v>
      </c>
      <c r="DH38" s="86">
        <v>45952</v>
      </c>
      <c r="DI38" s="226" t="s">
        <v>185</v>
      </c>
      <c r="DJ38" s="227">
        <f>VLOOKUP(DI38,DATA!$B$13:$C$19,2,0)</f>
        <v>100</v>
      </c>
      <c r="DK38" s="4">
        <f>VLOOKUP($DI$1,DATA!$B$24:$C$45,2,0)</f>
        <v>0.03</v>
      </c>
      <c r="DL38" s="4">
        <f t="shared" si="83"/>
        <v>0.03</v>
      </c>
      <c r="DM38" s="79">
        <f t="shared" si="84"/>
        <v>0.21</v>
      </c>
      <c r="DN38" s="226" t="s">
        <v>185</v>
      </c>
      <c r="DO38" s="227">
        <f>VLOOKUP(DN38,DATA!$B$13:$C$19,2,0)</f>
        <v>100</v>
      </c>
      <c r="DP38" s="4">
        <f>VLOOKUP($DN$1,DATA!$B$24:$C$45,2,0)</f>
        <v>7.0000000000000007E-2</v>
      </c>
      <c r="DQ38" s="4">
        <f t="shared" si="85"/>
        <v>7.0000000000000007E-2</v>
      </c>
      <c r="DR38" s="69">
        <f t="shared" si="86"/>
        <v>0.49000000000000005</v>
      </c>
      <c r="DS38" s="87">
        <v>45919</v>
      </c>
      <c r="DT38" s="86">
        <v>45939</v>
      </c>
      <c r="DU38" s="226" t="s">
        <v>185</v>
      </c>
      <c r="DV38" s="227">
        <f>VLOOKUP(DU38,DATA!$B$13:$C$19,2,0)</f>
        <v>100</v>
      </c>
      <c r="DW38" s="4">
        <f>VLOOKUP($DU$1,DATA!$B$24:$C$45,2,0)</f>
        <v>0.04</v>
      </c>
      <c r="DX38" s="4">
        <f t="shared" si="87"/>
        <v>0.04</v>
      </c>
      <c r="DY38" s="69">
        <f t="shared" si="88"/>
        <v>0.28000000000000003</v>
      </c>
      <c r="DZ38" s="87">
        <v>45923</v>
      </c>
      <c r="EA38" s="86">
        <v>45953</v>
      </c>
      <c r="EB38" s="226" t="s">
        <v>220</v>
      </c>
      <c r="EC38" s="227">
        <f>VLOOKUP(EB38,DATA!$B$13:$C$19,2,0)</f>
        <v>50</v>
      </c>
      <c r="ED38" s="4">
        <f>VLOOKUP($EB$1,DATA!$B$24:$C$45,2,0)</f>
        <v>0.05</v>
      </c>
      <c r="EE38" s="4">
        <f t="shared" si="89"/>
        <v>2.5000000000000001E-2</v>
      </c>
      <c r="EF38" s="69">
        <f t="shared" si="90"/>
        <v>0.35000000000000003</v>
      </c>
      <c r="EG38" s="87"/>
      <c r="EH38" s="86"/>
      <c r="EI38" s="226" t="s">
        <v>185</v>
      </c>
      <c r="EJ38" s="227">
        <f>VLOOKUP(EI38,DATA!$B$13:$C$19,2,0)</f>
        <v>100</v>
      </c>
      <c r="EK38" s="4">
        <f>VLOOKUP($EI$1,DATA!$B$24:$C$45,2,0)</f>
        <v>0.1</v>
      </c>
      <c r="EL38" s="4">
        <f t="shared" si="91"/>
        <v>0.1</v>
      </c>
      <c r="EM38" s="69">
        <f t="shared" si="92"/>
        <v>0.70000000000000007</v>
      </c>
      <c r="EN38" s="87"/>
      <c r="EO38" s="86">
        <v>45986</v>
      </c>
      <c r="EP38" s="226" t="s">
        <v>193</v>
      </c>
      <c r="EQ38" s="227">
        <f>VLOOKUP(EP38,DATA!$B$13:$C$19,2,0)</f>
        <v>0</v>
      </c>
      <c r="ER38" s="4">
        <f>VLOOKUP($EP$1,DATA!$B$24:$C$45,2,0)</f>
        <v>0.03</v>
      </c>
      <c r="ES38" s="4">
        <f t="shared" si="93"/>
        <v>0</v>
      </c>
      <c r="ET38" s="79">
        <f t="shared" si="94"/>
        <v>0.21</v>
      </c>
      <c r="EU38" s="244">
        <f t="shared" si="95"/>
        <v>0.56000000000000005</v>
      </c>
      <c r="EV38" s="85" t="s">
        <v>187</v>
      </c>
      <c r="EW38" s="134" t="s">
        <v>187</v>
      </c>
      <c r="EX38" s="6"/>
    </row>
    <row r="39" spans="1:154" x14ac:dyDescent="0.3">
      <c r="A39" s="3" t="s">
        <v>180</v>
      </c>
      <c r="B39" s="3" t="s">
        <v>194</v>
      </c>
      <c r="C39" s="3" t="s">
        <v>202</v>
      </c>
      <c r="D39" s="85" t="s">
        <v>281</v>
      </c>
      <c r="E39" s="85" t="s">
        <v>282</v>
      </c>
      <c r="F39" s="3">
        <v>3332</v>
      </c>
      <c r="G39" s="3" t="s">
        <v>283</v>
      </c>
      <c r="H39" s="3">
        <v>100</v>
      </c>
      <c r="I39" s="3"/>
      <c r="J39" s="229">
        <f>BaseDeDatos[[#This Row],[Budget CS]]+BaseDeDatos[[#This Row],[Change Orders Budget]]</f>
        <v>100</v>
      </c>
      <c r="K39" s="92">
        <f>IFERROR(VLOOKUP(G39, DATA!H:I, 2, FALSE), 0)+BaseDeDatos[[#This Row],[Labor Spend on Design errors]]+BaseDeDatos[[#This Row],[Labor
Spent Customer changes]]</f>
        <v>28</v>
      </c>
      <c r="L39" s="92"/>
      <c r="M39" s="92"/>
      <c r="N39" s="232">
        <f t="shared" si="48"/>
        <v>0.40225</v>
      </c>
      <c r="O39" s="238">
        <f t="shared" si="49"/>
        <v>28.000000000000004</v>
      </c>
      <c r="P39" s="39">
        <v>34</v>
      </c>
      <c r="Q39" s="89">
        <f>BaseDeDatos[[#This Row],[Budget]]*BaseDeDatos[[#This Row],[Labor Rate from CS]]</f>
        <v>3400</v>
      </c>
      <c r="R39" s="94">
        <f>BaseDeDatos[[#This Row],[Labor
Spent]]*BaseDeDatos[[#This Row],[Labor Rate from CS]]</f>
        <v>952</v>
      </c>
      <c r="S39" s="42">
        <f t="shared" si="50"/>
        <v>0.28000000000000003</v>
      </c>
      <c r="T39" s="39">
        <v>172749</v>
      </c>
      <c r="U39" s="89">
        <v>8193</v>
      </c>
      <c r="V39" s="39">
        <v>6820.28</v>
      </c>
      <c r="W39" s="98">
        <v>40552.730000000003</v>
      </c>
      <c r="X39" s="98">
        <v>40552.730000000003</v>
      </c>
      <c r="Y39" s="98"/>
      <c r="Z39" s="98"/>
      <c r="AA39" s="39">
        <v>139545.12</v>
      </c>
      <c r="AB39" s="89">
        <f t="shared" si="51"/>
        <v>95592.389999999985</v>
      </c>
      <c r="AC39" s="175">
        <f>SUM(AB39,X39,R39,BaseDeDatos[[#This Row],[Additionals cost]])</f>
        <v>143917.4</v>
      </c>
      <c r="AD39" s="224">
        <v>0.19220000000000001</v>
      </c>
      <c r="AE39" s="117">
        <v>0.1651</v>
      </c>
      <c r="AF39" s="241">
        <f t="shared" si="52"/>
        <v>0.20637966066373759</v>
      </c>
      <c r="AG39" s="226">
        <v>45955</v>
      </c>
      <c r="AH39" s="226" t="s">
        <v>185</v>
      </c>
      <c r="AI39" s="227">
        <f>VLOOKUP(AH39,DATA!$B$13:$C$19,2,0)</f>
        <v>100</v>
      </c>
      <c r="AJ39" s="4">
        <f>VLOOKUP($AH$1,DATA!$B$24:$C$45,2,0)</f>
        <v>0.05</v>
      </c>
      <c r="AK39" s="3">
        <f>BaseDeDatos[[#This Row],[Read info
Status]]*(AJ39)/100</f>
        <v>0.05</v>
      </c>
      <c r="AL39" s="84">
        <f t="shared" si="53"/>
        <v>5</v>
      </c>
      <c r="AM39" s="226" t="s">
        <v>185</v>
      </c>
      <c r="AN39" s="227">
        <f>VLOOKUP(AM39,DATA!$B$13:$C$19,2,0)</f>
        <v>100</v>
      </c>
      <c r="AO39" s="9">
        <f>VLOOKUP($AM$1,DATA!$B$24:$C$45,2,0)</f>
        <v>0.05</v>
      </c>
      <c r="AP39" s="9">
        <f t="shared" si="54"/>
        <v>0.05</v>
      </c>
      <c r="AQ39" s="3">
        <f t="shared" si="55"/>
        <v>5</v>
      </c>
      <c r="AR39" s="6">
        <v>45986</v>
      </c>
      <c r="AS39" s="95">
        <v>45986</v>
      </c>
      <c r="AT39" s="226" t="s">
        <v>237</v>
      </c>
      <c r="AU39" s="227">
        <f>VLOOKUP(AT39,DATA!$B$13:$C$19,2,0)</f>
        <v>25</v>
      </c>
      <c r="AV39" s="9">
        <f>VLOOKUP($AT$1,DATA!$B$24:$C$45,2,0)</f>
        <v>0.01</v>
      </c>
      <c r="AW39" s="9">
        <f t="shared" si="56"/>
        <v>2.5000000000000001E-3</v>
      </c>
      <c r="AX39" s="3">
        <f t="shared" si="57"/>
        <v>1</v>
      </c>
      <c r="AY39" s="6">
        <v>46055</v>
      </c>
      <c r="AZ39" s="95"/>
      <c r="BA39" s="226" t="s">
        <v>220</v>
      </c>
      <c r="BB39" s="227">
        <f>VLOOKUP(BA39,DATA!$B$13:$C$19,2,0)</f>
        <v>50</v>
      </c>
      <c r="BC39" s="9">
        <f>VLOOKUP($BA$1,DATA!$B$24:$C$45,2,0)</f>
        <v>0.01</v>
      </c>
      <c r="BD39" s="9">
        <f t="shared" si="58"/>
        <v>5.0000000000000001E-3</v>
      </c>
      <c r="BE39" s="84">
        <f t="shared" si="59"/>
        <v>1</v>
      </c>
      <c r="BF39" s="226" t="s">
        <v>220</v>
      </c>
      <c r="BG39" s="227">
        <f>VLOOKUP(BF39,DATA!$B$13:$C$19,2,0)</f>
        <v>50</v>
      </c>
      <c r="BH39" s="9">
        <f>VLOOKUP($BF$1,DATA!$B$24:$C$45,2,0)</f>
        <v>0.08</v>
      </c>
      <c r="BI39" s="9">
        <f t="shared" si="60"/>
        <v>0.04</v>
      </c>
      <c r="BJ39" s="84">
        <f t="shared" si="61"/>
        <v>8</v>
      </c>
      <c r="BK39" s="226" t="s">
        <v>220</v>
      </c>
      <c r="BL39" s="227">
        <f>VLOOKUP(BK39,DATA!$B$13:$C$19,2,0)</f>
        <v>50</v>
      </c>
      <c r="BM39" s="9">
        <f>VLOOKUP($BK$1,DATA!$B$24:$C$45,2,0)</f>
        <v>0.18</v>
      </c>
      <c r="BN39" s="9">
        <f t="shared" si="62"/>
        <v>0.09</v>
      </c>
      <c r="BO39" s="84">
        <f t="shared" si="63"/>
        <v>18</v>
      </c>
      <c r="BP39" s="226" t="s">
        <v>220</v>
      </c>
      <c r="BQ39" s="227">
        <f>VLOOKUP(BP39,DATA!$B$13:$C$19,2,0)</f>
        <v>50</v>
      </c>
      <c r="BR39" s="9">
        <f>VLOOKUP($BP$1,DATA!$B$24:$C$45,2,0)</f>
        <v>0.28000000000000003</v>
      </c>
      <c r="BS39" s="9">
        <f t="shared" si="64"/>
        <v>0.14000000000000001</v>
      </c>
      <c r="BT39" s="84">
        <f t="shared" si="65"/>
        <v>28.000000000000004</v>
      </c>
      <c r="BU39" s="226" t="s">
        <v>220</v>
      </c>
      <c r="BV39" s="227">
        <f>VLOOKUP(BU39,DATA!$B$13:$C$19,2,0)</f>
        <v>50</v>
      </c>
      <c r="BW39" s="9">
        <f>VLOOKUP($BU$1,DATA!$B$24:$C$45,2,0)</f>
        <v>0.15</v>
      </c>
      <c r="BX39" s="9">
        <f t="shared" si="66"/>
        <v>7.4999999999999997E-2</v>
      </c>
      <c r="BY39" s="84">
        <f t="shared" si="67"/>
        <v>15</v>
      </c>
      <c r="BZ39" s="226" t="s">
        <v>220</v>
      </c>
      <c r="CA39" s="227">
        <f>VLOOKUP(BZ39,DATA!$B$13:$C$19,2,0)</f>
        <v>50</v>
      </c>
      <c r="CB39" s="9">
        <f>VLOOKUP($BZ$1,DATA!$B$24:$C$45,2,0)</f>
        <v>0.16</v>
      </c>
      <c r="CC39" s="9">
        <f t="shared" si="68"/>
        <v>0.08</v>
      </c>
      <c r="CD39" s="84">
        <f t="shared" si="69"/>
        <v>16</v>
      </c>
      <c r="CE39" s="226" t="s">
        <v>237</v>
      </c>
      <c r="CF39" s="227">
        <f>VLOOKUP(CE39,DATA!$B$13:$C$19,2,0)</f>
        <v>25</v>
      </c>
      <c r="CG39" s="9">
        <f>VLOOKUP($CE$1,DATA!$B$24:$C$45,2,0)</f>
        <v>0.13</v>
      </c>
      <c r="CH39" s="9">
        <f t="shared" si="70"/>
        <v>3.2500000000000001E-2</v>
      </c>
      <c r="CI39" s="84">
        <f t="shared" si="71"/>
        <v>13</v>
      </c>
      <c r="CJ39" s="226" t="s">
        <v>193</v>
      </c>
      <c r="CK39" s="227">
        <f>VLOOKUP(CJ39,DATA!$B$13:$C$19,2,0)</f>
        <v>0</v>
      </c>
      <c r="CL39" s="9">
        <f>VLOOKUP($CJ$1,DATA!$B$24:$C$45,2,0)</f>
        <v>0.01</v>
      </c>
      <c r="CM39" s="9">
        <f t="shared" si="72"/>
        <v>0</v>
      </c>
      <c r="CN39" s="84">
        <f t="shared" si="73"/>
        <v>1</v>
      </c>
      <c r="CO39" s="96">
        <f t="shared" si="74"/>
        <v>0.46249999999999997</v>
      </c>
      <c r="CP39" s="9">
        <f>VLOOKUP($CO$1,DATA!$B$24:$C$45,2,0)</f>
        <v>0.54</v>
      </c>
      <c r="CQ39" s="9">
        <f t="shared" si="75"/>
        <v>0.24975</v>
      </c>
      <c r="CR39" s="3">
        <f t="shared" si="76"/>
        <v>54</v>
      </c>
      <c r="CS39" s="7">
        <f t="shared" si="77"/>
        <v>24.975000000000001</v>
      </c>
      <c r="CT39" s="243">
        <f t="shared" si="78"/>
        <v>29.024999999999999</v>
      </c>
      <c r="CU39" s="226" t="s">
        <v>193</v>
      </c>
      <c r="CV39" s="227">
        <f>VLOOKUP(CU39,DATA!$B$13:$C$19,2,0)</f>
        <v>0</v>
      </c>
      <c r="CW39" s="9">
        <f>VLOOKUP($CU$1,DATA!$B$24:$C$45,2,0)</f>
        <v>0.02</v>
      </c>
      <c r="CX39" s="9">
        <f t="shared" si="79"/>
        <v>0</v>
      </c>
      <c r="CY39" s="3">
        <f t="shared" si="80"/>
        <v>2</v>
      </c>
      <c r="CZ39" s="6">
        <v>46071</v>
      </c>
      <c r="DA39" s="95"/>
      <c r="DB39" s="226" t="s">
        <v>193</v>
      </c>
      <c r="DC39" s="227">
        <f>VLOOKUP(DB39,DATA!$B$13:$C$19,2,0)</f>
        <v>0</v>
      </c>
      <c r="DD39" s="9">
        <f>VLOOKUP($DB$1,DATA!$B$24:$C$45,2,0)</f>
        <v>0.01</v>
      </c>
      <c r="DE39" s="9">
        <f t="shared" si="81"/>
        <v>0</v>
      </c>
      <c r="DF39" s="3">
        <f t="shared" si="82"/>
        <v>1</v>
      </c>
      <c r="DG39" s="6">
        <v>46076</v>
      </c>
      <c r="DH39" s="95"/>
      <c r="DI39" s="226" t="s">
        <v>220</v>
      </c>
      <c r="DJ39" s="227">
        <f>VLOOKUP(DI39,DATA!$B$13:$C$19,2,0)</f>
        <v>50</v>
      </c>
      <c r="DK39" s="9">
        <f>VLOOKUP($DI$1,DATA!$B$24:$C$45,2,0)</f>
        <v>0.03</v>
      </c>
      <c r="DL39" s="9">
        <f t="shared" si="83"/>
        <v>1.4999999999999999E-2</v>
      </c>
      <c r="DM39" s="84">
        <f t="shared" si="84"/>
        <v>3</v>
      </c>
      <c r="DN39" s="226" t="s">
        <v>220</v>
      </c>
      <c r="DO39" s="227">
        <f>VLOOKUP(DN39,DATA!$B$13:$C$19,2,0)</f>
        <v>50</v>
      </c>
      <c r="DP39" s="9">
        <f>VLOOKUP($DN$1,DATA!$B$24:$C$45,2,0)</f>
        <v>7.0000000000000007E-2</v>
      </c>
      <c r="DQ39" s="9">
        <f t="shared" si="85"/>
        <v>3.5000000000000003E-2</v>
      </c>
      <c r="DR39" s="3">
        <f t="shared" si="86"/>
        <v>7.0000000000000009</v>
      </c>
      <c r="DS39" s="6">
        <v>46077</v>
      </c>
      <c r="DT39" s="95"/>
      <c r="DU39" s="226" t="s">
        <v>193</v>
      </c>
      <c r="DV39" s="227">
        <f>VLOOKUP(DU39,DATA!$B$13:$C$19,2,0)</f>
        <v>0</v>
      </c>
      <c r="DW39" s="9">
        <f>VLOOKUP($DU$1,DATA!$B$24:$C$45,2,0)</f>
        <v>0.04</v>
      </c>
      <c r="DX39" s="9">
        <f t="shared" si="87"/>
        <v>0</v>
      </c>
      <c r="DY39" s="3">
        <f t="shared" si="88"/>
        <v>4</v>
      </c>
      <c r="DZ39" s="6">
        <v>46079</v>
      </c>
      <c r="EA39" s="95"/>
      <c r="EB39" s="226" t="s">
        <v>193</v>
      </c>
      <c r="EC39" s="227">
        <f>VLOOKUP(EB39,DATA!$B$13:$C$19,2,0)</f>
        <v>0</v>
      </c>
      <c r="ED39" s="9">
        <f>VLOOKUP($EB$1,DATA!$B$24:$C$45,2,0)</f>
        <v>0.05</v>
      </c>
      <c r="EE39" s="9">
        <f t="shared" si="89"/>
        <v>0</v>
      </c>
      <c r="EF39" s="3">
        <f t="shared" si="90"/>
        <v>5</v>
      </c>
      <c r="EG39" s="6">
        <v>46106</v>
      </c>
      <c r="EH39" s="95"/>
      <c r="EI39" s="226" t="s">
        <v>193</v>
      </c>
      <c r="EJ39" s="227">
        <f>VLOOKUP(EI39,DATA!$B$13:$C$19,2,0)</f>
        <v>0</v>
      </c>
      <c r="EK39" s="9">
        <f>VLOOKUP($EI$1,DATA!$B$24:$C$45,2,0)</f>
        <v>0.1</v>
      </c>
      <c r="EL39" s="9">
        <f t="shared" si="91"/>
        <v>0</v>
      </c>
      <c r="EM39" s="3">
        <f t="shared" si="92"/>
        <v>10</v>
      </c>
      <c r="EN39" s="6">
        <v>46118</v>
      </c>
      <c r="EO39" s="95"/>
      <c r="EP39" s="226" t="s">
        <v>193</v>
      </c>
      <c r="EQ39" s="227">
        <f>VLOOKUP(EP39,DATA!$B$13:$C$19,2,0)</f>
        <v>0</v>
      </c>
      <c r="ER39" s="9">
        <f>VLOOKUP($EP$1,DATA!$B$24:$C$45,2,0)</f>
        <v>0.03</v>
      </c>
      <c r="ES39" s="9">
        <f t="shared" si="93"/>
        <v>0</v>
      </c>
      <c r="ET39" s="84">
        <f t="shared" si="94"/>
        <v>3</v>
      </c>
      <c r="EU39" s="245">
        <f t="shared" si="95"/>
        <v>65.025000000000006</v>
      </c>
      <c r="EV39" s="85" t="s">
        <v>186</v>
      </c>
      <c r="EW39" s="134" t="s">
        <v>239</v>
      </c>
      <c r="EX39" s="6"/>
    </row>
    <row r="40" spans="1:154" x14ac:dyDescent="0.3">
      <c r="A40" s="3" t="s">
        <v>180</v>
      </c>
      <c r="B40" s="3" t="s">
        <v>194</v>
      </c>
      <c r="C40" s="3" t="s">
        <v>202</v>
      </c>
      <c r="D40" s="85" t="s">
        <v>284</v>
      </c>
      <c r="E40" s="85" t="s">
        <v>282</v>
      </c>
      <c r="F40" s="3">
        <v>3332</v>
      </c>
      <c r="G40" s="3" t="s">
        <v>285</v>
      </c>
      <c r="H40" s="3">
        <v>64</v>
      </c>
      <c r="I40" s="3"/>
      <c r="J40" s="229">
        <f>BaseDeDatos[[#This Row],[Budget CS]]+BaseDeDatos[[#This Row],[Change Orders Budget]]</f>
        <v>64</v>
      </c>
      <c r="K40" s="92">
        <f>IFERROR(VLOOKUP(G40, DATA!H:I, 2, FALSE), 0)+BaseDeDatos[[#This Row],[Labor Spend on Design errors]]+BaseDeDatos[[#This Row],[Labor
Spent Customer changes]]</f>
        <v>19</v>
      </c>
      <c r="L40" s="92"/>
      <c r="M40" s="92"/>
      <c r="N40" s="232">
        <f t="shared" si="48"/>
        <v>0.40225</v>
      </c>
      <c r="O40" s="238">
        <f t="shared" si="49"/>
        <v>19</v>
      </c>
      <c r="P40" s="39">
        <v>34</v>
      </c>
      <c r="Q40" s="89">
        <f>BaseDeDatos[[#This Row],[Budget]]*BaseDeDatos[[#This Row],[Labor Rate from CS]]</f>
        <v>2176</v>
      </c>
      <c r="R40" s="94">
        <f>BaseDeDatos[[#This Row],[Labor
Spent]]*BaseDeDatos[[#This Row],[Labor Rate from CS]]</f>
        <v>646</v>
      </c>
      <c r="S40" s="42">
        <f t="shared" si="50"/>
        <v>0.296875</v>
      </c>
      <c r="T40" s="39">
        <v>141762</v>
      </c>
      <c r="U40" s="89">
        <v>8193</v>
      </c>
      <c r="V40" s="39">
        <v>6820.28</v>
      </c>
      <c r="W40" s="98">
        <v>34658.33</v>
      </c>
      <c r="X40" s="98">
        <v>34658.33</v>
      </c>
      <c r="Y40" s="98"/>
      <c r="Z40" s="98"/>
      <c r="AA40" s="39">
        <v>119560.78</v>
      </c>
      <c r="AB40" s="89">
        <f t="shared" si="51"/>
        <v>82726.45</v>
      </c>
      <c r="AC40" s="175">
        <f>SUM(AB40,X40,R40,BaseDeDatos[[#This Row],[Additionals cost]])</f>
        <v>124851.06</v>
      </c>
      <c r="AD40" s="224">
        <v>0.15659999999999999</v>
      </c>
      <c r="AE40" s="117">
        <v>0.1651</v>
      </c>
      <c r="AF40" s="241">
        <f t="shared" si="52"/>
        <v>0.16740184252479509</v>
      </c>
      <c r="AG40" s="226">
        <v>45955</v>
      </c>
      <c r="AH40" s="226" t="s">
        <v>185</v>
      </c>
      <c r="AI40" s="227">
        <f>VLOOKUP(AH40,DATA!$B$13:$C$19,2,0)</f>
        <v>100</v>
      </c>
      <c r="AJ40" s="4">
        <f>VLOOKUP($AH$1,DATA!$B$24:$C$45,2,0)</f>
        <v>0.05</v>
      </c>
      <c r="AK40" s="3">
        <f>BaseDeDatos[[#This Row],[Read info
Status]]*(AJ40)/100</f>
        <v>0.05</v>
      </c>
      <c r="AL40" s="84">
        <f t="shared" si="53"/>
        <v>3.2</v>
      </c>
      <c r="AM40" s="226" t="s">
        <v>185</v>
      </c>
      <c r="AN40" s="227">
        <f>VLOOKUP(AM40,DATA!$B$13:$C$19,2,0)</f>
        <v>100</v>
      </c>
      <c r="AO40" s="9">
        <f>VLOOKUP($AM$1,DATA!$B$24:$C$45,2,0)</f>
        <v>0.05</v>
      </c>
      <c r="AP40" s="9">
        <f t="shared" si="54"/>
        <v>0.05</v>
      </c>
      <c r="AQ40" s="3">
        <f t="shared" si="55"/>
        <v>3.2</v>
      </c>
      <c r="AR40" s="6">
        <v>45986</v>
      </c>
      <c r="AS40" s="95">
        <v>45986</v>
      </c>
      <c r="AT40" s="226" t="s">
        <v>237</v>
      </c>
      <c r="AU40" s="227">
        <f>VLOOKUP(AT40,DATA!$B$13:$C$19,2,0)</f>
        <v>25</v>
      </c>
      <c r="AV40" s="9">
        <f>VLOOKUP($AT$1,DATA!$B$24:$C$45,2,0)</f>
        <v>0.01</v>
      </c>
      <c r="AW40" s="9">
        <f t="shared" si="56"/>
        <v>2.5000000000000001E-3</v>
      </c>
      <c r="AX40" s="3">
        <f t="shared" si="57"/>
        <v>0.64</v>
      </c>
      <c r="AY40" s="6">
        <v>46055</v>
      </c>
      <c r="AZ40" s="95"/>
      <c r="BA40" s="226" t="s">
        <v>220</v>
      </c>
      <c r="BB40" s="227">
        <f>VLOOKUP(BA40,DATA!$B$13:$C$19,2,0)</f>
        <v>50</v>
      </c>
      <c r="BC40" s="9">
        <f>VLOOKUP($BA$1,DATA!$B$24:$C$45,2,0)</f>
        <v>0.01</v>
      </c>
      <c r="BD40" s="9">
        <f t="shared" si="58"/>
        <v>5.0000000000000001E-3</v>
      </c>
      <c r="BE40" s="84">
        <f t="shared" si="59"/>
        <v>0.64</v>
      </c>
      <c r="BF40" s="226" t="s">
        <v>220</v>
      </c>
      <c r="BG40" s="227">
        <f>VLOOKUP(BF40,DATA!$B$13:$C$19,2,0)</f>
        <v>50</v>
      </c>
      <c r="BH40" s="9">
        <f>VLOOKUP($BF$1,DATA!$B$24:$C$45,2,0)</f>
        <v>0.08</v>
      </c>
      <c r="BI40" s="9">
        <f t="shared" si="60"/>
        <v>0.04</v>
      </c>
      <c r="BJ40" s="84">
        <f t="shared" si="61"/>
        <v>5.12</v>
      </c>
      <c r="BK40" s="226" t="s">
        <v>220</v>
      </c>
      <c r="BL40" s="227">
        <f>VLOOKUP(BK40,DATA!$B$13:$C$19,2,0)</f>
        <v>50</v>
      </c>
      <c r="BM40" s="9">
        <f>VLOOKUP($BK$1,DATA!$B$24:$C$45,2,0)</f>
        <v>0.18</v>
      </c>
      <c r="BN40" s="9">
        <f t="shared" si="62"/>
        <v>0.09</v>
      </c>
      <c r="BO40" s="84">
        <f t="shared" si="63"/>
        <v>11.52</v>
      </c>
      <c r="BP40" s="226" t="s">
        <v>220</v>
      </c>
      <c r="BQ40" s="227">
        <f>VLOOKUP(BP40,DATA!$B$13:$C$19,2,0)</f>
        <v>50</v>
      </c>
      <c r="BR40" s="9">
        <f>VLOOKUP($BP$1,DATA!$B$24:$C$45,2,0)</f>
        <v>0.28000000000000003</v>
      </c>
      <c r="BS40" s="9">
        <f t="shared" si="64"/>
        <v>0.14000000000000001</v>
      </c>
      <c r="BT40" s="84">
        <f t="shared" si="65"/>
        <v>17.920000000000002</v>
      </c>
      <c r="BU40" s="226" t="s">
        <v>220</v>
      </c>
      <c r="BV40" s="227">
        <f>VLOOKUP(BU40,DATA!$B$13:$C$19,2,0)</f>
        <v>50</v>
      </c>
      <c r="BW40" s="9">
        <f>VLOOKUP($BU$1,DATA!$B$24:$C$45,2,0)</f>
        <v>0.15</v>
      </c>
      <c r="BX40" s="9">
        <f t="shared" si="66"/>
        <v>7.4999999999999997E-2</v>
      </c>
      <c r="BY40" s="84">
        <f t="shared" si="67"/>
        <v>9.6</v>
      </c>
      <c r="BZ40" s="226" t="s">
        <v>220</v>
      </c>
      <c r="CA40" s="227">
        <f>VLOOKUP(BZ40,DATA!$B$13:$C$19,2,0)</f>
        <v>50</v>
      </c>
      <c r="CB40" s="9">
        <f>VLOOKUP($BZ$1,DATA!$B$24:$C$45,2,0)</f>
        <v>0.16</v>
      </c>
      <c r="CC40" s="9">
        <f t="shared" si="68"/>
        <v>0.08</v>
      </c>
      <c r="CD40" s="84">
        <f t="shared" si="69"/>
        <v>10.24</v>
      </c>
      <c r="CE40" s="226" t="s">
        <v>237</v>
      </c>
      <c r="CF40" s="227">
        <f>VLOOKUP(CE40,DATA!$B$13:$C$19,2,0)</f>
        <v>25</v>
      </c>
      <c r="CG40" s="9">
        <f>VLOOKUP($CE$1,DATA!$B$24:$C$45,2,0)</f>
        <v>0.13</v>
      </c>
      <c r="CH40" s="9">
        <f t="shared" si="70"/>
        <v>3.2500000000000001E-2</v>
      </c>
      <c r="CI40" s="84">
        <f t="shared" si="71"/>
        <v>8.32</v>
      </c>
      <c r="CJ40" s="226" t="s">
        <v>193</v>
      </c>
      <c r="CK40" s="227">
        <f>VLOOKUP(CJ40,DATA!$B$13:$C$19,2,0)</f>
        <v>0</v>
      </c>
      <c r="CL40" s="9">
        <f>VLOOKUP($CJ$1,DATA!$B$24:$C$45,2,0)</f>
        <v>0.01</v>
      </c>
      <c r="CM40" s="9">
        <f t="shared" si="72"/>
        <v>0</v>
      </c>
      <c r="CN40" s="84">
        <f t="shared" si="73"/>
        <v>0.64</v>
      </c>
      <c r="CO40" s="96">
        <f t="shared" si="74"/>
        <v>0.46249999999999997</v>
      </c>
      <c r="CP40" s="9">
        <f>VLOOKUP($CO$1,DATA!$B$24:$C$45,2,0)</f>
        <v>0.54</v>
      </c>
      <c r="CQ40" s="9">
        <f t="shared" si="75"/>
        <v>0.24975</v>
      </c>
      <c r="CR40" s="3">
        <f t="shared" si="76"/>
        <v>34.56</v>
      </c>
      <c r="CS40" s="7">
        <f t="shared" si="77"/>
        <v>15.984</v>
      </c>
      <c r="CT40" s="243">
        <f t="shared" si="78"/>
        <v>18.576000000000001</v>
      </c>
      <c r="CU40" s="226" t="s">
        <v>193</v>
      </c>
      <c r="CV40" s="227">
        <f>VLOOKUP(CU40,DATA!$B$13:$C$19,2,0)</f>
        <v>0</v>
      </c>
      <c r="CW40" s="9">
        <f>VLOOKUP($CU$1,DATA!$B$24:$C$45,2,0)</f>
        <v>0.02</v>
      </c>
      <c r="CX40" s="9">
        <f t="shared" si="79"/>
        <v>0</v>
      </c>
      <c r="CY40" s="3">
        <f t="shared" si="80"/>
        <v>1.28</v>
      </c>
      <c r="CZ40" s="6">
        <v>46071</v>
      </c>
      <c r="DA40" s="95"/>
      <c r="DB40" s="226" t="s">
        <v>193</v>
      </c>
      <c r="DC40" s="227">
        <f>VLOOKUP(DB40,DATA!$B$13:$C$19,2,0)</f>
        <v>0</v>
      </c>
      <c r="DD40" s="9">
        <f>VLOOKUP($DB$1,DATA!$B$24:$C$45,2,0)</f>
        <v>0.01</v>
      </c>
      <c r="DE40" s="9">
        <f t="shared" si="81"/>
        <v>0</v>
      </c>
      <c r="DF40" s="3">
        <f t="shared" si="82"/>
        <v>0.64</v>
      </c>
      <c r="DG40" s="6">
        <v>46076</v>
      </c>
      <c r="DH40" s="95"/>
      <c r="DI40" s="226" t="s">
        <v>220</v>
      </c>
      <c r="DJ40" s="227">
        <f>VLOOKUP(DI40,DATA!$B$13:$C$19,2,0)</f>
        <v>50</v>
      </c>
      <c r="DK40" s="9">
        <f>VLOOKUP($DI$1,DATA!$B$24:$C$45,2,0)</f>
        <v>0.03</v>
      </c>
      <c r="DL40" s="9">
        <f t="shared" si="83"/>
        <v>1.4999999999999999E-2</v>
      </c>
      <c r="DM40" s="84">
        <f t="shared" si="84"/>
        <v>1.92</v>
      </c>
      <c r="DN40" s="226" t="s">
        <v>220</v>
      </c>
      <c r="DO40" s="227">
        <f>VLOOKUP(DN40,DATA!$B$13:$C$19,2,0)</f>
        <v>50</v>
      </c>
      <c r="DP40" s="9">
        <f>VLOOKUP($DN$1,DATA!$B$24:$C$45,2,0)</f>
        <v>7.0000000000000007E-2</v>
      </c>
      <c r="DQ40" s="9">
        <f t="shared" si="85"/>
        <v>3.5000000000000003E-2</v>
      </c>
      <c r="DR40" s="3">
        <f t="shared" si="86"/>
        <v>4.4800000000000004</v>
      </c>
      <c r="DS40" s="6">
        <v>46077</v>
      </c>
      <c r="DT40" s="95"/>
      <c r="DU40" s="226" t="s">
        <v>193</v>
      </c>
      <c r="DV40" s="227">
        <f>VLOOKUP(DU40,DATA!$B$13:$C$19,2,0)</f>
        <v>0</v>
      </c>
      <c r="DW40" s="9">
        <f>VLOOKUP($DU$1,DATA!$B$24:$C$45,2,0)</f>
        <v>0.04</v>
      </c>
      <c r="DX40" s="9">
        <f t="shared" si="87"/>
        <v>0</v>
      </c>
      <c r="DY40" s="3">
        <f t="shared" si="88"/>
        <v>2.56</v>
      </c>
      <c r="DZ40" s="6">
        <v>46079</v>
      </c>
      <c r="EA40" s="95"/>
      <c r="EB40" s="226" t="s">
        <v>193</v>
      </c>
      <c r="EC40" s="227">
        <f>VLOOKUP(EB40,DATA!$B$13:$C$19,2,0)</f>
        <v>0</v>
      </c>
      <c r="ED40" s="9">
        <f>VLOOKUP($EB$1,DATA!$B$24:$C$45,2,0)</f>
        <v>0.05</v>
      </c>
      <c r="EE40" s="9">
        <f t="shared" si="89"/>
        <v>0</v>
      </c>
      <c r="EF40" s="3">
        <f t="shared" si="90"/>
        <v>3.2</v>
      </c>
      <c r="EG40" s="6">
        <v>46106</v>
      </c>
      <c r="EH40" s="95"/>
      <c r="EI40" s="226" t="s">
        <v>193</v>
      </c>
      <c r="EJ40" s="227">
        <f>VLOOKUP(EI40,DATA!$B$13:$C$19,2,0)</f>
        <v>0</v>
      </c>
      <c r="EK40" s="9">
        <f>VLOOKUP($EI$1,DATA!$B$24:$C$45,2,0)</f>
        <v>0.1</v>
      </c>
      <c r="EL40" s="9">
        <f t="shared" si="91"/>
        <v>0</v>
      </c>
      <c r="EM40" s="3">
        <f t="shared" si="92"/>
        <v>6.4</v>
      </c>
      <c r="EN40" s="6">
        <v>46118</v>
      </c>
      <c r="EO40" s="95"/>
      <c r="EP40" s="226" t="s">
        <v>193</v>
      </c>
      <c r="EQ40" s="227">
        <f>VLOOKUP(EP40,DATA!$B$13:$C$19,2,0)</f>
        <v>0</v>
      </c>
      <c r="ER40" s="9">
        <f>VLOOKUP($EP$1,DATA!$B$24:$C$45,2,0)</f>
        <v>0.03</v>
      </c>
      <c r="ES40" s="9">
        <f t="shared" si="93"/>
        <v>0</v>
      </c>
      <c r="ET40" s="84">
        <f t="shared" si="94"/>
        <v>1.92</v>
      </c>
      <c r="EU40" s="245">
        <f t="shared" si="95"/>
        <v>41.616000000000007</v>
      </c>
      <c r="EV40" s="85" t="s">
        <v>186</v>
      </c>
      <c r="EW40" s="134" t="s">
        <v>239</v>
      </c>
      <c r="EX40" s="6"/>
    </row>
    <row r="41" spans="1:154" x14ac:dyDescent="0.3">
      <c r="A41" s="3" t="s">
        <v>180</v>
      </c>
      <c r="B41" s="3" t="s">
        <v>194</v>
      </c>
      <c r="C41" s="3" t="s">
        <v>202</v>
      </c>
      <c r="D41" s="85" t="s">
        <v>286</v>
      </c>
      <c r="E41" s="85" t="s">
        <v>282</v>
      </c>
      <c r="F41" s="3">
        <v>3332</v>
      </c>
      <c r="G41" s="3" t="s">
        <v>287</v>
      </c>
      <c r="H41" s="3">
        <v>95</v>
      </c>
      <c r="I41" s="3"/>
      <c r="J41" s="229">
        <f>BaseDeDatos[[#This Row],[Budget CS]]+BaseDeDatos[[#This Row],[Change Orders Budget]]</f>
        <v>95</v>
      </c>
      <c r="K41" s="92">
        <f>IFERROR(VLOOKUP(G41, DATA!H:I, 2, FALSE), 0)+BaseDeDatos[[#This Row],[Labor Spend on Design errors]]+BaseDeDatos[[#This Row],[Labor
Spent Customer changes]]</f>
        <v>30</v>
      </c>
      <c r="L41" s="92"/>
      <c r="M41" s="92"/>
      <c r="N41" s="232">
        <f t="shared" si="48"/>
        <v>0.58385000000000009</v>
      </c>
      <c r="O41" s="238">
        <f t="shared" si="49"/>
        <v>30</v>
      </c>
      <c r="P41" s="39">
        <v>34</v>
      </c>
      <c r="Q41" s="89">
        <f>BaseDeDatos[[#This Row],[Budget]]*BaseDeDatos[[#This Row],[Labor Rate from CS]]</f>
        <v>3230</v>
      </c>
      <c r="R41" s="94">
        <f>BaseDeDatos[[#This Row],[Labor
Spent]]*BaseDeDatos[[#This Row],[Labor Rate from CS]]</f>
        <v>1020</v>
      </c>
      <c r="S41" s="42">
        <f t="shared" si="50"/>
        <v>0.31578947368421051</v>
      </c>
      <c r="T41" s="39">
        <v>150156</v>
      </c>
      <c r="U41" s="89">
        <v>8193</v>
      </c>
      <c r="V41" s="39">
        <v>6820.28</v>
      </c>
      <c r="W41" s="98">
        <v>36425.730000000003</v>
      </c>
      <c r="X41" s="98">
        <v>36425.730000000003</v>
      </c>
      <c r="Y41" s="98"/>
      <c r="Z41" s="98"/>
      <c r="AA41" s="39">
        <v>127680.17</v>
      </c>
      <c r="AB41" s="89">
        <f t="shared" si="51"/>
        <v>88024.44</v>
      </c>
      <c r="AC41" s="175">
        <f>SUM(AB41,X41,R41,BaseDeDatos[[#This Row],[Additionals cost]])</f>
        <v>132290.45000000001</v>
      </c>
      <c r="AD41" s="224">
        <v>0.1497</v>
      </c>
      <c r="AE41" s="117">
        <v>0.1651</v>
      </c>
      <c r="AF41" s="241">
        <f t="shared" si="52"/>
        <v>0.16440122272836241</v>
      </c>
      <c r="AG41" s="226">
        <v>45955</v>
      </c>
      <c r="AH41" s="226" t="s">
        <v>185</v>
      </c>
      <c r="AI41" s="227">
        <f>VLOOKUP(AH41,DATA!$B$13:$C$19,2,0)</f>
        <v>100</v>
      </c>
      <c r="AJ41" s="4">
        <f>VLOOKUP($AH$1,DATA!$B$24:$C$45,2,0)</f>
        <v>0.05</v>
      </c>
      <c r="AK41" s="3">
        <f>BaseDeDatos[[#This Row],[Read info
Status]]*(AJ41)/100</f>
        <v>0.05</v>
      </c>
      <c r="AL41" s="84">
        <f t="shared" si="53"/>
        <v>4.75</v>
      </c>
      <c r="AM41" s="226" t="s">
        <v>185</v>
      </c>
      <c r="AN41" s="227">
        <f>VLOOKUP(AM41,DATA!$B$13:$C$19,2,0)</f>
        <v>100</v>
      </c>
      <c r="AO41" s="9">
        <f>VLOOKUP($AM$1,DATA!$B$24:$C$45,2,0)</f>
        <v>0.05</v>
      </c>
      <c r="AP41" s="9">
        <f t="shared" si="54"/>
        <v>0.05</v>
      </c>
      <c r="AQ41" s="3">
        <f t="shared" si="55"/>
        <v>4.75</v>
      </c>
      <c r="AR41" s="6">
        <v>45986</v>
      </c>
      <c r="AS41" s="95">
        <v>45986</v>
      </c>
      <c r="AT41" s="226" t="s">
        <v>237</v>
      </c>
      <c r="AU41" s="227">
        <f>VLOOKUP(AT41,DATA!$B$13:$C$19,2,0)</f>
        <v>25</v>
      </c>
      <c r="AV41" s="9">
        <f>VLOOKUP($AT$1,DATA!$B$24:$C$45,2,0)</f>
        <v>0.01</v>
      </c>
      <c r="AW41" s="9">
        <f t="shared" si="56"/>
        <v>2.5000000000000001E-3</v>
      </c>
      <c r="AX41" s="3">
        <f t="shared" si="57"/>
        <v>0.95000000000000007</v>
      </c>
      <c r="AY41" s="6">
        <v>46055</v>
      </c>
      <c r="AZ41" s="95"/>
      <c r="BA41" s="226" t="s">
        <v>185</v>
      </c>
      <c r="BB41" s="227">
        <f>VLOOKUP(BA41,DATA!$B$13:$C$19,2,0)</f>
        <v>100</v>
      </c>
      <c r="BC41" s="9">
        <f>VLOOKUP($BA$1,DATA!$B$24:$C$45,2,0)</f>
        <v>0.01</v>
      </c>
      <c r="BD41" s="9">
        <f t="shared" si="58"/>
        <v>0.01</v>
      </c>
      <c r="BE41" s="84">
        <f t="shared" si="59"/>
        <v>0.95000000000000007</v>
      </c>
      <c r="BF41" s="226" t="s">
        <v>201</v>
      </c>
      <c r="BG41" s="227">
        <f>VLOOKUP(BF41,DATA!$B$13:$C$19,2,0)</f>
        <v>75</v>
      </c>
      <c r="BH41" s="9">
        <f>VLOOKUP($BF$1,DATA!$B$24:$C$45,2,0)</f>
        <v>0.08</v>
      </c>
      <c r="BI41" s="9">
        <f t="shared" si="60"/>
        <v>0.06</v>
      </c>
      <c r="BJ41" s="84">
        <f t="shared" si="61"/>
        <v>7.6000000000000005</v>
      </c>
      <c r="BK41" s="226" t="s">
        <v>201</v>
      </c>
      <c r="BL41" s="227">
        <f>VLOOKUP(BK41,DATA!$B$13:$C$19,2,0)</f>
        <v>75</v>
      </c>
      <c r="BM41" s="9">
        <f>VLOOKUP($BK$1,DATA!$B$24:$C$45,2,0)</f>
        <v>0.18</v>
      </c>
      <c r="BN41" s="9">
        <f t="shared" si="62"/>
        <v>0.13500000000000001</v>
      </c>
      <c r="BO41" s="84">
        <f t="shared" si="63"/>
        <v>17.099999999999998</v>
      </c>
      <c r="BP41" s="226" t="s">
        <v>201</v>
      </c>
      <c r="BQ41" s="227">
        <f>VLOOKUP(BP41,DATA!$B$13:$C$19,2,0)</f>
        <v>75</v>
      </c>
      <c r="BR41" s="9">
        <f>VLOOKUP($BP$1,DATA!$B$24:$C$45,2,0)</f>
        <v>0.28000000000000003</v>
      </c>
      <c r="BS41" s="9">
        <f t="shared" si="64"/>
        <v>0.21000000000000005</v>
      </c>
      <c r="BT41" s="84">
        <f t="shared" si="65"/>
        <v>26.6</v>
      </c>
      <c r="BU41" s="226" t="s">
        <v>201</v>
      </c>
      <c r="BV41" s="227">
        <f>VLOOKUP(BU41,DATA!$B$13:$C$19,2,0)</f>
        <v>75</v>
      </c>
      <c r="BW41" s="9">
        <f>VLOOKUP($BU$1,DATA!$B$24:$C$45,2,0)</f>
        <v>0.15</v>
      </c>
      <c r="BX41" s="9">
        <f t="shared" si="66"/>
        <v>0.1125</v>
      </c>
      <c r="BY41" s="84">
        <f t="shared" si="67"/>
        <v>14.25</v>
      </c>
      <c r="BZ41" s="226" t="s">
        <v>201</v>
      </c>
      <c r="CA41" s="227">
        <f>VLOOKUP(BZ41,DATA!$B$13:$C$19,2,0)</f>
        <v>75</v>
      </c>
      <c r="CB41" s="9">
        <f>VLOOKUP($BZ$1,DATA!$B$24:$C$45,2,0)</f>
        <v>0.16</v>
      </c>
      <c r="CC41" s="9">
        <f t="shared" si="68"/>
        <v>0.12</v>
      </c>
      <c r="CD41" s="84">
        <f t="shared" si="69"/>
        <v>15.200000000000001</v>
      </c>
      <c r="CE41" s="226" t="s">
        <v>201</v>
      </c>
      <c r="CF41" s="227">
        <f>VLOOKUP(CE41,DATA!$B$13:$C$19,2,0)</f>
        <v>75</v>
      </c>
      <c r="CG41" s="9">
        <f>VLOOKUP($CE$1,DATA!$B$24:$C$45,2,0)</f>
        <v>0.13</v>
      </c>
      <c r="CH41" s="9">
        <f t="shared" si="70"/>
        <v>9.7500000000000003E-2</v>
      </c>
      <c r="CI41" s="84">
        <f t="shared" si="71"/>
        <v>12.35</v>
      </c>
      <c r="CJ41" s="226" t="s">
        <v>201</v>
      </c>
      <c r="CK41" s="227">
        <f>VLOOKUP(CJ41,DATA!$B$13:$C$19,2,0)</f>
        <v>75</v>
      </c>
      <c r="CL41" s="9">
        <f>VLOOKUP($CJ$1,DATA!$B$24:$C$45,2,0)</f>
        <v>0.01</v>
      </c>
      <c r="CM41" s="9">
        <f t="shared" si="72"/>
        <v>7.4999999999999997E-3</v>
      </c>
      <c r="CN41" s="84">
        <f t="shared" si="73"/>
        <v>0.95000000000000007</v>
      </c>
      <c r="CO41" s="96">
        <f t="shared" si="74"/>
        <v>0.75250000000000017</v>
      </c>
      <c r="CP41" s="9">
        <f>VLOOKUP($CO$1,DATA!$B$24:$C$45,2,0)</f>
        <v>0.54</v>
      </c>
      <c r="CQ41" s="9">
        <f t="shared" si="75"/>
        <v>0.4063500000000001</v>
      </c>
      <c r="CR41" s="3">
        <f t="shared" si="76"/>
        <v>51.300000000000004</v>
      </c>
      <c r="CS41" s="7">
        <f t="shared" si="77"/>
        <v>38.60325000000001</v>
      </c>
      <c r="CT41" s="243">
        <f t="shared" si="78"/>
        <v>12.696749999999994</v>
      </c>
      <c r="CU41" s="226" t="s">
        <v>193</v>
      </c>
      <c r="CV41" s="227">
        <f>VLOOKUP(CU41,DATA!$B$13:$C$19,2,0)</f>
        <v>0</v>
      </c>
      <c r="CW41" s="9">
        <f>VLOOKUP($CU$1,DATA!$B$24:$C$45,2,0)</f>
        <v>0.02</v>
      </c>
      <c r="CX41" s="9">
        <f t="shared" si="79"/>
        <v>0</v>
      </c>
      <c r="CY41" s="3">
        <f t="shared" si="80"/>
        <v>1.9000000000000001</v>
      </c>
      <c r="CZ41" s="6">
        <v>46071</v>
      </c>
      <c r="DA41" s="95"/>
      <c r="DB41" s="226" t="s">
        <v>193</v>
      </c>
      <c r="DC41" s="227">
        <f>VLOOKUP(DB41,DATA!$B$13:$C$19,2,0)</f>
        <v>0</v>
      </c>
      <c r="DD41" s="9">
        <f>VLOOKUP($DB$1,DATA!$B$24:$C$45,2,0)</f>
        <v>0.01</v>
      </c>
      <c r="DE41" s="9">
        <f t="shared" si="81"/>
        <v>0</v>
      </c>
      <c r="DF41" s="3">
        <f t="shared" si="82"/>
        <v>0.95000000000000007</v>
      </c>
      <c r="DG41" s="6">
        <v>46076</v>
      </c>
      <c r="DH41" s="95"/>
      <c r="DI41" s="226" t="s">
        <v>201</v>
      </c>
      <c r="DJ41" s="227">
        <f>VLOOKUP(DI41,DATA!$B$13:$C$19,2,0)</f>
        <v>75</v>
      </c>
      <c r="DK41" s="9">
        <f>VLOOKUP($DI$1,DATA!$B$24:$C$45,2,0)</f>
        <v>0.03</v>
      </c>
      <c r="DL41" s="9">
        <f t="shared" si="83"/>
        <v>2.2499999999999999E-2</v>
      </c>
      <c r="DM41" s="84">
        <f t="shared" si="84"/>
        <v>2.85</v>
      </c>
      <c r="DN41" s="226" t="s">
        <v>201</v>
      </c>
      <c r="DO41" s="227">
        <f>VLOOKUP(DN41,DATA!$B$13:$C$19,2,0)</f>
        <v>75</v>
      </c>
      <c r="DP41" s="9">
        <f>VLOOKUP($DN$1,DATA!$B$24:$C$45,2,0)</f>
        <v>7.0000000000000007E-2</v>
      </c>
      <c r="DQ41" s="9">
        <f t="shared" si="85"/>
        <v>5.2500000000000012E-2</v>
      </c>
      <c r="DR41" s="3">
        <f t="shared" si="86"/>
        <v>6.65</v>
      </c>
      <c r="DS41" s="6">
        <v>46077</v>
      </c>
      <c r="DT41" s="95"/>
      <c r="DU41" s="226" t="s">
        <v>193</v>
      </c>
      <c r="DV41" s="227">
        <f>VLOOKUP(DU41,DATA!$B$13:$C$19,2,0)</f>
        <v>0</v>
      </c>
      <c r="DW41" s="9">
        <f>VLOOKUP($DU$1,DATA!$B$24:$C$45,2,0)</f>
        <v>0.04</v>
      </c>
      <c r="DX41" s="9">
        <f t="shared" si="87"/>
        <v>0</v>
      </c>
      <c r="DY41" s="3">
        <f t="shared" si="88"/>
        <v>3.8000000000000003</v>
      </c>
      <c r="DZ41" s="6">
        <v>46079</v>
      </c>
      <c r="EA41" s="95"/>
      <c r="EB41" s="226" t="s">
        <v>193</v>
      </c>
      <c r="EC41" s="227">
        <f>VLOOKUP(EB41,DATA!$B$13:$C$19,2,0)</f>
        <v>0</v>
      </c>
      <c r="ED41" s="9">
        <f>VLOOKUP($EB$1,DATA!$B$24:$C$45,2,0)</f>
        <v>0.05</v>
      </c>
      <c r="EE41" s="9">
        <f t="shared" si="89"/>
        <v>0</v>
      </c>
      <c r="EF41" s="3">
        <f t="shared" si="90"/>
        <v>4.75</v>
      </c>
      <c r="EG41" s="6">
        <v>46106</v>
      </c>
      <c r="EH41" s="95"/>
      <c r="EI41" s="226" t="s">
        <v>193</v>
      </c>
      <c r="EJ41" s="227">
        <f>VLOOKUP(EI41,DATA!$B$13:$C$19,2,0)</f>
        <v>0</v>
      </c>
      <c r="EK41" s="9">
        <f>VLOOKUP($EI$1,DATA!$B$24:$C$45,2,0)</f>
        <v>0.1</v>
      </c>
      <c r="EL41" s="9">
        <f t="shared" si="91"/>
        <v>0</v>
      </c>
      <c r="EM41" s="3">
        <f t="shared" si="92"/>
        <v>9.5</v>
      </c>
      <c r="EN41" s="6">
        <v>46118</v>
      </c>
      <c r="EO41" s="95"/>
      <c r="EP41" s="226" t="s">
        <v>193</v>
      </c>
      <c r="EQ41" s="227">
        <f>VLOOKUP(EP41,DATA!$B$13:$C$19,2,0)</f>
        <v>0</v>
      </c>
      <c r="ER41" s="9">
        <f>VLOOKUP($EP$1,DATA!$B$24:$C$45,2,0)</f>
        <v>0.03</v>
      </c>
      <c r="ES41" s="9">
        <f t="shared" si="93"/>
        <v>0</v>
      </c>
      <c r="ET41" s="84">
        <f t="shared" si="94"/>
        <v>2.85</v>
      </c>
      <c r="EU41" s="245">
        <f t="shared" si="95"/>
        <v>46.896750000000004</v>
      </c>
      <c r="EV41" s="85" t="s">
        <v>186</v>
      </c>
      <c r="EW41" s="134" t="s">
        <v>239</v>
      </c>
      <c r="EX41" s="6"/>
    </row>
    <row r="42" spans="1:154" x14ac:dyDescent="0.3">
      <c r="A42" s="3" t="s">
        <v>180</v>
      </c>
      <c r="B42" s="3" t="s">
        <v>189</v>
      </c>
      <c r="C42" s="3" t="s">
        <v>202</v>
      </c>
      <c r="D42" s="85" t="s">
        <v>288</v>
      </c>
      <c r="E42" s="85"/>
      <c r="F42" s="3">
        <v>3334</v>
      </c>
      <c r="G42" s="3" t="s">
        <v>289</v>
      </c>
      <c r="H42" s="3">
        <v>30</v>
      </c>
      <c r="I42" s="3"/>
      <c r="J42" s="229">
        <f>BaseDeDatos[[#This Row],[Budget CS]]+BaseDeDatos[[#This Row],[Change Orders Budget]]</f>
        <v>30</v>
      </c>
      <c r="K42" s="92">
        <f>IFERROR(VLOOKUP(G42, DATA!H:I, 2, FALSE), 0)+BaseDeDatos[[#This Row],[Labor Spend on Design errors]]+BaseDeDatos[[#This Row],[Labor
Spent Customer changes]]</f>
        <v>32</v>
      </c>
      <c r="L42" s="92"/>
      <c r="M42" s="92">
        <v>7.5</v>
      </c>
      <c r="N42" s="232">
        <f t="shared" si="48"/>
        <v>1</v>
      </c>
      <c r="O42" s="238">
        <f t="shared" si="49"/>
        <v>32</v>
      </c>
      <c r="P42" s="39">
        <v>33.43</v>
      </c>
      <c r="Q42" s="89">
        <f>BaseDeDatos[[#This Row],[Budget]]*BaseDeDatos[[#This Row],[Labor Rate from CS]]</f>
        <v>1002.9</v>
      </c>
      <c r="R42" s="89">
        <f>BaseDeDatos[[#This Row],[Labor
Spent]]*BaseDeDatos[[#This Row],[Labor Rate from CS]]</f>
        <v>1069.76</v>
      </c>
      <c r="S42" s="93">
        <f t="shared" si="50"/>
        <v>1.0666666666666667</v>
      </c>
      <c r="T42" s="98">
        <v>68888</v>
      </c>
      <c r="U42" s="98">
        <v>8635.1</v>
      </c>
      <c r="V42" s="98"/>
      <c r="W42" s="98">
        <v>17054</v>
      </c>
      <c r="X42" s="98">
        <v>17054</v>
      </c>
      <c r="Y42" s="98"/>
      <c r="Z42" s="98"/>
      <c r="AA42" s="98"/>
      <c r="AB42" s="89">
        <f t="shared" si="51"/>
        <v>-18056.900000000001</v>
      </c>
      <c r="AC42" s="120">
        <f>SUM(AB42,X42,R42,BaseDeDatos[[#This Row],[Additionals cost]])</f>
        <v>66.859999999998536</v>
      </c>
      <c r="AD42" s="117">
        <v>0.1517</v>
      </c>
      <c r="AE42" s="117">
        <v>0.19980000000000001</v>
      </c>
      <c r="AF42" s="240">
        <f t="shared" si="52"/>
        <v>0.99902943908953667</v>
      </c>
      <c r="AG42" s="226">
        <v>45896</v>
      </c>
      <c r="AH42" s="226" t="s">
        <v>185</v>
      </c>
      <c r="AI42" s="227">
        <f>VLOOKUP(AH42,DATA!$B$13:$C$19,2,0)</f>
        <v>100</v>
      </c>
      <c r="AJ42" s="4">
        <f>VLOOKUP($AH$1,DATA!$B$24:$C$45,2,0)</f>
        <v>0.05</v>
      </c>
      <c r="AK42" s="69">
        <f>BaseDeDatos[[#This Row],[Read info
Status]]*(AJ42)/100</f>
        <v>0.05</v>
      </c>
      <c r="AL42" s="79">
        <f t="shared" si="53"/>
        <v>1.5</v>
      </c>
      <c r="AM42" s="226" t="s">
        <v>185</v>
      </c>
      <c r="AN42" s="227">
        <f>VLOOKUP(AM42,DATA!$B$13:$C$19,2,0)</f>
        <v>100</v>
      </c>
      <c r="AO42" s="4">
        <f>VLOOKUP($AM$1,DATA!$B$24:$C$45,2,0)</f>
        <v>0.05</v>
      </c>
      <c r="AP42" s="4">
        <f t="shared" si="54"/>
        <v>0.05</v>
      </c>
      <c r="AQ42" s="69">
        <f t="shared" si="55"/>
        <v>1.5</v>
      </c>
      <c r="AR42" s="5">
        <v>45887</v>
      </c>
      <c r="AS42" s="95">
        <v>45863</v>
      </c>
      <c r="AT42" s="226" t="s">
        <v>185</v>
      </c>
      <c r="AU42" s="227">
        <f>VLOOKUP(AT42,DATA!$B$13:$C$19,2,0)</f>
        <v>100</v>
      </c>
      <c r="AV42" s="4">
        <f>VLOOKUP($AT$1,DATA!$B$24:$C$45,2,0)</f>
        <v>0.01</v>
      </c>
      <c r="AW42" s="4">
        <f t="shared" si="56"/>
        <v>0.01</v>
      </c>
      <c r="AX42" s="69">
        <f t="shared" si="57"/>
        <v>0.3</v>
      </c>
      <c r="AY42" s="5">
        <v>45887</v>
      </c>
      <c r="AZ42" s="95">
        <v>45883</v>
      </c>
      <c r="BA42" s="226" t="s">
        <v>185</v>
      </c>
      <c r="BB42" s="227">
        <f>VLOOKUP(BA42,DATA!$B$13:$C$19,2,0)</f>
        <v>100</v>
      </c>
      <c r="BC42" s="4">
        <f>VLOOKUP($BA$1,DATA!$B$24:$C$45,2,0)</f>
        <v>0.01</v>
      </c>
      <c r="BD42" s="4">
        <f t="shared" si="58"/>
        <v>0.01</v>
      </c>
      <c r="BE42" s="79">
        <f t="shared" si="59"/>
        <v>0.3</v>
      </c>
      <c r="BF42" s="226" t="s">
        <v>185</v>
      </c>
      <c r="BG42" s="227">
        <f>VLOOKUP(BF42,DATA!$B$13:$C$19,2,0)</f>
        <v>100</v>
      </c>
      <c r="BH42" s="4">
        <f>VLOOKUP($BF$1,DATA!$B$24:$C$45,2,0)</f>
        <v>0.08</v>
      </c>
      <c r="BI42" s="4">
        <f t="shared" si="60"/>
        <v>0.08</v>
      </c>
      <c r="BJ42" s="79">
        <f t="shared" si="61"/>
        <v>2.4</v>
      </c>
      <c r="BK42" s="226" t="s">
        <v>185</v>
      </c>
      <c r="BL42" s="227">
        <f>VLOOKUP(BK42,DATA!$B$13:$C$19,2,0)</f>
        <v>100</v>
      </c>
      <c r="BM42" s="4">
        <f>VLOOKUP($BK$1,DATA!$B$24:$C$45,2,0)</f>
        <v>0.18</v>
      </c>
      <c r="BN42" s="4">
        <f t="shared" si="62"/>
        <v>0.18</v>
      </c>
      <c r="BO42" s="79">
        <f t="shared" si="63"/>
        <v>5.3999999999999995</v>
      </c>
      <c r="BP42" s="226" t="s">
        <v>185</v>
      </c>
      <c r="BQ42" s="227">
        <f>VLOOKUP(BP42,DATA!$B$13:$C$19,2,0)</f>
        <v>100</v>
      </c>
      <c r="BR42" s="4">
        <f>VLOOKUP($BP$1,DATA!$B$24:$C$45,2,0)</f>
        <v>0.28000000000000003</v>
      </c>
      <c r="BS42" s="4">
        <f t="shared" si="64"/>
        <v>0.28000000000000003</v>
      </c>
      <c r="BT42" s="79">
        <f t="shared" si="65"/>
        <v>8.4</v>
      </c>
      <c r="BU42" s="226" t="s">
        <v>185</v>
      </c>
      <c r="BV42" s="227">
        <f>VLOOKUP(BU42,DATA!$B$13:$C$19,2,0)</f>
        <v>100</v>
      </c>
      <c r="BW42" s="4">
        <f>VLOOKUP($BU$1,DATA!$B$24:$C$45,2,0)</f>
        <v>0.15</v>
      </c>
      <c r="BX42" s="4">
        <f t="shared" si="66"/>
        <v>0.15</v>
      </c>
      <c r="BY42" s="79">
        <f t="shared" si="67"/>
        <v>4.5</v>
      </c>
      <c r="BZ42" s="226" t="s">
        <v>185</v>
      </c>
      <c r="CA42" s="227">
        <f>VLOOKUP(BZ42,DATA!$B$13:$C$19,2,0)</f>
        <v>100</v>
      </c>
      <c r="CB42" s="4">
        <f>VLOOKUP($BZ$1,DATA!$B$24:$C$45,2,0)</f>
        <v>0.16</v>
      </c>
      <c r="CC42" s="4">
        <f t="shared" si="68"/>
        <v>0.16</v>
      </c>
      <c r="CD42" s="79">
        <f t="shared" si="69"/>
        <v>4.8</v>
      </c>
      <c r="CE42" s="226" t="s">
        <v>185</v>
      </c>
      <c r="CF42" s="227">
        <f>VLOOKUP(CE42,DATA!$B$13:$C$19,2,0)</f>
        <v>100</v>
      </c>
      <c r="CG42" s="4">
        <f>VLOOKUP($CE$1,DATA!$B$24:$C$45,2,0)</f>
        <v>0.13</v>
      </c>
      <c r="CH42" s="4">
        <f t="shared" si="70"/>
        <v>0.13</v>
      </c>
      <c r="CI42" s="79">
        <f t="shared" si="71"/>
        <v>3.9000000000000004</v>
      </c>
      <c r="CJ42" s="226" t="s">
        <v>185</v>
      </c>
      <c r="CK42" s="227">
        <f>VLOOKUP(CJ42,DATA!$B$13:$C$19,2,0)</f>
        <v>100</v>
      </c>
      <c r="CL42" s="4">
        <f>VLOOKUP($CJ$1,DATA!$B$24:$C$45,2,0)</f>
        <v>0.01</v>
      </c>
      <c r="CM42" s="4">
        <f t="shared" si="72"/>
        <v>0.01</v>
      </c>
      <c r="CN42" s="79">
        <f t="shared" si="73"/>
        <v>0.3</v>
      </c>
      <c r="CO42" s="83">
        <f t="shared" si="74"/>
        <v>1</v>
      </c>
      <c r="CP42" s="4">
        <f>VLOOKUP($CO$1,DATA!$B$24:$C$45,2,0)</f>
        <v>0.54</v>
      </c>
      <c r="CQ42" s="81">
        <f t="shared" si="75"/>
        <v>0.54</v>
      </c>
      <c r="CR42" s="80">
        <f t="shared" si="76"/>
        <v>16.200000000000003</v>
      </c>
      <c r="CS42" s="129">
        <f t="shared" si="77"/>
        <v>16.200000000000003</v>
      </c>
      <c r="CT42" s="242">
        <f t="shared" si="78"/>
        <v>0</v>
      </c>
      <c r="CU42" s="226" t="s">
        <v>185</v>
      </c>
      <c r="CV42" s="227">
        <f>VLOOKUP(CU42,DATA!$B$13:$C$19,2,0)</f>
        <v>100</v>
      </c>
      <c r="CW42" s="4">
        <f>VLOOKUP($CU$1,DATA!$B$24:$C$45,2,0)</f>
        <v>0.02</v>
      </c>
      <c r="CX42" s="4">
        <f t="shared" si="79"/>
        <v>0.02</v>
      </c>
      <c r="CY42" s="69">
        <f t="shared" si="80"/>
        <v>0.6</v>
      </c>
      <c r="CZ42" s="5">
        <v>45895</v>
      </c>
      <c r="DA42" s="86">
        <v>45901</v>
      </c>
      <c r="DB42" s="226" t="s">
        <v>185</v>
      </c>
      <c r="DC42" s="227">
        <f>VLOOKUP(DB42,DATA!$B$13:$C$19,2,0)</f>
        <v>100</v>
      </c>
      <c r="DD42" s="4">
        <f>VLOOKUP($DB$1,DATA!$B$24:$C$45,2,0)</f>
        <v>0.01</v>
      </c>
      <c r="DE42" s="4">
        <f t="shared" si="81"/>
        <v>0.01</v>
      </c>
      <c r="DF42" s="69">
        <f t="shared" si="82"/>
        <v>0.3</v>
      </c>
      <c r="DG42" s="5">
        <v>45897</v>
      </c>
      <c r="DH42" s="86">
        <v>45905</v>
      </c>
      <c r="DI42" s="226" t="s">
        <v>185</v>
      </c>
      <c r="DJ42" s="227">
        <f>VLOOKUP(DI42,DATA!$B$13:$C$19,2,0)</f>
        <v>100</v>
      </c>
      <c r="DK42" s="4">
        <f>VLOOKUP($DI$1,DATA!$B$24:$C$45,2,0)</f>
        <v>0.03</v>
      </c>
      <c r="DL42" s="4">
        <f t="shared" si="83"/>
        <v>0.03</v>
      </c>
      <c r="DM42" s="79">
        <f t="shared" si="84"/>
        <v>0.89999999999999991</v>
      </c>
      <c r="DN42" s="226" t="s">
        <v>185</v>
      </c>
      <c r="DO42" s="227">
        <f>VLOOKUP(DN42,DATA!$B$13:$C$19,2,0)</f>
        <v>100</v>
      </c>
      <c r="DP42" s="4">
        <f>VLOOKUP($DN$1,DATA!$B$24:$C$45,2,0)</f>
        <v>7.0000000000000007E-2</v>
      </c>
      <c r="DQ42" s="4">
        <f t="shared" si="85"/>
        <v>7.0000000000000007E-2</v>
      </c>
      <c r="DR42" s="69">
        <f t="shared" si="86"/>
        <v>2.1</v>
      </c>
      <c r="DS42" s="5">
        <v>45898</v>
      </c>
      <c r="DT42" s="86">
        <v>45903</v>
      </c>
      <c r="DU42" s="226" t="s">
        <v>185</v>
      </c>
      <c r="DV42" s="227">
        <f>VLOOKUP(DU42,DATA!$B$13:$C$19,2,0)</f>
        <v>100</v>
      </c>
      <c r="DW42" s="4">
        <f>VLOOKUP($DU$1,DATA!$B$24:$C$45,2,0)</f>
        <v>0.04</v>
      </c>
      <c r="DX42" s="4">
        <f t="shared" si="87"/>
        <v>0.04</v>
      </c>
      <c r="DY42" s="69">
        <f t="shared" si="88"/>
        <v>1.2</v>
      </c>
      <c r="DZ42" s="5">
        <v>45902</v>
      </c>
      <c r="EA42" s="86">
        <v>45902</v>
      </c>
      <c r="EB42" s="226" t="s">
        <v>185</v>
      </c>
      <c r="EC42" s="227">
        <f>VLOOKUP(EB42,DATA!$B$13:$C$19,2,0)</f>
        <v>100</v>
      </c>
      <c r="ED42" s="4">
        <f>VLOOKUP($EB$1,DATA!$B$24:$C$45,2,0)</f>
        <v>0.05</v>
      </c>
      <c r="EE42" s="4">
        <f t="shared" si="89"/>
        <v>0.05</v>
      </c>
      <c r="EF42" s="69">
        <f t="shared" si="90"/>
        <v>1.5</v>
      </c>
      <c r="EG42" s="87"/>
      <c r="EH42" s="86"/>
      <c r="EI42" s="226" t="s">
        <v>185</v>
      </c>
      <c r="EJ42" s="227">
        <f>VLOOKUP(EI42,DATA!$B$13:$C$19,2,0)</f>
        <v>100</v>
      </c>
      <c r="EK42" s="4">
        <f>VLOOKUP($EI$1,DATA!$B$24:$C$45,2,0)</f>
        <v>0.1</v>
      </c>
      <c r="EL42" s="4">
        <f t="shared" si="91"/>
        <v>0.1</v>
      </c>
      <c r="EM42" s="69">
        <f t="shared" si="92"/>
        <v>3</v>
      </c>
      <c r="EN42" s="87"/>
      <c r="EO42" s="86"/>
      <c r="EP42" s="226" t="s">
        <v>185</v>
      </c>
      <c r="EQ42" s="227">
        <f>VLOOKUP(EP42,DATA!$B$13:$C$19,2,0)</f>
        <v>100</v>
      </c>
      <c r="ER42" s="4">
        <f>VLOOKUP($EP$1,DATA!$B$24:$C$45,2,0)</f>
        <v>0.03</v>
      </c>
      <c r="ES42" s="4">
        <f t="shared" si="93"/>
        <v>0.03</v>
      </c>
      <c r="ET42" s="79">
        <f t="shared" si="94"/>
        <v>0.89999999999999991</v>
      </c>
      <c r="EU42" s="244">
        <f t="shared" si="95"/>
        <v>0</v>
      </c>
      <c r="EV42" s="85" t="s">
        <v>239</v>
      </c>
      <c r="EW42" s="134" t="s">
        <v>197</v>
      </c>
      <c r="EX42" s="6"/>
    </row>
    <row r="43" spans="1:154" x14ac:dyDescent="0.3">
      <c r="A43" s="3" t="s">
        <v>180</v>
      </c>
      <c r="B43" s="3" t="s">
        <v>189</v>
      </c>
      <c r="C43" s="3" t="s">
        <v>202</v>
      </c>
      <c r="D43" s="85" t="s">
        <v>290</v>
      </c>
      <c r="E43" s="85"/>
      <c r="F43" s="3">
        <v>3334</v>
      </c>
      <c r="G43" s="3" t="s">
        <v>291</v>
      </c>
      <c r="H43" s="3">
        <v>20</v>
      </c>
      <c r="I43" s="3"/>
      <c r="J43" s="229">
        <f>BaseDeDatos[[#This Row],[Budget CS]]+BaseDeDatos[[#This Row],[Change Orders Budget]]</f>
        <v>20</v>
      </c>
      <c r="K43" s="92">
        <f>IFERROR(VLOOKUP(G43, DATA!H:I, 2, FALSE), 0)+BaseDeDatos[[#This Row],[Labor Spend on Design errors]]+BaseDeDatos[[#This Row],[Labor
Spent Customer changes]]</f>
        <v>22.5</v>
      </c>
      <c r="L43" s="92"/>
      <c r="M43" s="92">
        <v>2.5</v>
      </c>
      <c r="N43" s="232">
        <f t="shared" si="48"/>
        <v>1</v>
      </c>
      <c r="O43" s="238">
        <f t="shared" si="49"/>
        <v>22.5</v>
      </c>
      <c r="P43" s="39">
        <v>33.43</v>
      </c>
      <c r="Q43" s="89">
        <f>BaseDeDatos[[#This Row],[Budget]]*BaseDeDatos[[#This Row],[Labor Rate from CS]]</f>
        <v>668.6</v>
      </c>
      <c r="R43" s="89">
        <f>BaseDeDatos[[#This Row],[Labor
Spent]]*BaseDeDatos[[#This Row],[Labor Rate from CS]]</f>
        <v>752.17499999999995</v>
      </c>
      <c r="S43" s="93">
        <f t="shared" si="50"/>
        <v>1.125</v>
      </c>
      <c r="T43" s="98">
        <v>136638</v>
      </c>
      <c r="U43" s="98">
        <v>1000</v>
      </c>
      <c r="V43" s="98"/>
      <c r="W43" s="98">
        <v>39296.620000000003</v>
      </c>
      <c r="X43" s="98">
        <v>39296.620000000003</v>
      </c>
      <c r="Y43" s="98"/>
      <c r="Z43" s="98"/>
      <c r="AA43" s="98"/>
      <c r="AB43" s="89">
        <f t="shared" si="51"/>
        <v>-39965.22</v>
      </c>
      <c r="AC43" s="120">
        <f>SUM(AB43,X43,R43,BaseDeDatos[[#This Row],[Additionals cost]])</f>
        <v>83.57500000000141</v>
      </c>
      <c r="AD43" s="117">
        <v>0.15160000000000001</v>
      </c>
      <c r="AE43" s="117">
        <v>0.19980000000000001</v>
      </c>
      <c r="AF43" s="240">
        <f t="shared" si="52"/>
        <v>0.99938834731187509</v>
      </c>
      <c r="AG43" s="226">
        <v>45896</v>
      </c>
      <c r="AH43" s="226" t="s">
        <v>185</v>
      </c>
      <c r="AI43" s="227">
        <f>VLOOKUP(AH43,DATA!$B$13:$C$19,2,0)</f>
        <v>100</v>
      </c>
      <c r="AJ43" s="4">
        <f>VLOOKUP($AH$1,DATA!$B$24:$C$45,2,0)</f>
        <v>0.05</v>
      </c>
      <c r="AK43" s="69">
        <f>BaseDeDatos[[#This Row],[Read info
Status]]*(AJ43)/100</f>
        <v>0.05</v>
      </c>
      <c r="AL43" s="79">
        <f t="shared" si="53"/>
        <v>1</v>
      </c>
      <c r="AM43" s="226" t="s">
        <v>185</v>
      </c>
      <c r="AN43" s="227">
        <f>VLOOKUP(AM43,DATA!$B$13:$C$19,2,0)</f>
        <v>100</v>
      </c>
      <c r="AO43" s="4">
        <f>VLOOKUP($AM$1,DATA!$B$24:$C$45,2,0)</f>
        <v>0.05</v>
      </c>
      <c r="AP43" s="4">
        <f t="shared" si="54"/>
        <v>0.05</v>
      </c>
      <c r="AQ43" s="69">
        <f t="shared" si="55"/>
        <v>1</v>
      </c>
      <c r="AR43" s="5">
        <v>45887</v>
      </c>
      <c r="AS43" s="95">
        <v>45863</v>
      </c>
      <c r="AT43" s="226" t="s">
        <v>185</v>
      </c>
      <c r="AU43" s="227">
        <f>VLOOKUP(AT43,DATA!$B$13:$C$19,2,0)</f>
        <v>100</v>
      </c>
      <c r="AV43" s="4">
        <f>VLOOKUP($AT$1,DATA!$B$24:$C$45,2,0)</f>
        <v>0.01</v>
      </c>
      <c r="AW43" s="4">
        <f t="shared" si="56"/>
        <v>0.01</v>
      </c>
      <c r="AX43" s="69">
        <f t="shared" si="57"/>
        <v>0.2</v>
      </c>
      <c r="AY43" s="5">
        <v>45887</v>
      </c>
      <c r="AZ43" s="95">
        <v>45883</v>
      </c>
      <c r="BA43" s="226" t="s">
        <v>185</v>
      </c>
      <c r="BB43" s="227">
        <f>VLOOKUP(BA43,DATA!$B$13:$C$19,2,0)</f>
        <v>100</v>
      </c>
      <c r="BC43" s="4">
        <f>VLOOKUP($BA$1,DATA!$B$24:$C$45,2,0)</f>
        <v>0.01</v>
      </c>
      <c r="BD43" s="4">
        <f t="shared" si="58"/>
        <v>0.01</v>
      </c>
      <c r="BE43" s="79">
        <f t="shared" si="59"/>
        <v>0.2</v>
      </c>
      <c r="BF43" s="226" t="s">
        <v>185</v>
      </c>
      <c r="BG43" s="227">
        <f>VLOOKUP(BF43,DATA!$B$13:$C$19,2,0)</f>
        <v>100</v>
      </c>
      <c r="BH43" s="4">
        <f>VLOOKUP($BF$1,DATA!$B$24:$C$45,2,0)</f>
        <v>0.08</v>
      </c>
      <c r="BI43" s="4">
        <f t="shared" si="60"/>
        <v>0.08</v>
      </c>
      <c r="BJ43" s="79">
        <f t="shared" si="61"/>
        <v>1.6</v>
      </c>
      <c r="BK43" s="226" t="s">
        <v>185</v>
      </c>
      <c r="BL43" s="227">
        <f>VLOOKUP(BK43,DATA!$B$13:$C$19,2,0)</f>
        <v>100</v>
      </c>
      <c r="BM43" s="4">
        <f>VLOOKUP($BK$1,DATA!$B$24:$C$45,2,0)</f>
        <v>0.18</v>
      </c>
      <c r="BN43" s="4">
        <f t="shared" si="62"/>
        <v>0.18</v>
      </c>
      <c r="BO43" s="79">
        <f t="shared" si="63"/>
        <v>3.5999999999999996</v>
      </c>
      <c r="BP43" s="226" t="s">
        <v>185</v>
      </c>
      <c r="BQ43" s="227">
        <f>VLOOKUP(BP43,DATA!$B$13:$C$19,2,0)</f>
        <v>100</v>
      </c>
      <c r="BR43" s="4">
        <f>VLOOKUP($BP$1,DATA!$B$24:$C$45,2,0)</f>
        <v>0.28000000000000003</v>
      </c>
      <c r="BS43" s="4">
        <f t="shared" si="64"/>
        <v>0.28000000000000003</v>
      </c>
      <c r="BT43" s="79">
        <f t="shared" si="65"/>
        <v>5.6000000000000005</v>
      </c>
      <c r="BU43" s="226" t="s">
        <v>185</v>
      </c>
      <c r="BV43" s="227">
        <f>VLOOKUP(BU43,DATA!$B$13:$C$19,2,0)</f>
        <v>100</v>
      </c>
      <c r="BW43" s="4">
        <f>VLOOKUP($BU$1,DATA!$B$24:$C$45,2,0)</f>
        <v>0.15</v>
      </c>
      <c r="BX43" s="4">
        <f t="shared" si="66"/>
        <v>0.15</v>
      </c>
      <c r="BY43" s="79">
        <f t="shared" si="67"/>
        <v>3</v>
      </c>
      <c r="BZ43" s="226" t="s">
        <v>185</v>
      </c>
      <c r="CA43" s="227">
        <f>VLOOKUP(BZ43,DATA!$B$13:$C$19,2,0)</f>
        <v>100</v>
      </c>
      <c r="CB43" s="4">
        <f>VLOOKUP($BZ$1,DATA!$B$24:$C$45,2,0)</f>
        <v>0.16</v>
      </c>
      <c r="CC43" s="4">
        <f t="shared" si="68"/>
        <v>0.16</v>
      </c>
      <c r="CD43" s="79">
        <f t="shared" si="69"/>
        <v>3.2</v>
      </c>
      <c r="CE43" s="226" t="s">
        <v>185</v>
      </c>
      <c r="CF43" s="227">
        <f>VLOOKUP(CE43,DATA!$B$13:$C$19,2,0)</f>
        <v>100</v>
      </c>
      <c r="CG43" s="4">
        <f>VLOOKUP($CE$1,DATA!$B$24:$C$45,2,0)</f>
        <v>0.13</v>
      </c>
      <c r="CH43" s="4">
        <f t="shared" si="70"/>
        <v>0.13</v>
      </c>
      <c r="CI43" s="79">
        <f t="shared" si="71"/>
        <v>2.6</v>
      </c>
      <c r="CJ43" s="226" t="s">
        <v>185</v>
      </c>
      <c r="CK43" s="227">
        <f>VLOOKUP(CJ43,DATA!$B$13:$C$19,2,0)</f>
        <v>100</v>
      </c>
      <c r="CL43" s="4">
        <f>VLOOKUP($CJ$1,DATA!$B$24:$C$45,2,0)</f>
        <v>0.01</v>
      </c>
      <c r="CM43" s="4">
        <f t="shared" si="72"/>
        <v>0.01</v>
      </c>
      <c r="CN43" s="79">
        <f t="shared" si="73"/>
        <v>0.2</v>
      </c>
      <c r="CO43" s="83">
        <f t="shared" si="74"/>
        <v>1</v>
      </c>
      <c r="CP43" s="4">
        <f>VLOOKUP($CO$1,DATA!$B$24:$C$45,2,0)</f>
        <v>0.54</v>
      </c>
      <c r="CQ43" s="81">
        <f t="shared" si="75"/>
        <v>0.54</v>
      </c>
      <c r="CR43" s="80">
        <f t="shared" si="76"/>
        <v>10.8</v>
      </c>
      <c r="CS43" s="129">
        <f t="shared" si="77"/>
        <v>10.8</v>
      </c>
      <c r="CT43" s="242">
        <f t="shared" si="78"/>
        <v>0</v>
      </c>
      <c r="CU43" s="226" t="s">
        <v>185</v>
      </c>
      <c r="CV43" s="227">
        <f>VLOOKUP(CU43,DATA!$B$13:$C$19,2,0)</f>
        <v>100</v>
      </c>
      <c r="CW43" s="4">
        <f>VLOOKUP($CU$1,DATA!$B$24:$C$45,2,0)</f>
        <v>0.02</v>
      </c>
      <c r="CX43" s="4">
        <f t="shared" si="79"/>
        <v>0.02</v>
      </c>
      <c r="CY43" s="69">
        <f t="shared" si="80"/>
        <v>0.4</v>
      </c>
      <c r="CZ43" s="5">
        <v>45895</v>
      </c>
      <c r="DA43" s="86">
        <v>45901</v>
      </c>
      <c r="DB43" s="226" t="s">
        <v>185</v>
      </c>
      <c r="DC43" s="227">
        <f>VLOOKUP(DB43,DATA!$B$13:$C$19,2,0)</f>
        <v>100</v>
      </c>
      <c r="DD43" s="4">
        <f>VLOOKUP($DB$1,DATA!$B$24:$C$45,2,0)</f>
        <v>0.01</v>
      </c>
      <c r="DE43" s="4">
        <f t="shared" si="81"/>
        <v>0.01</v>
      </c>
      <c r="DF43" s="69">
        <f t="shared" si="82"/>
        <v>0.2</v>
      </c>
      <c r="DG43" s="5">
        <v>45897</v>
      </c>
      <c r="DH43" s="86">
        <v>45905</v>
      </c>
      <c r="DI43" s="226" t="s">
        <v>185</v>
      </c>
      <c r="DJ43" s="227">
        <f>VLOOKUP(DI43,DATA!$B$13:$C$19,2,0)</f>
        <v>100</v>
      </c>
      <c r="DK43" s="4">
        <f>VLOOKUP($DI$1,DATA!$B$24:$C$45,2,0)</f>
        <v>0.03</v>
      </c>
      <c r="DL43" s="4">
        <f t="shared" si="83"/>
        <v>0.03</v>
      </c>
      <c r="DM43" s="79">
        <f t="shared" si="84"/>
        <v>0.6</v>
      </c>
      <c r="DN43" s="226" t="s">
        <v>185</v>
      </c>
      <c r="DO43" s="227">
        <f>VLOOKUP(DN43,DATA!$B$13:$C$19,2,0)</f>
        <v>100</v>
      </c>
      <c r="DP43" s="4">
        <f>VLOOKUP($DN$1,DATA!$B$24:$C$45,2,0)</f>
        <v>7.0000000000000007E-2</v>
      </c>
      <c r="DQ43" s="4">
        <f t="shared" si="85"/>
        <v>7.0000000000000007E-2</v>
      </c>
      <c r="DR43" s="69">
        <f t="shared" si="86"/>
        <v>1.4000000000000001</v>
      </c>
      <c r="DS43" s="5">
        <v>45898</v>
      </c>
      <c r="DT43" s="86">
        <v>45903</v>
      </c>
      <c r="DU43" s="226" t="s">
        <v>185</v>
      </c>
      <c r="DV43" s="227">
        <f>VLOOKUP(DU43,DATA!$B$13:$C$19,2,0)</f>
        <v>100</v>
      </c>
      <c r="DW43" s="4">
        <f>VLOOKUP($DU$1,DATA!$B$24:$C$45,2,0)</f>
        <v>0.04</v>
      </c>
      <c r="DX43" s="4">
        <f t="shared" si="87"/>
        <v>0.04</v>
      </c>
      <c r="DY43" s="69">
        <f t="shared" si="88"/>
        <v>0.8</v>
      </c>
      <c r="DZ43" s="5">
        <v>45902</v>
      </c>
      <c r="EA43" s="86">
        <v>45902</v>
      </c>
      <c r="EB43" s="226" t="s">
        <v>185</v>
      </c>
      <c r="EC43" s="227">
        <f>VLOOKUP(EB43,DATA!$B$13:$C$19,2,0)</f>
        <v>100</v>
      </c>
      <c r="ED43" s="4">
        <f>VLOOKUP($EB$1,DATA!$B$24:$C$45,2,0)</f>
        <v>0.05</v>
      </c>
      <c r="EE43" s="4">
        <f t="shared" si="89"/>
        <v>0.05</v>
      </c>
      <c r="EF43" s="69">
        <f t="shared" si="90"/>
        <v>1</v>
      </c>
      <c r="EG43" s="87"/>
      <c r="EH43" s="86"/>
      <c r="EI43" s="226" t="s">
        <v>185</v>
      </c>
      <c r="EJ43" s="227">
        <f>VLOOKUP(EI43,DATA!$B$13:$C$19,2,0)</f>
        <v>100</v>
      </c>
      <c r="EK43" s="4">
        <f>VLOOKUP($EI$1,DATA!$B$24:$C$45,2,0)</f>
        <v>0.1</v>
      </c>
      <c r="EL43" s="4">
        <f t="shared" si="91"/>
        <v>0.1</v>
      </c>
      <c r="EM43" s="69">
        <f t="shared" si="92"/>
        <v>2</v>
      </c>
      <c r="EN43" s="87"/>
      <c r="EO43" s="86"/>
      <c r="EP43" s="226" t="s">
        <v>185</v>
      </c>
      <c r="EQ43" s="227">
        <f>VLOOKUP(EP43,DATA!$B$13:$C$19,2,0)</f>
        <v>100</v>
      </c>
      <c r="ER43" s="4">
        <f>VLOOKUP($EP$1,DATA!$B$24:$C$45,2,0)</f>
        <v>0.03</v>
      </c>
      <c r="ES43" s="4">
        <f t="shared" si="93"/>
        <v>0.03</v>
      </c>
      <c r="ET43" s="79">
        <f t="shared" si="94"/>
        <v>0.6</v>
      </c>
      <c r="EU43" s="244">
        <f t="shared" si="95"/>
        <v>0</v>
      </c>
      <c r="EV43" s="85" t="s">
        <v>239</v>
      </c>
      <c r="EW43" s="134" t="s">
        <v>239</v>
      </c>
      <c r="EX43" s="6"/>
    </row>
    <row r="44" spans="1:154" x14ac:dyDescent="0.3">
      <c r="A44" s="3" t="s">
        <v>180</v>
      </c>
      <c r="B44" s="3" t="s">
        <v>189</v>
      </c>
      <c r="C44" s="3" t="s">
        <v>202</v>
      </c>
      <c r="D44" s="85" t="s">
        <v>292</v>
      </c>
      <c r="E44" s="85"/>
      <c r="F44" s="3">
        <v>3334</v>
      </c>
      <c r="G44" s="3" t="s">
        <v>293</v>
      </c>
      <c r="H44" s="3">
        <v>20</v>
      </c>
      <c r="I44" s="3"/>
      <c r="J44" s="229">
        <f>BaseDeDatos[[#This Row],[Budget CS]]+BaseDeDatos[[#This Row],[Change Orders Budget]]</f>
        <v>20</v>
      </c>
      <c r="K44" s="92">
        <f>IFERROR(VLOOKUP(G44, DATA!H:I, 2, FALSE), 0)+BaseDeDatos[[#This Row],[Labor Spend on Design errors]]+BaseDeDatos[[#This Row],[Labor
Spent Customer changes]]</f>
        <v>21.5</v>
      </c>
      <c r="L44" s="92"/>
      <c r="M44" s="92">
        <v>2.5</v>
      </c>
      <c r="N44" s="232">
        <f t="shared" si="48"/>
        <v>1</v>
      </c>
      <c r="O44" s="238">
        <f t="shared" si="49"/>
        <v>21.5</v>
      </c>
      <c r="P44" s="39">
        <v>33.43</v>
      </c>
      <c r="Q44" s="89">
        <f>BaseDeDatos[[#This Row],[Budget]]*BaseDeDatos[[#This Row],[Labor Rate from CS]]</f>
        <v>668.6</v>
      </c>
      <c r="R44" s="89">
        <f>BaseDeDatos[[#This Row],[Labor
Spent]]*BaseDeDatos[[#This Row],[Labor Rate from CS]]</f>
        <v>718.745</v>
      </c>
      <c r="S44" s="93">
        <f t="shared" si="50"/>
        <v>1.075</v>
      </c>
      <c r="T44" s="98">
        <v>144347</v>
      </c>
      <c r="U44" s="98">
        <v>22266.21</v>
      </c>
      <c r="V44" s="98"/>
      <c r="W44" s="98">
        <v>40907.620000000003</v>
      </c>
      <c r="X44" s="98">
        <v>40907.620000000003</v>
      </c>
      <c r="Y44" s="98"/>
      <c r="Z44" s="98"/>
      <c r="AA44" s="98"/>
      <c r="AB44" s="89">
        <f t="shared" si="51"/>
        <v>-41576.22</v>
      </c>
      <c r="AC44" s="120">
        <f>SUM(AB44,X44,R44,BaseDeDatos[[#This Row],[Additionals cost]])</f>
        <v>50.14500000000146</v>
      </c>
      <c r="AD44" s="117">
        <v>0.15160000000000001</v>
      </c>
      <c r="AE44" s="117">
        <v>0.19980000000000001</v>
      </c>
      <c r="AF44" s="240">
        <f t="shared" si="52"/>
        <v>0.9996526079516721</v>
      </c>
      <c r="AG44" s="226">
        <v>45896</v>
      </c>
      <c r="AH44" s="226" t="s">
        <v>185</v>
      </c>
      <c r="AI44" s="227">
        <f>VLOOKUP(AH44,DATA!$B$13:$C$19,2,0)</f>
        <v>100</v>
      </c>
      <c r="AJ44" s="4">
        <f>VLOOKUP($AH$1,DATA!$B$24:$C$45,2,0)</f>
        <v>0.05</v>
      </c>
      <c r="AK44" s="69">
        <f>BaseDeDatos[[#This Row],[Read info
Status]]*(AJ44)/100</f>
        <v>0.05</v>
      </c>
      <c r="AL44" s="79">
        <f t="shared" si="53"/>
        <v>1</v>
      </c>
      <c r="AM44" s="226" t="s">
        <v>185</v>
      </c>
      <c r="AN44" s="227">
        <f>VLOOKUP(AM44,DATA!$B$13:$C$19,2,0)</f>
        <v>100</v>
      </c>
      <c r="AO44" s="4">
        <f>VLOOKUP($AM$1,DATA!$B$24:$C$45,2,0)</f>
        <v>0.05</v>
      </c>
      <c r="AP44" s="4">
        <f t="shared" si="54"/>
        <v>0.05</v>
      </c>
      <c r="AQ44" s="69">
        <f t="shared" si="55"/>
        <v>1</v>
      </c>
      <c r="AR44" s="5">
        <v>45887</v>
      </c>
      <c r="AS44" s="95">
        <v>45863</v>
      </c>
      <c r="AT44" s="226" t="s">
        <v>185</v>
      </c>
      <c r="AU44" s="227">
        <f>VLOOKUP(AT44,DATA!$B$13:$C$19,2,0)</f>
        <v>100</v>
      </c>
      <c r="AV44" s="4">
        <f>VLOOKUP($AT$1,DATA!$B$24:$C$45,2,0)</f>
        <v>0.01</v>
      </c>
      <c r="AW44" s="4">
        <f t="shared" si="56"/>
        <v>0.01</v>
      </c>
      <c r="AX44" s="69">
        <f t="shared" si="57"/>
        <v>0.2</v>
      </c>
      <c r="AY44" s="5">
        <v>45887</v>
      </c>
      <c r="AZ44" s="95">
        <v>45883</v>
      </c>
      <c r="BA44" s="226" t="s">
        <v>185</v>
      </c>
      <c r="BB44" s="227">
        <f>VLOOKUP(BA44,DATA!$B$13:$C$19,2,0)</f>
        <v>100</v>
      </c>
      <c r="BC44" s="4">
        <f>VLOOKUP($BA$1,DATA!$B$24:$C$45,2,0)</f>
        <v>0.01</v>
      </c>
      <c r="BD44" s="4">
        <f t="shared" si="58"/>
        <v>0.01</v>
      </c>
      <c r="BE44" s="79">
        <f t="shared" si="59"/>
        <v>0.2</v>
      </c>
      <c r="BF44" s="226" t="s">
        <v>185</v>
      </c>
      <c r="BG44" s="227">
        <f>VLOOKUP(BF44,DATA!$B$13:$C$19,2,0)</f>
        <v>100</v>
      </c>
      <c r="BH44" s="4">
        <f>VLOOKUP($BF$1,DATA!$B$24:$C$45,2,0)</f>
        <v>0.08</v>
      </c>
      <c r="BI44" s="4">
        <f t="shared" si="60"/>
        <v>0.08</v>
      </c>
      <c r="BJ44" s="79">
        <f t="shared" si="61"/>
        <v>1.6</v>
      </c>
      <c r="BK44" s="226" t="s">
        <v>185</v>
      </c>
      <c r="BL44" s="227">
        <f>VLOOKUP(BK44,DATA!$B$13:$C$19,2,0)</f>
        <v>100</v>
      </c>
      <c r="BM44" s="4">
        <f>VLOOKUP($BK$1,DATA!$B$24:$C$45,2,0)</f>
        <v>0.18</v>
      </c>
      <c r="BN44" s="4">
        <f t="shared" si="62"/>
        <v>0.18</v>
      </c>
      <c r="BO44" s="79">
        <f t="shared" si="63"/>
        <v>3.5999999999999996</v>
      </c>
      <c r="BP44" s="226" t="s">
        <v>185</v>
      </c>
      <c r="BQ44" s="227">
        <f>VLOOKUP(BP44,DATA!$B$13:$C$19,2,0)</f>
        <v>100</v>
      </c>
      <c r="BR44" s="4">
        <f>VLOOKUP($BP$1,DATA!$B$24:$C$45,2,0)</f>
        <v>0.28000000000000003</v>
      </c>
      <c r="BS44" s="4">
        <f t="shared" si="64"/>
        <v>0.28000000000000003</v>
      </c>
      <c r="BT44" s="79">
        <f t="shared" si="65"/>
        <v>5.6000000000000005</v>
      </c>
      <c r="BU44" s="226" t="s">
        <v>185</v>
      </c>
      <c r="BV44" s="227">
        <f>VLOOKUP(BU44,DATA!$B$13:$C$19,2,0)</f>
        <v>100</v>
      </c>
      <c r="BW44" s="4">
        <f>VLOOKUP($BU$1,DATA!$B$24:$C$45,2,0)</f>
        <v>0.15</v>
      </c>
      <c r="BX44" s="4">
        <f t="shared" si="66"/>
        <v>0.15</v>
      </c>
      <c r="BY44" s="79">
        <f t="shared" si="67"/>
        <v>3</v>
      </c>
      <c r="BZ44" s="226" t="s">
        <v>185</v>
      </c>
      <c r="CA44" s="227">
        <f>VLOOKUP(BZ44,DATA!$B$13:$C$19,2,0)</f>
        <v>100</v>
      </c>
      <c r="CB44" s="4">
        <f>VLOOKUP($BZ$1,DATA!$B$24:$C$45,2,0)</f>
        <v>0.16</v>
      </c>
      <c r="CC44" s="4">
        <f t="shared" si="68"/>
        <v>0.16</v>
      </c>
      <c r="CD44" s="79">
        <f t="shared" si="69"/>
        <v>3.2</v>
      </c>
      <c r="CE44" s="226" t="s">
        <v>185</v>
      </c>
      <c r="CF44" s="227">
        <f>VLOOKUP(CE44,DATA!$B$13:$C$19,2,0)</f>
        <v>100</v>
      </c>
      <c r="CG44" s="4">
        <f>VLOOKUP($CE$1,DATA!$B$24:$C$45,2,0)</f>
        <v>0.13</v>
      </c>
      <c r="CH44" s="4">
        <f t="shared" si="70"/>
        <v>0.13</v>
      </c>
      <c r="CI44" s="79">
        <f t="shared" si="71"/>
        <v>2.6</v>
      </c>
      <c r="CJ44" s="226" t="s">
        <v>185</v>
      </c>
      <c r="CK44" s="227">
        <f>VLOOKUP(CJ44,DATA!$B$13:$C$19,2,0)</f>
        <v>100</v>
      </c>
      <c r="CL44" s="4">
        <f>VLOOKUP($CJ$1,DATA!$B$24:$C$45,2,0)</f>
        <v>0.01</v>
      </c>
      <c r="CM44" s="4">
        <f t="shared" si="72"/>
        <v>0.01</v>
      </c>
      <c r="CN44" s="79">
        <f t="shared" si="73"/>
        <v>0.2</v>
      </c>
      <c r="CO44" s="83">
        <f t="shared" si="74"/>
        <v>1</v>
      </c>
      <c r="CP44" s="4">
        <f>VLOOKUP($CO$1,DATA!$B$24:$C$45,2,0)</f>
        <v>0.54</v>
      </c>
      <c r="CQ44" s="81">
        <f t="shared" si="75"/>
        <v>0.54</v>
      </c>
      <c r="CR44" s="80">
        <f t="shared" si="76"/>
        <v>10.8</v>
      </c>
      <c r="CS44" s="129">
        <f t="shared" si="77"/>
        <v>10.8</v>
      </c>
      <c r="CT44" s="242">
        <f t="shared" si="78"/>
        <v>0</v>
      </c>
      <c r="CU44" s="226" t="s">
        <v>185</v>
      </c>
      <c r="CV44" s="227">
        <f>VLOOKUP(CU44,DATA!$B$13:$C$19,2,0)</f>
        <v>100</v>
      </c>
      <c r="CW44" s="4">
        <f>VLOOKUP($CU$1,DATA!$B$24:$C$45,2,0)</f>
        <v>0.02</v>
      </c>
      <c r="CX44" s="4">
        <f t="shared" si="79"/>
        <v>0.02</v>
      </c>
      <c r="CY44" s="69">
        <f t="shared" si="80"/>
        <v>0.4</v>
      </c>
      <c r="CZ44" s="5">
        <v>45895</v>
      </c>
      <c r="DA44" s="86">
        <v>45901</v>
      </c>
      <c r="DB44" s="226" t="s">
        <v>185</v>
      </c>
      <c r="DC44" s="227">
        <f>VLOOKUP(DB44,DATA!$B$13:$C$19,2,0)</f>
        <v>100</v>
      </c>
      <c r="DD44" s="4">
        <f>VLOOKUP($DB$1,DATA!$B$24:$C$45,2,0)</f>
        <v>0.01</v>
      </c>
      <c r="DE44" s="4">
        <f t="shared" si="81"/>
        <v>0.01</v>
      </c>
      <c r="DF44" s="69">
        <f t="shared" si="82"/>
        <v>0.2</v>
      </c>
      <c r="DG44" s="5">
        <v>45897</v>
      </c>
      <c r="DH44" s="86">
        <v>45905</v>
      </c>
      <c r="DI44" s="226" t="s">
        <v>185</v>
      </c>
      <c r="DJ44" s="227">
        <f>VLOOKUP(DI44,DATA!$B$13:$C$19,2,0)</f>
        <v>100</v>
      </c>
      <c r="DK44" s="4">
        <f>VLOOKUP($DI$1,DATA!$B$24:$C$45,2,0)</f>
        <v>0.03</v>
      </c>
      <c r="DL44" s="4">
        <f t="shared" si="83"/>
        <v>0.03</v>
      </c>
      <c r="DM44" s="79">
        <f t="shared" si="84"/>
        <v>0.6</v>
      </c>
      <c r="DN44" s="226" t="s">
        <v>185</v>
      </c>
      <c r="DO44" s="227">
        <f>VLOOKUP(DN44,DATA!$B$13:$C$19,2,0)</f>
        <v>100</v>
      </c>
      <c r="DP44" s="4">
        <f>VLOOKUP($DN$1,DATA!$B$24:$C$45,2,0)</f>
        <v>7.0000000000000007E-2</v>
      </c>
      <c r="DQ44" s="4">
        <f t="shared" si="85"/>
        <v>7.0000000000000007E-2</v>
      </c>
      <c r="DR44" s="69">
        <f t="shared" si="86"/>
        <v>1.4000000000000001</v>
      </c>
      <c r="DS44" s="5">
        <v>45898</v>
      </c>
      <c r="DT44" s="86">
        <v>45903</v>
      </c>
      <c r="DU44" s="226" t="s">
        <v>185</v>
      </c>
      <c r="DV44" s="227">
        <f>VLOOKUP(DU44,DATA!$B$13:$C$19,2,0)</f>
        <v>100</v>
      </c>
      <c r="DW44" s="4">
        <f>VLOOKUP($DU$1,DATA!$B$24:$C$45,2,0)</f>
        <v>0.04</v>
      </c>
      <c r="DX44" s="4">
        <f t="shared" si="87"/>
        <v>0.04</v>
      </c>
      <c r="DY44" s="69">
        <f t="shared" si="88"/>
        <v>0.8</v>
      </c>
      <c r="DZ44" s="5">
        <v>45902</v>
      </c>
      <c r="EA44" s="86">
        <v>45902</v>
      </c>
      <c r="EB44" s="226" t="s">
        <v>185</v>
      </c>
      <c r="EC44" s="227">
        <f>VLOOKUP(EB44,DATA!$B$13:$C$19,2,0)</f>
        <v>100</v>
      </c>
      <c r="ED44" s="4">
        <f>VLOOKUP($EB$1,DATA!$B$24:$C$45,2,0)</f>
        <v>0.05</v>
      </c>
      <c r="EE44" s="4">
        <f t="shared" si="89"/>
        <v>0.05</v>
      </c>
      <c r="EF44" s="69">
        <f t="shared" si="90"/>
        <v>1</v>
      </c>
      <c r="EG44" s="87"/>
      <c r="EH44" s="86"/>
      <c r="EI44" s="226" t="s">
        <v>185</v>
      </c>
      <c r="EJ44" s="227">
        <f>VLOOKUP(EI44,DATA!$B$13:$C$19,2,0)</f>
        <v>100</v>
      </c>
      <c r="EK44" s="4">
        <f>VLOOKUP($EI$1,DATA!$B$24:$C$45,2,0)</f>
        <v>0.1</v>
      </c>
      <c r="EL44" s="4">
        <f t="shared" si="91"/>
        <v>0.1</v>
      </c>
      <c r="EM44" s="69">
        <f t="shared" si="92"/>
        <v>2</v>
      </c>
      <c r="EN44" s="87"/>
      <c r="EO44" s="86"/>
      <c r="EP44" s="226" t="s">
        <v>185</v>
      </c>
      <c r="EQ44" s="227">
        <f>VLOOKUP(EP44,DATA!$B$13:$C$19,2,0)</f>
        <v>100</v>
      </c>
      <c r="ER44" s="4">
        <f>VLOOKUP($EP$1,DATA!$B$24:$C$45,2,0)</f>
        <v>0.03</v>
      </c>
      <c r="ES44" s="4">
        <f t="shared" si="93"/>
        <v>0.03</v>
      </c>
      <c r="ET44" s="79">
        <f t="shared" si="94"/>
        <v>0.6</v>
      </c>
      <c r="EU44" s="244">
        <f t="shared" si="95"/>
        <v>0</v>
      </c>
      <c r="EV44" s="85" t="s">
        <v>239</v>
      </c>
      <c r="EW44" s="134" t="s">
        <v>239</v>
      </c>
      <c r="EX44" s="6"/>
    </row>
    <row r="45" spans="1:154" x14ac:dyDescent="0.3">
      <c r="A45" s="3" t="s">
        <v>180</v>
      </c>
      <c r="B45" s="3" t="s">
        <v>189</v>
      </c>
      <c r="C45" s="3" t="s">
        <v>202</v>
      </c>
      <c r="D45" s="85" t="s">
        <v>294</v>
      </c>
      <c r="E45" s="85"/>
      <c r="F45" s="3">
        <v>3334</v>
      </c>
      <c r="G45" s="3" t="s">
        <v>295</v>
      </c>
      <c r="H45" s="3">
        <v>30</v>
      </c>
      <c r="I45" s="3"/>
      <c r="J45" s="229">
        <f>BaseDeDatos[[#This Row],[Budget CS]]+BaseDeDatos[[#This Row],[Change Orders Budget]]</f>
        <v>30</v>
      </c>
      <c r="K45" s="92">
        <f>IFERROR(VLOOKUP(G45, DATA!H:I, 2, FALSE), 0)+BaseDeDatos[[#This Row],[Labor Spend on Design errors]]+BaseDeDatos[[#This Row],[Labor
Spent Customer changes]]</f>
        <v>31</v>
      </c>
      <c r="L45" s="92"/>
      <c r="M45" s="92">
        <v>2</v>
      </c>
      <c r="N45" s="232">
        <f t="shared" si="48"/>
        <v>1</v>
      </c>
      <c r="O45" s="238">
        <f t="shared" si="49"/>
        <v>31.000000000000004</v>
      </c>
      <c r="P45" s="39">
        <v>33.46</v>
      </c>
      <c r="Q45" s="89">
        <f>BaseDeDatos[[#This Row],[Budget]]*BaseDeDatos[[#This Row],[Labor Rate from CS]]</f>
        <v>1003.8000000000001</v>
      </c>
      <c r="R45" s="89">
        <f>BaseDeDatos[[#This Row],[Labor
Spent]]*BaseDeDatos[[#This Row],[Labor Rate from CS]]</f>
        <v>1037.26</v>
      </c>
      <c r="S45" s="93">
        <f t="shared" si="50"/>
        <v>1.0333333333333334</v>
      </c>
      <c r="T45" s="98">
        <v>116511</v>
      </c>
      <c r="U45" s="98">
        <v>1000</v>
      </c>
      <c r="V45" s="98"/>
      <c r="W45" s="98">
        <v>22188.92</v>
      </c>
      <c r="X45" s="98">
        <v>22188.92</v>
      </c>
      <c r="Y45" s="98"/>
      <c r="Z45" s="98"/>
      <c r="AA45" s="98"/>
      <c r="AB45" s="89">
        <f t="shared" si="51"/>
        <v>-23192.719999999998</v>
      </c>
      <c r="AC45" s="120">
        <f>SUM(AB45,X45,R45,BaseDeDatos[[#This Row],[Additionals cost]])</f>
        <v>33.460000000000719</v>
      </c>
      <c r="AD45" s="117">
        <v>0.15160000000000001</v>
      </c>
      <c r="AE45" s="117">
        <v>0.19980000000000001</v>
      </c>
      <c r="AF45" s="240">
        <f t="shared" si="52"/>
        <v>0.99971281681557955</v>
      </c>
      <c r="AG45" s="226">
        <v>45896</v>
      </c>
      <c r="AH45" s="226" t="s">
        <v>185</v>
      </c>
      <c r="AI45" s="227">
        <f>VLOOKUP(AH45,DATA!$B$13:$C$19,2,0)</f>
        <v>100</v>
      </c>
      <c r="AJ45" s="4">
        <f>VLOOKUP($AH$1,DATA!$B$24:$C$45,2,0)</f>
        <v>0.05</v>
      </c>
      <c r="AK45" s="69">
        <f>BaseDeDatos[[#This Row],[Read info
Status]]*(AJ45)/100</f>
        <v>0.05</v>
      </c>
      <c r="AL45" s="79">
        <f t="shared" si="53"/>
        <v>1.5</v>
      </c>
      <c r="AM45" s="226" t="s">
        <v>185</v>
      </c>
      <c r="AN45" s="227">
        <f>VLOOKUP(AM45,DATA!$B$13:$C$19,2,0)</f>
        <v>100</v>
      </c>
      <c r="AO45" s="4">
        <f>VLOOKUP($AM$1,DATA!$B$24:$C$45,2,0)</f>
        <v>0.05</v>
      </c>
      <c r="AP45" s="4">
        <f t="shared" si="54"/>
        <v>0.05</v>
      </c>
      <c r="AQ45" s="69">
        <f t="shared" si="55"/>
        <v>1.5</v>
      </c>
      <c r="AR45" s="5">
        <v>45887</v>
      </c>
      <c r="AS45" s="95">
        <v>45863</v>
      </c>
      <c r="AT45" s="226" t="s">
        <v>185</v>
      </c>
      <c r="AU45" s="227">
        <f>VLOOKUP(AT45,DATA!$B$13:$C$19,2,0)</f>
        <v>100</v>
      </c>
      <c r="AV45" s="4">
        <f>VLOOKUP($AT$1,DATA!$B$24:$C$45,2,0)</f>
        <v>0.01</v>
      </c>
      <c r="AW45" s="4">
        <f t="shared" si="56"/>
        <v>0.01</v>
      </c>
      <c r="AX45" s="69">
        <f t="shared" si="57"/>
        <v>0.3</v>
      </c>
      <c r="AY45" s="5">
        <v>45887</v>
      </c>
      <c r="AZ45" s="95">
        <v>45883</v>
      </c>
      <c r="BA45" s="226" t="s">
        <v>185</v>
      </c>
      <c r="BB45" s="227">
        <f>VLOOKUP(BA45,DATA!$B$13:$C$19,2,0)</f>
        <v>100</v>
      </c>
      <c r="BC45" s="4">
        <f>VLOOKUP($BA$1,DATA!$B$24:$C$45,2,0)</f>
        <v>0.01</v>
      </c>
      <c r="BD45" s="4">
        <f t="shared" si="58"/>
        <v>0.01</v>
      </c>
      <c r="BE45" s="79">
        <f t="shared" si="59"/>
        <v>0.3</v>
      </c>
      <c r="BF45" s="226" t="s">
        <v>185</v>
      </c>
      <c r="BG45" s="227">
        <f>VLOOKUP(BF45,DATA!$B$13:$C$19,2,0)</f>
        <v>100</v>
      </c>
      <c r="BH45" s="4">
        <f>VLOOKUP($BF$1,DATA!$B$24:$C$45,2,0)</f>
        <v>0.08</v>
      </c>
      <c r="BI45" s="4">
        <f t="shared" si="60"/>
        <v>0.08</v>
      </c>
      <c r="BJ45" s="79">
        <f t="shared" si="61"/>
        <v>2.4</v>
      </c>
      <c r="BK45" s="226" t="s">
        <v>185</v>
      </c>
      <c r="BL45" s="227">
        <f>VLOOKUP(BK45,DATA!$B$13:$C$19,2,0)</f>
        <v>100</v>
      </c>
      <c r="BM45" s="4">
        <f>VLOOKUP($BK$1,DATA!$B$24:$C$45,2,0)</f>
        <v>0.18</v>
      </c>
      <c r="BN45" s="4">
        <f t="shared" si="62"/>
        <v>0.18</v>
      </c>
      <c r="BO45" s="79">
        <f t="shared" si="63"/>
        <v>5.3999999999999995</v>
      </c>
      <c r="BP45" s="226" t="s">
        <v>185</v>
      </c>
      <c r="BQ45" s="227">
        <f>VLOOKUP(BP45,DATA!$B$13:$C$19,2,0)</f>
        <v>100</v>
      </c>
      <c r="BR45" s="4">
        <f>VLOOKUP($BP$1,DATA!$B$24:$C$45,2,0)</f>
        <v>0.28000000000000003</v>
      </c>
      <c r="BS45" s="4">
        <f t="shared" si="64"/>
        <v>0.28000000000000003</v>
      </c>
      <c r="BT45" s="79">
        <f t="shared" si="65"/>
        <v>8.4</v>
      </c>
      <c r="BU45" s="226" t="s">
        <v>185</v>
      </c>
      <c r="BV45" s="227">
        <f>VLOOKUP(BU45,DATA!$B$13:$C$19,2,0)</f>
        <v>100</v>
      </c>
      <c r="BW45" s="4">
        <f>VLOOKUP($BU$1,DATA!$B$24:$C$45,2,0)</f>
        <v>0.15</v>
      </c>
      <c r="BX45" s="4">
        <f t="shared" si="66"/>
        <v>0.15</v>
      </c>
      <c r="BY45" s="79">
        <f t="shared" si="67"/>
        <v>4.5</v>
      </c>
      <c r="BZ45" s="226" t="s">
        <v>185</v>
      </c>
      <c r="CA45" s="227">
        <f>VLOOKUP(BZ45,DATA!$B$13:$C$19,2,0)</f>
        <v>100</v>
      </c>
      <c r="CB45" s="4">
        <f>VLOOKUP($BZ$1,DATA!$B$24:$C$45,2,0)</f>
        <v>0.16</v>
      </c>
      <c r="CC45" s="4">
        <f t="shared" si="68"/>
        <v>0.16</v>
      </c>
      <c r="CD45" s="79">
        <f t="shared" si="69"/>
        <v>4.8</v>
      </c>
      <c r="CE45" s="226" t="s">
        <v>185</v>
      </c>
      <c r="CF45" s="227">
        <f>VLOOKUP(CE45,DATA!$B$13:$C$19,2,0)</f>
        <v>100</v>
      </c>
      <c r="CG45" s="4">
        <f>VLOOKUP($CE$1,DATA!$B$24:$C$45,2,0)</f>
        <v>0.13</v>
      </c>
      <c r="CH45" s="4">
        <f t="shared" si="70"/>
        <v>0.13</v>
      </c>
      <c r="CI45" s="79">
        <f t="shared" si="71"/>
        <v>3.9000000000000004</v>
      </c>
      <c r="CJ45" s="226" t="s">
        <v>185</v>
      </c>
      <c r="CK45" s="227">
        <f>VLOOKUP(CJ45,DATA!$B$13:$C$19,2,0)</f>
        <v>100</v>
      </c>
      <c r="CL45" s="4">
        <f>VLOOKUP($CJ$1,DATA!$B$24:$C$45,2,0)</f>
        <v>0.01</v>
      </c>
      <c r="CM45" s="4">
        <f t="shared" si="72"/>
        <v>0.01</v>
      </c>
      <c r="CN45" s="79">
        <f t="shared" si="73"/>
        <v>0.3</v>
      </c>
      <c r="CO45" s="83">
        <f t="shared" si="74"/>
        <v>1</v>
      </c>
      <c r="CP45" s="4">
        <f>VLOOKUP($CO$1,DATA!$B$24:$C$45,2,0)</f>
        <v>0.54</v>
      </c>
      <c r="CQ45" s="81">
        <f t="shared" si="75"/>
        <v>0.54</v>
      </c>
      <c r="CR45" s="80">
        <f t="shared" si="76"/>
        <v>16.200000000000003</v>
      </c>
      <c r="CS45" s="129">
        <f t="shared" si="77"/>
        <v>16.200000000000003</v>
      </c>
      <c r="CT45" s="242">
        <f t="shared" si="78"/>
        <v>0</v>
      </c>
      <c r="CU45" s="226" t="s">
        <v>185</v>
      </c>
      <c r="CV45" s="227">
        <f>VLOOKUP(CU45,DATA!$B$13:$C$19,2,0)</f>
        <v>100</v>
      </c>
      <c r="CW45" s="4">
        <f>VLOOKUP($CU$1,DATA!$B$24:$C$45,2,0)</f>
        <v>0.02</v>
      </c>
      <c r="CX45" s="4">
        <f t="shared" si="79"/>
        <v>0.02</v>
      </c>
      <c r="CY45" s="69">
        <f t="shared" si="80"/>
        <v>0.6</v>
      </c>
      <c r="CZ45" s="5">
        <v>45895</v>
      </c>
      <c r="DA45" s="86">
        <v>45901</v>
      </c>
      <c r="DB45" s="226" t="s">
        <v>185</v>
      </c>
      <c r="DC45" s="227">
        <f>VLOOKUP(DB45,DATA!$B$13:$C$19,2,0)</f>
        <v>100</v>
      </c>
      <c r="DD45" s="4">
        <f>VLOOKUP($DB$1,DATA!$B$24:$C$45,2,0)</f>
        <v>0.01</v>
      </c>
      <c r="DE45" s="4">
        <f t="shared" si="81"/>
        <v>0.01</v>
      </c>
      <c r="DF45" s="69">
        <f t="shared" si="82"/>
        <v>0.3</v>
      </c>
      <c r="DG45" s="5">
        <v>45897</v>
      </c>
      <c r="DH45" s="86">
        <v>45905</v>
      </c>
      <c r="DI45" s="226" t="s">
        <v>185</v>
      </c>
      <c r="DJ45" s="227">
        <f>VLOOKUP(DI45,DATA!$B$13:$C$19,2,0)</f>
        <v>100</v>
      </c>
      <c r="DK45" s="4">
        <f>VLOOKUP($DI$1,DATA!$B$24:$C$45,2,0)</f>
        <v>0.03</v>
      </c>
      <c r="DL45" s="4">
        <f t="shared" si="83"/>
        <v>0.03</v>
      </c>
      <c r="DM45" s="79">
        <f t="shared" si="84"/>
        <v>0.89999999999999991</v>
      </c>
      <c r="DN45" s="226" t="s">
        <v>185</v>
      </c>
      <c r="DO45" s="227">
        <f>VLOOKUP(DN45,DATA!$B$13:$C$19,2,0)</f>
        <v>100</v>
      </c>
      <c r="DP45" s="4">
        <f>VLOOKUP($DN$1,DATA!$B$24:$C$45,2,0)</f>
        <v>7.0000000000000007E-2</v>
      </c>
      <c r="DQ45" s="4">
        <f t="shared" si="85"/>
        <v>7.0000000000000007E-2</v>
      </c>
      <c r="DR45" s="69">
        <f t="shared" si="86"/>
        <v>2.1</v>
      </c>
      <c r="DS45" s="5">
        <v>45898</v>
      </c>
      <c r="DT45" s="86">
        <v>45903</v>
      </c>
      <c r="DU45" s="226" t="s">
        <v>185</v>
      </c>
      <c r="DV45" s="227">
        <f>VLOOKUP(DU45,DATA!$B$13:$C$19,2,0)</f>
        <v>100</v>
      </c>
      <c r="DW45" s="4">
        <f>VLOOKUP($DU$1,DATA!$B$24:$C$45,2,0)</f>
        <v>0.04</v>
      </c>
      <c r="DX45" s="4">
        <f t="shared" si="87"/>
        <v>0.04</v>
      </c>
      <c r="DY45" s="69">
        <f t="shared" si="88"/>
        <v>1.2</v>
      </c>
      <c r="DZ45" s="5">
        <v>45902</v>
      </c>
      <c r="EA45" s="86">
        <v>45902</v>
      </c>
      <c r="EB45" s="226" t="s">
        <v>185</v>
      </c>
      <c r="EC45" s="227">
        <f>VLOOKUP(EB45,DATA!$B$13:$C$19,2,0)</f>
        <v>100</v>
      </c>
      <c r="ED45" s="4">
        <f>VLOOKUP($EB$1,DATA!$B$24:$C$45,2,0)</f>
        <v>0.05</v>
      </c>
      <c r="EE45" s="4">
        <f t="shared" si="89"/>
        <v>0.05</v>
      </c>
      <c r="EF45" s="69">
        <f t="shared" si="90"/>
        <v>1.5</v>
      </c>
      <c r="EG45" s="87"/>
      <c r="EH45" s="86"/>
      <c r="EI45" s="226" t="s">
        <v>185</v>
      </c>
      <c r="EJ45" s="227">
        <f>VLOOKUP(EI45,DATA!$B$13:$C$19,2,0)</f>
        <v>100</v>
      </c>
      <c r="EK45" s="4">
        <f>VLOOKUP($EI$1,DATA!$B$24:$C$45,2,0)</f>
        <v>0.1</v>
      </c>
      <c r="EL45" s="4">
        <f t="shared" si="91"/>
        <v>0.1</v>
      </c>
      <c r="EM45" s="69">
        <f t="shared" si="92"/>
        <v>3</v>
      </c>
      <c r="EN45" s="87"/>
      <c r="EO45" s="86"/>
      <c r="EP45" s="226" t="s">
        <v>185</v>
      </c>
      <c r="EQ45" s="227">
        <f>VLOOKUP(EP45,DATA!$B$13:$C$19,2,0)</f>
        <v>100</v>
      </c>
      <c r="ER45" s="4">
        <f>VLOOKUP($EP$1,DATA!$B$24:$C$45,2,0)</f>
        <v>0.03</v>
      </c>
      <c r="ES45" s="4">
        <f t="shared" si="93"/>
        <v>0.03</v>
      </c>
      <c r="ET45" s="79">
        <f t="shared" si="94"/>
        <v>0.89999999999999991</v>
      </c>
      <c r="EU45" s="244">
        <f t="shared" si="95"/>
        <v>0</v>
      </c>
      <c r="EV45" s="85" t="s">
        <v>239</v>
      </c>
      <c r="EW45" s="134" t="s">
        <v>239</v>
      </c>
      <c r="EX45" s="6"/>
    </row>
    <row r="46" spans="1:154" x14ac:dyDescent="0.3">
      <c r="A46" s="3" t="s">
        <v>180</v>
      </c>
      <c r="B46" s="3" t="s">
        <v>189</v>
      </c>
      <c r="C46" s="3" t="s">
        <v>202</v>
      </c>
      <c r="D46" s="85" t="s">
        <v>296</v>
      </c>
      <c r="E46" s="85"/>
      <c r="F46" s="3">
        <v>3335</v>
      </c>
      <c r="G46" s="3" t="s">
        <v>297</v>
      </c>
      <c r="H46" s="3">
        <v>20</v>
      </c>
      <c r="I46" s="3"/>
      <c r="J46" s="229">
        <f>BaseDeDatos[[#This Row],[Budget CS]]+BaseDeDatos[[#This Row],[Change Orders Budget]]</f>
        <v>20</v>
      </c>
      <c r="K46" s="92">
        <f>IFERROR(VLOOKUP(G46, DATA!H:I, 2, FALSE), 0)+BaseDeDatos[[#This Row],[Labor Spend on Design errors]]+BaseDeDatos[[#This Row],[Labor
Spent Customer changes]]</f>
        <v>18.75</v>
      </c>
      <c r="L46" s="92"/>
      <c r="M46" s="92"/>
      <c r="N46" s="232">
        <f t="shared" si="48"/>
        <v>0.9850000000000001</v>
      </c>
      <c r="O46" s="238">
        <f t="shared" si="49"/>
        <v>18.75</v>
      </c>
      <c r="P46" s="39">
        <v>26.73</v>
      </c>
      <c r="Q46" s="89">
        <f>BaseDeDatos[[#This Row],[Budget]]*BaseDeDatos[[#This Row],[Labor Rate from CS]]</f>
        <v>534.6</v>
      </c>
      <c r="R46" s="89">
        <f>BaseDeDatos[[#This Row],[Labor
Spent]]*BaseDeDatos[[#This Row],[Labor Rate from CS]]</f>
        <v>501.1875</v>
      </c>
      <c r="S46" s="42">
        <f t="shared" si="50"/>
        <v>0.9375</v>
      </c>
      <c r="T46" s="98">
        <v>111118</v>
      </c>
      <c r="U46" s="98">
        <v>5423.5</v>
      </c>
      <c r="V46" s="98">
        <v>3763.77</v>
      </c>
      <c r="W46" s="98">
        <v>41732.620000000003</v>
      </c>
      <c r="X46" s="98">
        <v>41732.620000000003</v>
      </c>
      <c r="Y46" s="98"/>
      <c r="Z46" s="98"/>
      <c r="AA46" s="98">
        <v>94088.94</v>
      </c>
      <c r="AB46" s="89">
        <f t="shared" si="51"/>
        <v>51821.72</v>
      </c>
      <c r="AC46" s="120">
        <f>SUM(AB46,X46,R46,BaseDeDatos[[#This Row],[Additionals cost]])</f>
        <v>97819.297500000001</v>
      </c>
      <c r="AD46" s="116">
        <v>0.15329999999999999</v>
      </c>
      <c r="AE46" s="116">
        <v>0.17829999999999999</v>
      </c>
      <c r="AF46" s="240">
        <f t="shared" si="52"/>
        <v>0.15355273223060173</v>
      </c>
      <c r="AG46" s="226">
        <v>45896</v>
      </c>
      <c r="AH46" s="226" t="s">
        <v>185</v>
      </c>
      <c r="AI46" s="227">
        <f>VLOOKUP(AH46,DATA!$B$13:$C$19,2,0)</f>
        <v>100</v>
      </c>
      <c r="AJ46" s="4">
        <f>VLOOKUP($AH$1,DATA!$B$24:$C$45,2,0)</f>
        <v>0.05</v>
      </c>
      <c r="AK46" s="4">
        <f>AI46*AJ46/100</f>
        <v>0.05</v>
      </c>
      <c r="AL46" s="79">
        <f t="shared" si="53"/>
        <v>1</v>
      </c>
      <c r="AM46" s="226" t="s">
        <v>185</v>
      </c>
      <c r="AN46" s="227">
        <f>VLOOKUP(AM46,DATA!$B$13:$C$19,2,0)</f>
        <v>100</v>
      </c>
      <c r="AO46" s="4">
        <f>VLOOKUP($AM$1,DATA!$B$24:$C$45,2,0)</f>
        <v>0.05</v>
      </c>
      <c r="AP46" s="4">
        <f t="shared" si="54"/>
        <v>0.05</v>
      </c>
      <c r="AQ46" s="69">
        <f t="shared" si="55"/>
        <v>1</v>
      </c>
      <c r="AR46" s="5">
        <v>45855</v>
      </c>
      <c r="AS46" s="95">
        <v>45865</v>
      </c>
      <c r="AT46" s="226" t="s">
        <v>185</v>
      </c>
      <c r="AU46" s="227">
        <f>VLOOKUP(AT46,DATA!$B$13:$C$19,2,0)</f>
        <v>100</v>
      </c>
      <c r="AV46" s="4">
        <f>VLOOKUP($AT$1,DATA!$B$24:$C$45,2,0)</f>
        <v>0.01</v>
      </c>
      <c r="AW46" s="4">
        <f t="shared" si="56"/>
        <v>0.01</v>
      </c>
      <c r="AX46" s="69">
        <f t="shared" si="57"/>
        <v>0.2</v>
      </c>
      <c r="AY46" s="5">
        <v>45887</v>
      </c>
      <c r="AZ46" s="95">
        <v>45895</v>
      </c>
      <c r="BA46" s="226" t="s">
        <v>185</v>
      </c>
      <c r="BB46" s="227">
        <f>VLOOKUP(BA46,DATA!$B$13:$C$19,2,0)</f>
        <v>100</v>
      </c>
      <c r="BC46" s="4">
        <f>VLOOKUP($BA$1,DATA!$B$24:$C$45,2,0)</f>
        <v>0.01</v>
      </c>
      <c r="BD46" s="4">
        <f t="shared" si="58"/>
        <v>0.01</v>
      </c>
      <c r="BE46" s="79">
        <f t="shared" si="59"/>
        <v>0.2</v>
      </c>
      <c r="BF46" s="226" t="s">
        <v>185</v>
      </c>
      <c r="BG46" s="227">
        <f>VLOOKUP(BF46,DATA!$B$13:$C$19,2,0)</f>
        <v>100</v>
      </c>
      <c r="BH46" s="4">
        <f>VLOOKUP($BF$1,DATA!$B$24:$C$45,2,0)</f>
        <v>0.08</v>
      </c>
      <c r="BI46" s="4">
        <f t="shared" si="60"/>
        <v>0.08</v>
      </c>
      <c r="BJ46" s="79">
        <f t="shared" si="61"/>
        <v>1.6</v>
      </c>
      <c r="BK46" s="226" t="s">
        <v>185</v>
      </c>
      <c r="BL46" s="227">
        <f>VLOOKUP(BK46,DATA!$B$13:$C$19,2,0)</f>
        <v>100</v>
      </c>
      <c r="BM46" s="4">
        <f>VLOOKUP($BK$1,DATA!$B$24:$C$45,2,0)</f>
        <v>0.18</v>
      </c>
      <c r="BN46" s="4">
        <f t="shared" si="62"/>
        <v>0.18</v>
      </c>
      <c r="BO46" s="79">
        <f t="shared" si="63"/>
        <v>3.5999999999999996</v>
      </c>
      <c r="BP46" s="226" t="s">
        <v>185</v>
      </c>
      <c r="BQ46" s="227">
        <f>VLOOKUP(BP46,DATA!$B$13:$C$19,2,0)</f>
        <v>100</v>
      </c>
      <c r="BR46" s="4">
        <f>VLOOKUP($BP$1,DATA!$B$24:$C$45,2,0)</f>
        <v>0.28000000000000003</v>
      </c>
      <c r="BS46" s="4">
        <f t="shared" si="64"/>
        <v>0.28000000000000003</v>
      </c>
      <c r="BT46" s="79">
        <f t="shared" si="65"/>
        <v>5.6000000000000005</v>
      </c>
      <c r="BU46" s="226" t="s">
        <v>185</v>
      </c>
      <c r="BV46" s="227">
        <f>VLOOKUP(BU46,DATA!$B$13:$C$19,2,0)</f>
        <v>100</v>
      </c>
      <c r="BW46" s="4">
        <f>VLOOKUP($BU$1,DATA!$B$24:$C$45,2,0)</f>
        <v>0.15</v>
      </c>
      <c r="BX46" s="4">
        <f t="shared" si="66"/>
        <v>0.15</v>
      </c>
      <c r="BY46" s="79">
        <f t="shared" si="67"/>
        <v>3</v>
      </c>
      <c r="BZ46" s="226" t="s">
        <v>185</v>
      </c>
      <c r="CA46" s="227">
        <f>VLOOKUP(BZ46,DATA!$B$13:$C$19,2,0)</f>
        <v>100</v>
      </c>
      <c r="CB46" s="4">
        <f>VLOOKUP($BZ$1,DATA!$B$24:$C$45,2,0)</f>
        <v>0.16</v>
      </c>
      <c r="CC46" s="4">
        <f t="shared" si="68"/>
        <v>0.16</v>
      </c>
      <c r="CD46" s="79">
        <f t="shared" si="69"/>
        <v>3.2</v>
      </c>
      <c r="CE46" s="226" t="s">
        <v>185</v>
      </c>
      <c r="CF46" s="227">
        <f>VLOOKUP(CE46,DATA!$B$13:$C$19,2,0)</f>
        <v>100</v>
      </c>
      <c r="CG46" s="4">
        <f>VLOOKUP($CE$1,DATA!$B$24:$C$45,2,0)</f>
        <v>0.13</v>
      </c>
      <c r="CH46" s="4">
        <f t="shared" si="70"/>
        <v>0.13</v>
      </c>
      <c r="CI46" s="79">
        <f t="shared" si="71"/>
        <v>2.6</v>
      </c>
      <c r="CJ46" s="226" t="s">
        <v>185</v>
      </c>
      <c r="CK46" s="227">
        <f>VLOOKUP(CJ46,DATA!$B$13:$C$19,2,0)</f>
        <v>100</v>
      </c>
      <c r="CL46" s="4">
        <f>VLOOKUP($CJ$1,DATA!$B$24:$C$45,2,0)</f>
        <v>0.01</v>
      </c>
      <c r="CM46" s="4">
        <f t="shared" si="72"/>
        <v>0.01</v>
      </c>
      <c r="CN46" s="79">
        <f t="shared" si="73"/>
        <v>0.2</v>
      </c>
      <c r="CO46" s="83">
        <f t="shared" si="74"/>
        <v>1</v>
      </c>
      <c r="CP46" s="4">
        <f>VLOOKUP($CO$1,DATA!$B$24:$C$45,2,0)</f>
        <v>0.54</v>
      </c>
      <c r="CQ46" s="81">
        <f t="shared" si="75"/>
        <v>0.54</v>
      </c>
      <c r="CR46" s="80">
        <f t="shared" si="76"/>
        <v>10.8</v>
      </c>
      <c r="CS46" s="129">
        <f t="shared" si="77"/>
        <v>10.8</v>
      </c>
      <c r="CT46" s="242">
        <f t="shared" si="78"/>
        <v>0</v>
      </c>
      <c r="CU46" s="226" t="s">
        <v>185</v>
      </c>
      <c r="CV46" s="227">
        <f>VLOOKUP(CU46,DATA!$B$13:$C$19,2,0)</f>
        <v>100</v>
      </c>
      <c r="CW46" s="4">
        <f>VLOOKUP($CU$1,DATA!$B$24:$C$45,2,0)</f>
        <v>0.02</v>
      </c>
      <c r="CX46" s="4">
        <f t="shared" si="79"/>
        <v>0.02</v>
      </c>
      <c r="CY46" s="69">
        <f t="shared" si="80"/>
        <v>0.4</v>
      </c>
      <c r="CZ46" s="5">
        <v>45895</v>
      </c>
      <c r="DA46" s="86">
        <v>45895</v>
      </c>
      <c r="DB46" s="226" t="s">
        <v>185</v>
      </c>
      <c r="DC46" s="227">
        <f>VLOOKUP(DB46,DATA!$B$13:$C$19,2,0)</f>
        <v>100</v>
      </c>
      <c r="DD46" s="4">
        <f>VLOOKUP($DB$1,DATA!$B$24:$C$45,2,0)</f>
        <v>0.01</v>
      </c>
      <c r="DE46" s="4">
        <f t="shared" si="81"/>
        <v>0.01</v>
      </c>
      <c r="DF46" s="69">
        <f t="shared" si="82"/>
        <v>0.2</v>
      </c>
      <c r="DG46" s="5">
        <v>45897</v>
      </c>
      <c r="DH46" s="95">
        <v>45898</v>
      </c>
      <c r="DI46" s="226" t="s">
        <v>185</v>
      </c>
      <c r="DJ46" s="227">
        <f>VLOOKUP(DI46,DATA!$B$13:$C$19,2,0)</f>
        <v>100</v>
      </c>
      <c r="DK46" s="4">
        <f>VLOOKUP($DI$1,DATA!$B$24:$C$45,2,0)</f>
        <v>0.03</v>
      </c>
      <c r="DL46" s="4">
        <f t="shared" si="83"/>
        <v>0.03</v>
      </c>
      <c r="DM46" s="79">
        <f t="shared" si="84"/>
        <v>0.6</v>
      </c>
      <c r="DN46" s="226" t="s">
        <v>185</v>
      </c>
      <c r="DO46" s="227">
        <f>VLOOKUP(DN46,DATA!$B$13:$C$19,2,0)</f>
        <v>100</v>
      </c>
      <c r="DP46" s="4">
        <f>VLOOKUP($DN$1,DATA!$B$24:$C$45,2,0)</f>
        <v>7.0000000000000007E-2</v>
      </c>
      <c r="DQ46" s="4">
        <f t="shared" si="85"/>
        <v>7.0000000000000007E-2</v>
      </c>
      <c r="DR46" s="69">
        <f t="shared" si="86"/>
        <v>1.4000000000000001</v>
      </c>
      <c r="DS46" s="5">
        <v>45898</v>
      </c>
      <c r="DT46" s="86">
        <v>45898</v>
      </c>
      <c r="DU46" s="226" t="s">
        <v>185</v>
      </c>
      <c r="DV46" s="227">
        <f>VLOOKUP(DU46,DATA!$B$13:$C$19,2,0)</f>
        <v>100</v>
      </c>
      <c r="DW46" s="4">
        <f>VLOOKUP($DU$1,DATA!$B$24:$C$45,2,0)</f>
        <v>0.04</v>
      </c>
      <c r="DX46" s="4">
        <f t="shared" si="87"/>
        <v>0.04</v>
      </c>
      <c r="DY46" s="69">
        <f t="shared" si="88"/>
        <v>0.8</v>
      </c>
      <c r="DZ46" s="5">
        <v>45902</v>
      </c>
      <c r="EA46" s="86">
        <v>45902</v>
      </c>
      <c r="EB46" s="226" t="s">
        <v>185</v>
      </c>
      <c r="EC46" s="227">
        <f>VLOOKUP(EB46,DATA!$B$13:$C$19,2,0)</f>
        <v>100</v>
      </c>
      <c r="ED46" s="4">
        <f>VLOOKUP($EB$1,DATA!$B$24:$C$45,2,0)</f>
        <v>0.05</v>
      </c>
      <c r="EE46" s="4">
        <f t="shared" si="89"/>
        <v>0.05</v>
      </c>
      <c r="EF46" s="69">
        <f t="shared" si="90"/>
        <v>1</v>
      </c>
      <c r="EG46" s="71"/>
      <c r="EH46" s="76"/>
      <c r="EI46" s="226" t="s">
        <v>185</v>
      </c>
      <c r="EJ46" s="227">
        <f>VLOOKUP(EI46,DATA!$B$13:$C$19,2,0)</f>
        <v>100</v>
      </c>
      <c r="EK46" s="4">
        <f>VLOOKUP($EI$1,DATA!$B$24:$C$45,2,0)</f>
        <v>0.1</v>
      </c>
      <c r="EL46" s="4">
        <f t="shared" si="91"/>
        <v>0.1</v>
      </c>
      <c r="EM46" s="69">
        <f t="shared" si="92"/>
        <v>2</v>
      </c>
      <c r="EN46" s="71"/>
      <c r="EO46" s="76"/>
      <c r="EP46" s="226" t="s">
        <v>220</v>
      </c>
      <c r="EQ46" s="227">
        <f>VLOOKUP(EP46,DATA!$B$13:$C$19,2,0)</f>
        <v>50</v>
      </c>
      <c r="ER46" s="4">
        <f>VLOOKUP($EP$1,DATA!$B$24:$C$45,2,0)</f>
        <v>0.03</v>
      </c>
      <c r="ES46" s="4">
        <f t="shared" si="93"/>
        <v>1.4999999999999999E-2</v>
      </c>
      <c r="ET46" s="79">
        <f t="shared" si="94"/>
        <v>0.6</v>
      </c>
      <c r="EU46" s="244">
        <f t="shared" si="95"/>
        <v>0.6</v>
      </c>
      <c r="EV46" s="228" t="s">
        <v>239</v>
      </c>
      <c r="EW46" s="134" t="s">
        <v>239</v>
      </c>
      <c r="EX46" s="6"/>
    </row>
    <row r="47" spans="1:154" x14ac:dyDescent="0.3">
      <c r="A47" s="3" t="s">
        <v>180</v>
      </c>
      <c r="B47" s="3" t="s">
        <v>189</v>
      </c>
      <c r="C47" s="3" t="s">
        <v>202</v>
      </c>
      <c r="D47" s="85" t="s">
        <v>298</v>
      </c>
      <c r="E47" s="85"/>
      <c r="F47" s="3">
        <v>3335</v>
      </c>
      <c r="G47" s="3" t="s">
        <v>299</v>
      </c>
      <c r="H47" s="3">
        <v>30</v>
      </c>
      <c r="I47" s="3"/>
      <c r="J47" s="229">
        <f>BaseDeDatos[[#This Row],[Budget CS]]+BaseDeDatos[[#This Row],[Change Orders Budget]]</f>
        <v>30</v>
      </c>
      <c r="K47" s="92">
        <f>IFERROR(VLOOKUP(G47, DATA!H:I, 2, FALSE), 0)+BaseDeDatos[[#This Row],[Labor Spend on Design errors]]+BaseDeDatos[[#This Row],[Labor
Spent Customer changes]]</f>
        <v>27.25</v>
      </c>
      <c r="L47" s="92"/>
      <c r="M47" s="92"/>
      <c r="N47" s="232">
        <f t="shared" si="48"/>
        <v>0.98000000000000009</v>
      </c>
      <c r="O47" s="238">
        <f t="shared" si="49"/>
        <v>27.25</v>
      </c>
      <c r="P47" s="39">
        <v>26.73</v>
      </c>
      <c r="Q47" s="89">
        <f>BaseDeDatos[[#This Row],[Budget]]*BaseDeDatos[[#This Row],[Labor Rate from CS]]</f>
        <v>801.9</v>
      </c>
      <c r="R47" s="89">
        <f>BaseDeDatos[[#This Row],[Labor
Spent]]*BaseDeDatos[[#This Row],[Labor Rate from CS]]</f>
        <v>728.39250000000004</v>
      </c>
      <c r="S47" s="42">
        <f t="shared" si="50"/>
        <v>0.90833333333333333</v>
      </c>
      <c r="T47" s="98">
        <v>71661</v>
      </c>
      <c r="U47" s="98">
        <v>5423.5</v>
      </c>
      <c r="V47" s="98">
        <v>3763.77</v>
      </c>
      <c r="W47" s="98">
        <v>26427.72</v>
      </c>
      <c r="X47" s="98">
        <v>26427.72</v>
      </c>
      <c r="Y47" s="98"/>
      <c r="Z47" s="98"/>
      <c r="AA47" s="98">
        <v>60677.71</v>
      </c>
      <c r="AB47" s="89">
        <f t="shared" si="51"/>
        <v>33448.089999999997</v>
      </c>
      <c r="AC47" s="120">
        <f>SUM(AB47,X47,R47,BaseDeDatos[[#This Row],[Additionals cost]])</f>
        <v>64367.972499999996</v>
      </c>
      <c r="AD47" s="116">
        <v>0.15329999999999999</v>
      </c>
      <c r="AE47" s="116">
        <v>0.17829999999999999</v>
      </c>
      <c r="AF47" s="240">
        <f t="shared" si="52"/>
        <v>0.15429309526799795</v>
      </c>
      <c r="AG47" s="226">
        <v>45896</v>
      </c>
      <c r="AH47" s="226" t="s">
        <v>185</v>
      </c>
      <c r="AI47" s="227">
        <f>VLOOKUP(AH47,DATA!$B$13:$C$19,2,0)</f>
        <v>100</v>
      </c>
      <c r="AJ47" s="4">
        <f>VLOOKUP($AH$1,DATA!$B$24:$C$45,2,0)</f>
        <v>0.05</v>
      </c>
      <c r="AK47" s="4">
        <f>AI47*AJ47/100</f>
        <v>0.05</v>
      </c>
      <c r="AL47" s="79">
        <f t="shared" si="53"/>
        <v>1.5</v>
      </c>
      <c r="AM47" s="226" t="s">
        <v>185</v>
      </c>
      <c r="AN47" s="227">
        <f>VLOOKUP(AM47,DATA!$B$13:$C$19,2,0)</f>
        <v>100</v>
      </c>
      <c r="AO47" s="4">
        <f>VLOOKUP($AM$1,DATA!$B$24:$C$45,2,0)</f>
        <v>0.05</v>
      </c>
      <c r="AP47" s="4">
        <f t="shared" si="54"/>
        <v>0.05</v>
      </c>
      <c r="AQ47" s="69">
        <f t="shared" si="55"/>
        <v>1.5</v>
      </c>
      <c r="AR47" s="5">
        <v>45855</v>
      </c>
      <c r="AS47" s="95">
        <v>45865</v>
      </c>
      <c r="AT47" s="226" t="s">
        <v>185</v>
      </c>
      <c r="AU47" s="227">
        <f>VLOOKUP(AT47,DATA!$B$13:$C$19,2,0)</f>
        <v>100</v>
      </c>
      <c r="AV47" s="4">
        <f>VLOOKUP($AT$1,DATA!$B$24:$C$45,2,0)</f>
        <v>0.01</v>
      </c>
      <c r="AW47" s="4">
        <f t="shared" si="56"/>
        <v>0.01</v>
      </c>
      <c r="AX47" s="69">
        <f t="shared" si="57"/>
        <v>0.3</v>
      </c>
      <c r="AY47" s="5">
        <v>45887</v>
      </c>
      <c r="AZ47" s="95">
        <v>45895</v>
      </c>
      <c r="BA47" s="226" t="s">
        <v>185</v>
      </c>
      <c r="BB47" s="227">
        <f>VLOOKUP(BA47,DATA!$B$13:$C$19,2,0)</f>
        <v>100</v>
      </c>
      <c r="BC47" s="4">
        <f>VLOOKUP($BA$1,DATA!$B$24:$C$45,2,0)</f>
        <v>0.01</v>
      </c>
      <c r="BD47" s="4">
        <f t="shared" si="58"/>
        <v>0.01</v>
      </c>
      <c r="BE47" s="79">
        <f t="shared" si="59"/>
        <v>0.3</v>
      </c>
      <c r="BF47" s="226" t="s">
        <v>185</v>
      </c>
      <c r="BG47" s="227">
        <f>VLOOKUP(BF47,DATA!$B$13:$C$19,2,0)</f>
        <v>100</v>
      </c>
      <c r="BH47" s="4">
        <f>VLOOKUP($BF$1,DATA!$B$24:$C$45,2,0)</f>
        <v>0.08</v>
      </c>
      <c r="BI47" s="4">
        <f t="shared" si="60"/>
        <v>0.08</v>
      </c>
      <c r="BJ47" s="79">
        <f t="shared" si="61"/>
        <v>2.4</v>
      </c>
      <c r="BK47" s="226" t="s">
        <v>185</v>
      </c>
      <c r="BL47" s="227">
        <f>VLOOKUP(BK47,DATA!$B$13:$C$19,2,0)</f>
        <v>100</v>
      </c>
      <c r="BM47" s="4">
        <f>VLOOKUP($BK$1,DATA!$B$24:$C$45,2,0)</f>
        <v>0.18</v>
      </c>
      <c r="BN47" s="4">
        <f t="shared" si="62"/>
        <v>0.18</v>
      </c>
      <c r="BO47" s="79">
        <f t="shared" si="63"/>
        <v>5.3999999999999995</v>
      </c>
      <c r="BP47" s="226" t="s">
        <v>185</v>
      </c>
      <c r="BQ47" s="227">
        <f>VLOOKUP(BP47,DATA!$B$13:$C$19,2,0)</f>
        <v>100</v>
      </c>
      <c r="BR47" s="4">
        <f>VLOOKUP($BP$1,DATA!$B$24:$C$45,2,0)</f>
        <v>0.28000000000000003</v>
      </c>
      <c r="BS47" s="4">
        <f t="shared" si="64"/>
        <v>0.28000000000000003</v>
      </c>
      <c r="BT47" s="76">
        <f t="shared" si="65"/>
        <v>8.4</v>
      </c>
      <c r="BU47" s="226" t="s">
        <v>185</v>
      </c>
      <c r="BV47" s="227">
        <f>VLOOKUP(BU47,DATA!$B$13:$C$19,2,0)</f>
        <v>100</v>
      </c>
      <c r="BW47" s="4">
        <f>VLOOKUP($BU$1,DATA!$B$24:$C$45,2,0)</f>
        <v>0.15</v>
      </c>
      <c r="BX47" s="4">
        <f t="shared" si="66"/>
        <v>0.15</v>
      </c>
      <c r="BY47" s="79">
        <f t="shared" si="67"/>
        <v>4.5</v>
      </c>
      <c r="BZ47" s="226" t="s">
        <v>185</v>
      </c>
      <c r="CA47" s="227">
        <f>VLOOKUP(BZ47,DATA!$B$13:$C$19,2,0)</f>
        <v>100</v>
      </c>
      <c r="CB47" s="4">
        <f>VLOOKUP($BZ$1,DATA!$B$24:$C$45,2,0)</f>
        <v>0.16</v>
      </c>
      <c r="CC47" s="4">
        <f t="shared" si="68"/>
        <v>0.16</v>
      </c>
      <c r="CD47" s="79">
        <f t="shared" si="69"/>
        <v>4.8</v>
      </c>
      <c r="CE47" s="226" t="s">
        <v>185</v>
      </c>
      <c r="CF47" s="227">
        <f>VLOOKUP(CE47,DATA!$B$13:$C$19,2,0)</f>
        <v>100</v>
      </c>
      <c r="CG47" s="4">
        <f>VLOOKUP($CE$1,DATA!$B$24:$C$45,2,0)</f>
        <v>0.13</v>
      </c>
      <c r="CH47" s="4">
        <f t="shared" si="70"/>
        <v>0.13</v>
      </c>
      <c r="CI47" s="79">
        <f t="shared" si="71"/>
        <v>3.9000000000000004</v>
      </c>
      <c r="CJ47" s="226" t="s">
        <v>185</v>
      </c>
      <c r="CK47" s="227">
        <f>VLOOKUP(CJ47,DATA!$B$13:$C$19,2,0)</f>
        <v>100</v>
      </c>
      <c r="CL47" s="4">
        <f>VLOOKUP($CJ$1,DATA!$B$24:$C$45,2,0)</f>
        <v>0.01</v>
      </c>
      <c r="CM47" s="4">
        <f t="shared" si="72"/>
        <v>0.01</v>
      </c>
      <c r="CN47" s="79">
        <f t="shared" si="73"/>
        <v>0.3</v>
      </c>
      <c r="CO47" s="83">
        <f t="shared" si="74"/>
        <v>1</v>
      </c>
      <c r="CP47" s="4">
        <f>VLOOKUP($CO$1,DATA!$B$24:$C$45,2,0)</f>
        <v>0.54</v>
      </c>
      <c r="CQ47" s="81">
        <f t="shared" si="75"/>
        <v>0.54</v>
      </c>
      <c r="CR47" s="80">
        <f t="shared" si="76"/>
        <v>16.200000000000003</v>
      </c>
      <c r="CS47" s="129">
        <f t="shared" si="77"/>
        <v>16.200000000000003</v>
      </c>
      <c r="CT47" s="242">
        <f t="shared" si="78"/>
        <v>0</v>
      </c>
      <c r="CU47" s="226" t="s">
        <v>185</v>
      </c>
      <c r="CV47" s="227">
        <f>VLOOKUP(CU47,DATA!$B$13:$C$19,2,0)</f>
        <v>100</v>
      </c>
      <c r="CW47" s="4">
        <f>VLOOKUP($CU$1,DATA!$B$24:$C$45,2,0)</f>
        <v>0.02</v>
      </c>
      <c r="CX47" s="4">
        <f t="shared" si="79"/>
        <v>0.02</v>
      </c>
      <c r="CY47" s="69">
        <f t="shared" si="80"/>
        <v>0.6</v>
      </c>
      <c r="CZ47" s="5">
        <v>45895</v>
      </c>
      <c r="DA47" s="86">
        <v>45895</v>
      </c>
      <c r="DB47" s="226" t="s">
        <v>185</v>
      </c>
      <c r="DC47" s="227">
        <f>VLOOKUP(DB47,DATA!$B$13:$C$19,2,0)</f>
        <v>100</v>
      </c>
      <c r="DD47" s="4">
        <f>VLOOKUP($DB$1,DATA!$B$24:$C$45,2,0)</f>
        <v>0.01</v>
      </c>
      <c r="DE47" s="4">
        <f t="shared" si="81"/>
        <v>0.01</v>
      </c>
      <c r="DF47" s="69">
        <f t="shared" si="82"/>
        <v>0.3</v>
      </c>
      <c r="DG47" s="5">
        <v>45897</v>
      </c>
      <c r="DH47" s="95">
        <v>45898</v>
      </c>
      <c r="DI47" s="226" t="s">
        <v>185</v>
      </c>
      <c r="DJ47" s="227">
        <f>VLOOKUP(DI47,DATA!$B$13:$C$19,2,0)</f>
        <v>100</v>
      </c>
      <c r="DK47" s="4">
        <f>VLOOKUP($DI$1,DATA!$B$24:$C$45,2,0)</f>
        <v>0.03</v>
      </c>
      <c r="DL47" s="4">
        <f t="shared" si="83"/>
        <v>0.03</v>
      </c>
      <c r="DM47" s="79">
        <f t="shared" si="84"/>
        <v>0.89999999999999991</v>
      </c>
      <c r="DN47" s="226" t="s">
        <v>185</v>
      </c>
      <c r="DO47" s="227">
        <f>VLOOKUP(DN47,DATA!$B$13:$C$19,2,0)</f>
        <v>100</v>
      </c>
      <c r="DP47" s="4">
        <f>VLOOKUP($DN$1,DATA!$B$24:$C$45,2,0)</f>
        <v>7.0000000000000007E-2</v>
      </c>
      <c r="DQ47" s="4">
        <f t="shared" si="85"/>
        <v>7.0000000000000007E-2</v>
      </c>
      <c r="DR47" s="69">
        <f t="shared" si="86"/>
        <v>2.1</v>
      </c>
      <c r="DS47" s="5">
        <v>45898</v>
      </c>
      <c r="DT47" s="86">
        <v>45898</v>
      </c>
      <c r="DU47" s="226" t="s">
        <v>185</v>
      </c>
      <c r="DV47" s="227">
        <f>VLOOKUP(DU47,DATA!$B$13:$C$19,2,0)</f>
        <v>100</v>
      </c>
      <c r="DW47" s="4">
        <f>VLOOKUP($DU$1,DATA!$B$24:$C$45,2,0)</f>
        <v>0.04</v>
      </c>
      <c r="DX47" s="4">
        <f t="shared" si="87"/>
        <v>0.04</v>
      </c>
      <c r="DY47" s="69">
        <f t="shared" si="88"/>
        <v>1.2</v>
      </c>
      <c r="DZ47" s="5">
        <v>45902</v>
      </c>
      <c r="EA47" s="86">
        <v>45902</v>
      </c>
      <c r="EB47" s="226" t="s">
        <v>238</v>
      </c>
      <c r="EC47" s="227">
        <f>VLOOKUP(EB47,DATA!$B$13:$C$19,2,0)</f>
        <v>90</v>
      </c>
      <c r="ED47" s="4">
        <f>VLOOKUP($EB$1,DATA!$B$24:$C$45,2,0)</f>
        <v>0.05</v>
      </c>
      <c r="EE47" s="4">
        <f t="shared" si="89"/>
        <v>4.4999999999999998E-2</v>
      </c>
      <c r="EF47" s="69">
        <f t="shared" si="90"/>
        <v>1.5</v>
      </c>
      <c r="EG47" s="77"/>
      <c r="EH47" s="76"/>
      <c r="EI47" s="226" t="s">
        <v>185</v>
      </c>
      <c r="EJ47" s="227">
        <f>VLOOKUP(EI47,DATA!$B$13:$C$19,2,0)</f>
        <v>100</v>
      </c>
      <c r="EK47" s="4">
        <f>VLOOKUP($EI$1,DATA!$B$24:$C$45,2,0)</f>
        <v>0.1</v>
      </c>
      <c r="EL47" s="4">
        <f t="shared" si="91"/>
        <v>0.1</v>
      </c>
      <c r="EM47" s="69">
        <f t="shared" si="92"/>
        <v>3</v>
      </c>
      <c r="EN47" s="77"/>
      <c r="EO47" s="76"/>
      <c r="EP47" s="226" t="s">
        <v>220</v>
      </c>
      <c r="EQ47" s="227">
        <f>VLOOKUP(EP47,DATA!$B$13:$C$19,2,0)</f>
        <v>50</v>
      </c>
      <c r="ER47" s="4">
        <f>VLOOKUP($EP$1,DATA!$B$24:$C$45,2,0)</f>
        <v>0.03</v>
      </c>
      <c r="ES47" s="4">
        <f t="shared" si="93"/>
        <v>1.4999999999999999E-2</v>
      </c>
      <c r="ET47" s="79">
        <f t="shared" si="94"/>
        <v>0.89999999999999991</v>
      </c>
      <c r="EU47" s="244">
        <f t="shared" si="95"/>
        <v>2.4</v>
      </c>
      <c r="EV47" s="85" t="s">
        <v>239</v>
      </c>
      <c r="EW47" s="134" t="s">
        <v>197</v>
      </c>
      <c r="EX47" s="6"/>
    </row>
    <row r="48" spans="1:154" x14ac:dyDescent="0.3">
      <c r="A48" s="3" t="s">
        <v>180</v>
      </c>
      <c r="B48" s="3" t="s">
        <v>189</v>
      </c>
      <c r="C48" s="3" t="s">
        <v>202</v>
      </c>
      <c r="D48" s="85" t="s">
        <v>300</v>
      </c>
      <c r="E48" s="85"/>
      <c r="F48" s="3">
        <v>3335</v>
      </c>
      <c r="G48" s="3" t="s">
        <v>301</v>
      </c>
      <c r="H48" s="3">
        <v>10</v>
      </c>
      <c r="I48" s="3"/>
      <c r="J48" s="229">
        <f>BaseDeDatos[[#This Row],[Budget CS]]+BaseDeDatos[[#This Row],[Change Orders Budget]]</f>
        <v>10</v>
      </c>
      <c r="K48" s="92">
        <f>IFERROR(VLOOKUP(G48, DATA!H:I, 2, FALSE), 0)+BaseDeDatos[[#This Row],[Labor Spend on Design errors]]+BaseDeDatos[[#This Row],[Labor
Spent Customer changes]]</f>
        <v>9.25</v>
      </c>
      <c r="L48" s="92"/>
      <c r="M48" s="92"/>
      <c r="N48" s="232">
        <f t="shared" si="48"/>
        <v>0.9850000000000001</v>
      </c>
      <c r="O48" s="238">
        <f t="shared" si="49"/>
        <v>9.25</v>
      </c>
      <c r="P48" s="39">
        <v>26.73</v>
      </c>
      <c r="Q48" s="89">
        <f>BaseDeDatos[[#This Row],[Budget]]*BaseDeDatos[[#This Row],[Labor Rate from CS]]</f>
        <v>267.3</v>
      </c>
      <c r="R48" s="89">
        <f>BaseDeDatos[[#This Row],[Labor
Spent]]*BaseDeDatos[[#This Row],[Labor Rate from CS]]</f>
        <v>247.2525</v>
      </c>
      <c r="S48" s="42">
        <f t="shared" si="50"/>
        <v>0.92500000000000004</v>
      </c>
      <c r="T48" s="98">
        <v>84814</v>
      </c>
      <c r="U48" s="98">
        <v>3478</v>
      </c>
      <c r="V48" s="98">
        <v>3763.77</v>
      </c>
      <c r="W48" s="98">
        <v>22188.92</v>
      </c>
      <c r="X48" s="98">
        <v>22188.92</v>
      </c>
      <c r="Y48" s="98"/>
      <c r="Z48" s="98"/>
      <c r="AA48" s="98">
        <v>68728.91</v>
      </c>
      <c r="AB48" s="89">
        <f t="shared" si="51"/>
        <v>46272.69</v>
      </c>
      <c r="AC48" s="120">
        <f>SUM(AB48,X48,R48,BaseDeDatos[[#This Row],[Additionals cost]])</f>
        <v>72472.632500000007</v>
      </c>
      <c r="AD48" s="117">
        <v>0.18970000000000001</v>
      </c>
      <c r="AE48" s="117">
        <v>0.17829999999999999</v>
      </c>
      <c r="AF48" s="240">
        <f t="shared" si="52"/>
        <v>0.18988772490390735</v>
      </c>
      <c r="AG48" s="226">
        <v>45896</v>
      </c>
      <c r="AH48" s="226" t="s">
        <v>185</v>
      </c>
      <c r="AI48" s="227">
        <f>VLOOKUP(AH48,DATA!$B$13:$C$19,2,0)</f>
        <v>100</v>
      </c>
      <c r="AJ48" s="4">
        <f>VLOOKUP($AH$1,DATA!$B$24:$C$45,2,0)</f>
        <v>0.05</v>
      </c>
      <c r="AK48" s="4">
        <f>AI48*AJ48/100</f>
        <v>0.05</v>
      </c>
      <c r="AL48" s="79">
        <f t="shared" si="53"/>
        <v>0.5</v>
      </c>
      <c r="AM48" s="226" t="s">
        <v>185</v>
      </c>
      <c r="AN48" s="227">
        <f>VLOOKUP(AM48,DATA!$B$13:$C$19,2,0)</f>
        <v>100</v>
      </c>
      <c r="AO48" s="4">
        <f>VLOOKUP($AM$1,DATA!$B$24:$C$45,2,0)</f>
        <v>0.05</v>
      </c>
      <c r="AP48" s="4">
        <f t="shared" si="54"/>
        <v>0.05</v>
      </c>
      <c r="AQ48" s="69">
        <f t="shared" si="55"/>
        <v>0.5</v>
      </c>
      <c r="AR48" s="5">
        <v>45855</v>
      </c>
      <c r="AS48" s="95">
        <v>45860</v>
      </c>
      <c r="AT48" s="226" t="s">
        <v>185</v>
      </c>
      <c r="AU48" s="227">
        <f>VLOOKUP(AT48,DATA!$B$13:$C$19,2,0)</f>
        <v>100</v>
      </c>
      <c r="AV48" s="4">
        <f>VLOOKUP($AT$1,DATA!$B$24:$C$45,2,0)</f>
        <v>0.01</v>
      </c>
      <c r="AW48" s="4">
        <f t="shared" si="56"/>
        <v>0.01</v>
      </c>
      <c r="AX48" s="69">
        <f t="shared" si="57"/>
        <v>0.1</v>
      </c>
      <c r="AY48" s="5">
        <v>45877</v>
      </c>
      <c r="AZ48" s="95">
        <v>45883</v>
      </c>
      <c r="BA48" s="226" t="s">
        <v>185</v>
      </c>
      <c r="BB48" s="227">
        <f>VLOOKUP(BA48,DATA!$B$13:$C$19,2,0)</f>
        <v>100</v>
      </c>
      <c r="BC48" s="4">
        <f>VLOOKUP($BA$1,DATA!$B$24:$C$45,2,0)</f>
        <v>0.01</v>
      </c>
      <c r="BD48" s="4">
        <f t="shared" si="58"/>
        <v>0.01</v>
      </c>
      <c r="BE48" s="79">
        <f t="shared" si="59"/>
        <v>0.1</v>
      </c>
      <c r="BF48" s="226" t="s">
        <v>185</v>
      </c>
      <c r="BG48" s="227">
        <f>VLOOKUP(BF48,DATA!$B$13:$C$19,2,0)</f>
        <v>100</v>
      </c>
      <c r="BH48" s="4">
        <f>VLOOKUP($BF$1,DATA!$B$24:$C$45,2,0)</f>
        <v>0.08</v>
      </c>
      <c r="BI48" s="4">
        <f t="shared" si="60"/>
        <v>0.08</v>
      </c>
      <c r="BJ48" s="79">
        <f t="shared" si="61"/>
        <v>0.8</v>
      </c>
      <c r="BK48" s="226" t="s">
        <v>185</v>
      </c>
      <c r="BL48" s="227">
        <f>VLOOKUP(BK48,DATA!$B$13:$C$19,2,0)</f>
        <v>100</v>
      </c>
      <c r="BM48" s="4">
        <f>VLOOKUP($BK$1,DATA!$B$24:$C$45,2,0)</f>
        <v>0.18</v>
      </c>
      <c r="BN48" s="4">
        <f t="shared" si="62"/>
        <v>0.18</v>
      </c>
      <c r="BO48" s="79">
        <f t="shared" si="63"/>
        <v>1.7999999999999998</v>
      </c>
      <c r="BP48" s="226" t="s">
        <v>185</v>
      </c>
      <c r="BQ48" s="227">
        <f>VLOOKUP(BP48,DATA!$B$13:$C$19,2,0)</f>
        <v>100</v>
      </c>
      <c r="BR48" s="4">
        <f>VLOOKUP($BP$1,DATA!$B$24:$C$45,2,0)</f>
        <v>0.28000000000000003</v>
      </c>
      <c r="BS48" s="4">
        <f t="shared" si="64"/>
        <v>0.28000000000000003</v>
      </c>
      <c r="BT48" s="76">
        <f t="shared" si="65"/>
        <v>2.8000000000000003</v>
      </c>
      <c r="BU48" s="226" t="s">
        <v>185</v>
      </c>
      <c r="BV48" s="227">
        <f>VLOOKUP(BU48,DATA!$B$13:$C$19,2,0)</f>
        <v>100</v>
      </c>
      <c r="BW48" s="4">
        <f>VLOOKUP($BU$1,DATA!$B$24:$C$45,2,0)</f>
        <v>0.15</v>
      </c>
      <c r="BX48" s="4">
        <f t="shared" si="66"/>
        <v>0.15</v>
      </c>
      <c r="BY48" s="79">
        <f t="shared" si="67"/>
        <v>1.5</v>
      </c>
      <c r="BZ48" s="226" t="s">
        <v>185</v>
      </c>
      <c r="CA48" s="227">
        <f>VLOOKUP(BZ48,DATA!$B$13:$C$19,2,0)</f>
        <v>100</v>
      </c>
      <c r="CB48" s="4">
        <f>VLOOKUP($BZ$1,DATA!$B$24:$C$45,2,0)</f>
        <v>0.16</v>
      </c>
      <c r="CC48" s="4">
        <f t="shared" si="68"/>
        <v>0.16</v>
      </c>
      <c r="CD48" s="79">
        <f t="shared" si="69"/>
        <v>1.6</v>
      </c>
      <c r="CE48" s="226" t="s">
        <v>185</v>
      </c>
      <c r="CF48" s="227">
        <f>VLOOKUP(CE48,DATA!$B$13:$C$19,2,0)</f>
        <v>100</v>
      </c>
      <c r="CG48" s="4">
        <f>VLOOKUP($CE$1,DATA!$B$24:$C$45,2,0)</f>
        <v>0.13</v>
      </c>
      <c r="CH48" s="4">
        <f t="shared" si="70"/>
        <v>0.13</v>
      </c>
      <c r="CI48" s="79">
        <f t="shared" si="71"/>
        <v>1.3</v>
      </c>
      <c r="CJ48" s="226" t="s">
        <v>185</v>
      </c>
      <c r="CK48" s="227">
        <f>VLOOKUP(CJ48,DATA!$B$13:$C$19,2,0)</f>
        <v>100</v>
      </c>
      <c r="CL48" s="4">
        <f>VLOOKUP($CJ$1,DATA!$B$24:$C$45,2,0)</f>
        <v>0.01</v>
      </c>
      <c r="CM48" s="4">
        <f t="shared" si="72"/>
        <v>0.01</v>
      </c>
      <c r="CN48" s="79">
        <f t="shared" si="73"/>
        <v>0.1</v>
      </c>
      <c r="CO48" s="83">
        <f t="shared" si="74"/>
        <v>1</v>
      </c>
      <c r="CP48" s="4">
        <f>VLOOKUP($CO$1,DATA!$B$24:$C$45,2,0)</f>
        <v>0.54</v>
      </c>
      <c r="CQ48" s="81">
        <f t="shared" si="75"/>
        <v>0.54</v>
      </c>
      <c r="CR48" s="80">
        <f t="shared" si="76"/>
        <v>5.4</v>
      </c>
      <c r="CS48" s="129">
        <f t="shared" si="77"/>
        <v>5.4</v>
      </c>
      <c r="CT48" s="242">
        <f t="shared" si="78"/>
        <v>0</v>
      </c>
      <c r="CU48" s="226" t="s">
        <v>185</v>
      </c>
      <c r="CV48" s="227">
        <f>VLOOKUP(CU48,DATA!$B$13:$C$19,2,0)</f>
        <v>100</v>
      </c>
      <c r="CW48" s="4">
        <f>VLOOKUP($CU$1,DATA!$B$24:$C$45,2,0)</f>
        <v>0.02</v>
      </c>
      <c r="CX48" s="4">
        <f t="shared" si="79"/>
        <v>0.02</v>
      </c>
      <c r="CY48" s="69">
        <f t="shared" si="80"/>
        <v>0.2</v>
      </c>
      <c r="CZ48" s="5">
        <v>45881</v>
      </c>
      <c r="DA48" s="86">
        <v>45884</v>
      </c>
      <c r="DB48" s="226" t="s">
        <v>185</v>
      </c>
      <c r="DC48" s="227">
        <f>VLOOKUP(DB48,DATA!$B$13:$C$19,2,0)</f>
        <v>100</v>
      </c>
      <c r="DD48" s="4">
        <f>VLOOKUP($DB$1,DATA!$B$24:$C$45,2,0)</f>
        <v>0.01</v>
      </c>
      <c r="DE48" s="4">
        <f t="shared" si="81"/>
        <v>0.01</v>
      </c>
      <c r="DF48" s="69">
        <f t="shared" si="82"/>
        <v>0.1</v>
      </c>
      <c r="DG48" s="5">
        <v>45897</v>
      </c>
      <c r="DH48" s="95">
        <v>45898</v>
      </c>
      <c r="DI48" s="226" t="s">
        <v>185</v>
      </c>
      <c r="DJ48" s="227">
        <f>VLOOKUP(DI48,DATA!$B$13:$C$19,2,0)</f>
        <v>100</v>
      </c>
      <c r="DK48" s="4">
        <f>VLOOKUP($DI$1,DATA!$B$24:$C$45,2,0)</f>
        <v>0.03</v>
      </c>
      <c r="DL48" s="4">
        <f t="shared" si="83"/>
        <v>0.03</v>
      </c>
      <c r="DM48" s="79">
        <f t="shared" si="84"/>
        <v>0.3</v>
      </c>
      <c r="DN48" s="226" t="s">
        <v>185</v>
      </c>
      <c r="DO48" s="227">
        <f>VLOOKUP(DN48,DATA!$B$13:$C$19,2,0)</f>
        <v>100</v>
      </c>
      <c r="DP48" s="4">
        <f>VLOOKUP($DN$1,DATA!$B$24:$C$45,2,0)</f>
        <v>7.0000000000000007E-2</v>
      </c>
      <c r="DQ48" s="4">
        <f t="shared" si="85"/>
        <v>7.0000000000000007E-2</v>
      </c>
      <c r="DR48" s="69">
        <f t="shared" si="86"/>
        <v>0.70000000000000007</v>
      </c>
      <c r="DS48" s="5">
        <v>45898</v>
      </c>
      <c r="DT48" s="86">
        <v>45898</v>
      </c>
      <c r="DU48" s="226" t="s">
        <v>185</v>
      </c>
      <c r="DV48" s="227">
        <f>VLOOKUP(DU48,DATA!$B$13:$C$19,2,0)</f>
        <v>100</v>
      </c>
      <c r="DW48" s="4">
        <f>VLOOKUP($DU$1,DATA!$B$24:$C$45,2,0)</f>
        <v>0.04</v>
      </c>
      <c r="DX48" s="4">
        <f t="shared" si="87"/>
        <v>0.04</v>
      </c>
      <c r="DY48" s="69">
        <f t="shared" si="88"/>
        <v>0.4</v>
      </c>
      <c r="DZ48" s="5">
        <v>45902</v>
      </c>
      <c r="EA48" s="86">
        <v>45902</v>
      </c>
      <c r="EB48" s="226" t="s">
        <v>185</v>
      </c>
      <c r="EC48" s="227">
        <f>VLOOKUP(EB48,DATA!$B$13:$C$19,2,0)</f>
        <v>100</v>
      </c>
      <c r="ED48" s="4">
        <f>VLOOKUP($EB$1,DATA!$B$24:$C$45,2,0)</f>
        <v>0.05</v>
      </c>
      <c r="EE48" s="4">
        <f t="shared" si="89"/>
        <v>0.05</v>
      </c>
      <c r="EF48" s="69">
        <f t="shared" si="90"/>
        <v>0.5</v>
      </c>
      <c r="EG48" s="77"/>
      <c r="EH48" s="76"/>
      <c r="EI48" s="226" t="s">
        <v>185</v>
      </c>
      <c r="EJ48" s="227">
        <f>VLOOKUP(EI48,DATA!$B$13:$C$19,2,0)</f>
        <v>100</v>
      </c>
      <c r="EK48" s="4">
        <f>VLOOKUP($EI$1,DATA!$B$24:$C$45,2,0)</f>
        <v>0.1</v>
      </c>
      <c r="EL48" s="4">
        <f t="shared" si="91"/>
        <v>0.1</v>
      </c>
      <c r="EM48" s="69">
        <f t="shared" si="92"/>
        <v>1</v>
      </c>
      <c r="EN48" s="77"/>
      <c r="EO48" s="76"/>
      <c r="EP48" s="226" t="s">
        <v>220</v>
      </c>
      <c r="EQ48" s="227">
        <f>VLOOKUP(EP48,DATA!$B$13:$C$19,2,0)</f>
        <v>50</v>
      </c>
      <c r="ER48" s="4">
        <f>VLOOKUP($EP$1,DATA!$B$24:$C$45,2,0)</f>
        <v>0.03</v>
      </c>
      <c r="ES48" s="4">
        <f t="shared" si="93"/>
        <v>1.4999999999999999E-2</v>
      </c>
      <c r="ET48" s="79">
        <f t="shared" si="94"/>
        <v>0.3</v>
      </c>
      <c r="EU48" s="244">
        <f t="shared" si="95"/>
        <v>0.3</v>
      </c>
      <c r="EV48" s="85" t="s">
        <v>239</v>
      </c>
      <c r="EW48" s="134" t="s">
        <v>239</v>
      </c>
      <c r="EX48" s="6"/>
    </row>
    <row r="49" spans="1:154" x14ac:dyDescent="0.3">
      <c r="A49" s="3" t="s">
        <v>180</v>
      </c>
      <c r="B49" s="3" t="s">
        <v>189</v>
      </c>
      <c r="C49" s="3" t="s">
        <v>202</v>
      </c>
      <c r="D49" s="85" t="s">
        <v>302</v>
      </c>
      <c r="E49" s="85"/>
      <c r="F49" s="3">
        <v>3335</v>
      </c>
      <c r="G49" s="3" t="s">
        <v>303</v>
      </c>
      <c r="H49" s="3">
        <v>10</v>
      </c>
      <c r="I49" s="3"/>
      <c r="J49" s="229">
        <f>BaseDeDatos[[#This Row],[Budget CS]]+BaseDeDatos[[#This Row],[Change Orders Budget]]</f>
        <v>10</v>
      </c>
      <c r="K49" s="92">
        <f>IFERROR(VLOOKUP(G49, DATA!H:I, 2, FALSE), 0)+BaseDeDatos[[#This Row],[Labor Spend on Design errors]]+BaseDeDatos[[#This Row],[Labor
Spent Customer changes]]</f>
        <v>9.25</v>
      </c>
      <c r="L49" s="92"/>
      <c r="M49" s="92"/>
      <c r="N49" s="232">
        <f t="shared" si="48"/>
        <v>0.9850000000000001</v>
      </c>
      <c r="O49" s="238">
        <f t="shared" si="49"/>
        <v>9.25</v>
      </c>
      <c r="P49" s="39">
        <v>26.73</v>
      </c>
      <c r="Q49" s="89">
        <f>BaseDeDatos[[#This Row],[Budget]]*BaseDeDatos[[#This Row],[Labor Rate from CS]]</f>
        <v>267.3</v>
      </c>
      <c r="R49" s="89">
        <f>BaseDeDatos[[#This Row],[Labor
Spent]]*BaseDeDatos[[#This Row],[Labor Rate from CS]]</f>
        <v>247.2525</v>
      </c>
      <c r="S49" s="93">
        <f t="shared" si="50"/>
        <v>0.92500000000000004</v>
      </c>
      <c r="T49" s="98">
        <v>84814</v>
      </c>
      <c r="U49" s="98">
        <v>7245</v>
      </c>
      <c r="V49" s="98">
        <v>3763.77</v>
      </c>
      <c r="W49" s="98">
        <v>22188.92</v>
      </c>
      <c r="X49" s="98">
        <v>22188.92</v>
      </c>
      <c r="Y49" s="98"/>
      <c r="Z49" s="98"/>
      <c r="AA49" s="98">
        <v>68728.91</v>
      </c>
      <c r="AB49" s="89">
        <f t="shared" si="51"/>
        <v>46272.69</v>
      </c>
      <c r="AC49" s="120">
        <f>SUM(AB49,X49,R49,BaseDeDatos[[#This Row],[Additionals cost]])</f>
        <v>72472.632500000007</v>
      </c>
      <c r="AD49" s="117">
        <v>0.18970000000000001</v>
      </c>
      <c r="AE49" s="117">
        <v>0.17829999999999999</v>
      </c>
      <c r="AF49" s="240">
        <f t="shared" si="52"/>
        <v>0.18988772490390735</v>
      </c>
      <c r="AG49" s="226">
        <v>45896</v>
      </c>
      <c r="AH49" s="226" t="s">
        <v>185</v>
      </c>
      <c r="AI49" s="227">
        <f>VLOOKUP(AH49,DATA!$B$13:$C$19,2,0)</f>
        <v>100</v>
      </c>
      <c r="AJ49" s="4">
        <f>VLOOKUP($AH$1,DATA!$B$24:$C$45,2,0)</f>
        <v>0.05</v>
      </c>
      <c r="AK49" s="4">
        <f>AI49*AJ49/100</f>
        <v>0.05</v>
      </c>
      <c r="AL49" s="79">
        <f t="shared" si="53"/>
        <v>0.5</v>
      </c>
      <c r="AM49" s="226" t="s">
        <v>185</v>
      </c>
      <c r="AN49" s="227">
        <f>VLOOKUP(AM49,DATA!$B$13:$C$19,2,0)</f>
        <v>100</v>
      </c>
      <c r="AO49" s="4">
        <f>VLOOKUP($AM$1,DATA!$B$24:$C$45,2,0)</f>
        <v>0.05</v>
      </c>
      <c r="AP49" s="4">
        <f t="shared" si="54"/>
        <v>0.05</v>
      </c>
      <c r="AQ49" s="69">
        <f t="shared" si="55"/>
        <v>0.5</v>
      </c>
      <c r="AR49" s="5">
        <v>45855</v>
      </c>
      <c r="AS49" s="95">
        <v>45860</v>
      </c>
      <c r="AT49" s="226" t="s">
        <v>185</v>
      </c>
      <c r="AU49" s="227">
        <f>VLOOKUP(AT49,DATA!$B$13:$C$19,2,0)</f>
        <v>100</v>
      </c>
      <c r="AV49" s="4">
        <f>VLOOKUP($AT$1,DATA!$B$24:$C$45,2,0)</f>
        <v>0.01</v>
      </c>
      <c r="AW49" s="4">
        <f t="shared" si="56"/>
        <v>0.01</v>
      </c>
      <c r="AX49" s="69">
        <f t="shared" si="57"/>
        <v>0.1</v>
      </c>
      <c r="AY49" s="5">
        <v>45877</v>
      </c>
      <c r="AZ49" s="95">
        <v>45883</v>
      </c>
      <c r="BA49" s="226" t="s">
        <v>185</v>
      </c>
      <c r="BB49" s="227">
        <f>VLOOKUP(BA49,DATA!$B$13:$C$19,2,0)</f>
        <v>100</v>
      </c>
      <c r="BC49" s="4">
        <f>VLOOKUP($BA$1,DATA!$B$24:$C$45,2,0)</f>
        <v>0.01</v>
      </c>
      <c r="BD49" s="4">
        <f t="shared" si="58"/>
        <v>0.01</v>
      </c>
      <c r="BE49" s="79">
        <f t="shared" si="59"/>
        <v>0.1</v>
      </c>
      <c r="BF49" s="226" t="s">
        <v>185</v>
      </c>
      <c r="BG49" s="227">
        <f>VLOOKUP(BF49,DATA!$B$13:$C$19,2,0)</f>
        <v>100</v>
      </c>
      <c r="BH49" s="4">
        <f>VLOOKUP($BF$1,DATA!$B$24:$C$45,2,0)</f>
        <v>0.08</v>
      </c>
      <c r="BI49" s="4">
        <f t="shared" si="60"/>
        <v>0.08</v>
      </c>
      <c r="BJ49" s="79">
        <f t="shared" si="61"/>
        <v>0.8</v>
      </c>
      <c r="BK49" s="226" t="s">
        <v>185</v>
      </c>
      <c r="BL49" s="227">
        <f>VLOOKUP(BK49,DATA!$B$13:$C$19,2,0)</f>
        <v>100</v>
      </c>
      <c r="BM49" s="4">
        <f>VLOOKUP($BK$1,DATA!$B$24:$C$45,2,0)</f>
        <v>0.18</v>
      </c>
      <c r="BN49" s="4">
        <f t="shared" si="62"/>
        <v>0.18</v>
      </c>
      <c r="BO49" s="79">
        <f t="shared" si="63"/>
        <v>1.7999999999999998</v>
      </c>
      <c r="BP49" s="226" t="s">
        <v>185</v>
      </c>
      <c r="BQ49" s="227">
        <f>VLOOKUP(BP49,DATA!$B$13:$C$19,2,0)</f>
        <v>100</v>
      </c>
      <c r="BR49" s="4">
        <f>VLOOKUP($BP$1,DATA!$B$24:$C$45,2,0)</f>
        <v>0.28000000000000003</v>
      </c>
      <c r="BS49" s="4">
        <f t="shared" si="64"/>
        <v>0.28000000000000003</v>
      </c>
      <c r="BT49" s="76">
        <f t="shared" si="65"/>
        <v>2.8000000000000003</v>
      </c>
      <c r="BU49" s="226" t="s">
        <v>185</v>
      </c>
      <c r="BV49" s="227">
        <f>VLOOKUP(BU49,DATA!$B$13:$C$19,2,0)</f>
        <v>100</v>
      </c>
      <c r="BW49" s="4">
        <f>VLOOKUP($BU$1,DATA!$B$24:$C$45,2,0)</f>
        <v>0.15</v>
      </c>
      <c r="BX49" s="4">
        <f t="shared" si="66"/>
        <v>0.15</v>
      </c>
      <c r="BY49" s="79">
        <f t="shared" si="67"/>
        <v>1.5</v>
      </c>
      <c r="BZ49" s="226" t="s">
        <v>185</v>
      </c>
      <c r="CA49" s="227">
        <f>VLOOKUP(BZ49,DATA!$B$13:$C$19,2,0)</f>
        <v>100</v>
      </c>
      <c r="CB49" s="4">
        <f>VLOOKUP($BZ$1,DATA!$B$24:$C$45,2,0)</f>
        <v>0.16</v>
      </c>
      <c r="CC49" s="4">
        <f t="shared" si="68"/>
        <v>0.16</v>
      </c>
      <c r="CD49" s="79">
        <f t="shared" si="69"/>
        <v>1.6</v>
      </c>
      <c r="CE49" s="226" t="s">
        <v>185</v>
      </c>
      <c r="CF49" s="227">
        <f>VLOOKUP(CE49,DATA!$B$13:$C$19,2,0)</f>
        <v>100</v>
      </c>
      <c r="CG49" s="4">
        <f>VLOOKUP($CE$1,DATA!$B$24:$C$45,2,0)</f>
        <v>0.13</v>
      </c>
      <c r="CH49" s="4">
        <f t="shared" si="70"/>
        <v>0.13</v>
      </c>
      <c r="CI49" s="79">
        <f t="shared" si="71"/>
        <v>1.3</v>
      </c>
      <c r="CJ49" s="226" t="s">
        <v>185</v>
      </c>
      <c r="CK49" s="227">
        <f>VLOOKUP(CJ49,DATA!$B$13:$C$19,2,0)</f>
        <v>100</v>
      </c>
      <c r="CL49" s="4">
        <f>VLOOKUP($CJ$1,DATA!$B$24:$C$45,2,0)</f>
        <v>0.01</v>
      </c>
      <c r="CM49" s="4">
        <f t="shared" si="72"/>
        <v>0.01</v>
      </c>
      <c r="CN49" s="79">
        <f t="shared" si="73"/>
        <v>0.1</v>
      </c>
      <c r="CO49" s="83">
        <f t="shared" si="74"/>
        <v>1</v>
      </c>
      <c r="CP49" s="4">
        <f>VLOOKUP($CO$1,DATA!$B$24:$C$45,2,0)</f>
        <v>0.54</v>
      </c>
      <c r="CQ49" s="81">
        <f t="shared" si="75"/>
        <v>0.54</v>
      </c>
      <c r="CR49" s="80">
        <f t="shared" si="76"/>
        <v>5.4</v>
      </c>
      <c r="CS49" s="129">
        <f t="shared" si="77"/>
        <v>5.4</v>
      </c>
      <c r="CT49" s="242">
        <f t="shared" si="78"/>
        <v>0</v>
      </c>
      <c r="CU49" s="226" t="s">
        <v>185</v>
      </c>
      <c r="CV49" s="227">
        <f>VLOOKUP(CU49,DATA!$B$13:$C$19,2,0)</f>
        <v>100</v>
      </c>
      <c r="CW49" s="4">
        <f>VLOOKUP($CU$1,DATA!$B$24:$C$45,2,0)</f>
        <v>0.02</v>
      </c>
      <c r="CX49" s="4">
        <f t="shared" si="79"/>
        <v>0.02</v>
      </c>
      <c r="CY49" s="69">
        <f t="shared" si="80"/>
        <v>0.2</v>
      </c>
      <c r="CZ49" s="5">
        <v>45881</v>
      </c>
      <c r="DA49" s="86">
        <v>45884</v>
      </c>
      <c r="DB49" s="226" t="s">
        <v>185</v>
      </c>
      <c r="DC49" s="227">
        <f>VLOOKUP(DB49,DATA!$B$13:$C$19,2,0)</f>
        <v>100</v>
      </c>
      <c r="DD49" s="4">
        <f>VLOOKUP($DB$1,DATA!$B$24:$C$45,2,0)</f>
        <v>0.01</v>
      </c>
      <c r="DE49" s="4">
        <f t="shared" si="81"/>
        <v>0.01</v>
      </c>
      <c r="DF49" s="69">
        <f t="shared" si="82"/>
        <v>0.1</v>
      </c>
      <c r="DG49" s="5">
        <v>45897</v>
      </c>
      <c r="DH49" s="95">
        <v>45898</v>
      </c>
      <c r="DI49" s="226" t="s">
        <v>185</v>
      </c>
      <c r="DJ49" s="227">
        <f>VLOOKUP(DI49,DATA!$B$13:$C$19,2,0)</f>
        <v>100</v>
      </c>
      <c r="DK49" s="4">
        <f>VLOOKUP($DI$1,DATA!$B$24:$C$45,2,0)</f>
        <v>0.03</v>
      </c>
      <c r="DL49" s="4">
        <f t="shared" si="83"/>
        <v>0.03</v>
      </c>
      <c r="DM49" s="79">
        <f t="shared" si="84"/>
        <v>0.3</v>
      </c>
      <c r="DN49" s="226" t="s">
        <v>185</v>
      </c>
      <c r="DO49" s="227">
        <f>VLOOKUP(DN49,DATA!$B$13:$C$19,2,0)</f>
        <v>100</v>
      </c>
      <c r="DP49" s="4">
        <f>VLOOKUP($DN$1,DATA!$B$24:$C$45,2,0)</f>
        <v>7.0000000000000007E-2</v>
      </c>
      <c r="DQ49" s="4">
        <f t="shared" si="85"/>
        <v>7.0000000000000007E-2</v>
      </c>
      <c r="DR49" s="69">
        <f t="shared" si="86"/>
        <v>0.70000000000000007</v>
      </c>
      <c r="DS49" s="5">
        <v>45898</v>
      </c>
      <c r="DT49" s="86">
        <v>45898</v>
      </c>
      <c r="DU49" s="226" t="s">
        <v>185</v>
      </c>
      <c r="DV49" s="227">
        <f>VLOOKUP(DU49,DATA!$B$13:$C$19,2,0)</f>
        <v>100</v>
      </c>
      <c r="DW49" s="4">
        <f>VLOOKUP($DU$1,DATA!$B$24:$C$45,2,0)</f>
        <v>0.04</v>
      </c>
      <c r="DX49" s="4">
        <f t="shared" si="87"/>
        <v>0.04</v>
      </c>
      <c r="DY49" s="69">
        <f t="shared" si="88"/>
        <v>0.4</v>
      </c>
      <c r="DZ49" s="5">
        <v>45902</v>
      </c>
      <c r="EA49" s="86">
        <v>45902</v>
      </c>
      <c r="EB49" s="226" t="s">
        <v>185</v>
      </c>
      <c r="EC49" s="227">
        <f>VLOOKUP(EB49,DATA!$B$13:$C$19,2,0)</f>
        <v>100</v>
      </c>
      <c r="ED49" s="4">
        <f>VLOOKUP($EB$1,DATA!$B$24:$C$45,2,0)</f>
        <v>0.05</v>
      </c>
      <c r="EE49" s="4">
        <f t="shared" si="89"/>
        <v>0.05</v>
      </c>
      <c r="EF49" s="69">
        <f t="shared" si="90"/>
        <v>0.5</v>
      </c>
      <c r="EG49" s="77"/>
      <c r="EH49" s="76"/>
      <c r="EI49" s="226" t="s">
        <v>185</v>
      </c>
      <c r="EJ49" s="227">
        <f>VLOOKUP(EI49,DATA!$B$13:$C$19,2,0)</f>
        <v>100</v>
      </c>
      <c r="EK49" s="4">
        <f>VLOOKUP($EI$1,DATA!$B$24:$C$45,2,0)</f>
        <v>0.1</v>
      </c>
      <c r="EL49" s="4">
        <f t="shared" si="91"/>
        <v>0.1</v>
      </c>
      <c r="EM49" s="69">
        <f t="shared" si="92"/>
        <v>1</v>
      </c>
      <c r="EN49" s="77"/>
      <c r="EO49" s="76"/>
      <c r="EP49" s="226" t="s">
        <v>220</v>
      </c>
      <c r="EQ49" s="227">
        <f>VLOOKUP(EP49,DATA!$B$13:$C$19,2,0)</f>
        <v>50</v>
      </c>
      <c r="ER49" s="4">
        <f>VLOOKUP($EP$1,DATA!$B$24:$C$45,2,0)</f>
        <v>0.03</v>
      </c>
      <c r="ES49" s="4">
        <f t="shared" si="93"/>
        <v>1.4999999999999999E-2</v>
      </c>
      <c r="ET49" s="79">
        <f t="shared" si="94"/>
        <v>0.3</v>
      </c>
      <c r="EU49" s="244">
        <f t="shared" si="95"/>
        <v>0.3</v>
      </c>
      <c r="EV49" s="85" t="s">
        <v>239</v>
      </c>
      <c r="EW49" s="134" t="s">
        <v>239</v>
      </c>
      <c r="EX49" s="6"/>
    </row>
    <row r="50" spans="1:154" x14ac:dyDescent="0.3">
      <c r="A50" s="3" t="s">
        <v>180</v>
      </c>
      <c r="B50" s="3" t="s">
        <v>189</v>
      </c>
      <c r="C50" s="3" t="s">
        <v>304</v>
      </c>
      <c r="D50" s="85" t="s">
        <v>305</v>
      </c>
      <c r="E50" s="85" t="s">
        <v>306</v>
      </c>
      <c r="F50" s="3">
        <v>3336</v>
      </c>
      <c r="G50" s="3" t="s">
        <v>307</v>
      </c>
      <c r="H50" s="3">
        <v>14</v>
      </c>
      <c r="I50" s="3"/>
      <c r="J50" s="229">
        <f>BaseDeDatos[[#This Row],[Budget CS]]+BaseDeDatos[[#This Row],[Change Orders Budget]]</f>
        <v>14</v>
      </c>
      <c r="K50" s="92">
        <f>IFERROR(VLOOKUP(G50, DATA!H:I, 2, FALSE), 0)+BaseDeDatos[[#This Row],[Labor Spend on Design errors]]+BaseDeDatos[[#This Row],[Labor
Spent Customer changes]]</f>
        <v>12.5</v>
      </c>
      <c r="L50" s="92">
        <v>0</v>
      </c>
      <c r="M50" s="92"/>
      <c r="N50" s="232">
        <f t="shared" si="48"/>
        <v>0.96000000000000008</v>
      </c>
      <c r="O50" s="238">
        <f t="shared" si="49"/>
        <v>12.5</v>
      </c>
      <c r="P50" s="39">
        <v>26.73</v>
      </c>
      <c r="Q50" s="89">
        <f>BaseDeDatos[[#This Row],[Budget]]*BaseDeDatos[[#This Row],[Labor Rate from CS]]</f>
        <v>374.22</v>
      </c>
      <c r="R50" s="89">
        <f>BaseDeDatos[[#This Row],[Labor
Spent]]*BaseDeDatos[[#This Row],[Labor Rate from CS]]</f>
        <v>334.125</v>
      </c>
      <c r="S50" s="93">
        <f t="shared" si="50"/>
        <v>0.8928571428571429</v>
      </c>
      <c r="T50" s="98">
        <v>33412</v>
      </c>
      <c r="U50" s="98">
        <v>2559</v>
      </c>
      <c r="V50" s="98">
        <v>2234.61</v>
      </c>
      <c r="W50" s="98">
        <v>8880.91</v>
      </c>
      <c r="X50" s="98">
        <v>8880.91</v>
      </c>
      <c r="Y50" s="98"/>
      <c r="Z50" s="98"/>
      <c r="AA50" s="98">
        <v>27787.69</v>
      </c>
      <c r="AB50" s="89">
        <f t="shared" si="51"/>
        <v>18532.559999999998</v>
      </c>
      <c r="AC50" s="120">
        <f>SUM(AB50,X50,R50,BaseDeDatos[[#This Row],[Additionals cost]])</f>
        <v>29982.204999999998</v>
      </c>
      <c r="AD50" s="117">
        <v>0.16830000000000001</v>
      </c>
      <c r="AE50" s="117">
        <v>0.1678</v>
      </c>
      <c r="AF50" s="240">
        <f t="shared" si="52"/>
        <v>0.16953205435172999</v>
      </c>
      <c r="AG50" s="226">
        <v>45867</v>
      </c>
      <c r="AH50" s="226" t="s">
        <v>185</v>
      </c>
      <c r="AI50" s="227">
        <f>VLOOKUP(AH50,DATA!$B$13:$C$19,2,0)</f>
        <v>100</v>
      </c>
      <c r="AJ50" s="4">
        <f>VLOOKUP($AH$1,DATA!$B$24:$C$45,2,0)</f>
        <v>0.05</v>
      </c>
      <c r="AK50" s="69">
        <f>BaseDeDatos[[#This Row],[Read info
Status]]*(AJ50)/100</f>
        <v>0.05</v>
      </c>
      <c r="AL50" s="79">
        <f t="shared" si="53"/>
        <v>0.70000000000000007</v>
      </c>
      <c r="AM50" s="226" t="s">
        <v>185</v>
      </c>
      <c r="AN50" s="227">
        <f>VLOOKUP(AM50,DATA!$B$13:$C$19,2,0)</f>
        <v>100</v>
      </c>
      <c r="AO50" s="4">
        <f>VLOOKUP($AM$1,DATA!$B$24:$C$45,2,0)</f>
        <v>0.05</v>
      </c>
      <c r="AP50" s="4">
        <f t="shared" si="54"/>
        <v>0.05</v>
      </c>
      <c r="AQ50" s="69">
        <f t="shared" si="55"/>
        <v>0.70000000000000007</v>
      </c>
      <c r="AR50" s="5">
        <v>45873</v>
      </c>
      <c r="AS50" s="95">
        <v>45882</v>
      </c>
      <c r="AT50" s="226" t="s">
        <v>185</v>
      </c>
      <c r="AU50" s="227">
        <f>VLOOKUP(AT50,DATA!$B$13:$C$19,2,0)</f>
        <v>100</v>
      </c>
      <c r="AV50" s="4">
        <f>VLOOKUP($AT$1,DATA!$B$24:$C$45,2,0)</f>
        <v>0.01</v>
      </c>
      <c r="AW50" s="4">
        <f t="shared" si="56"/>
        <v>0.01</v>
      </c>
      <c r="AX50" s="69">
        <f t="shared" si="57"/>
        <v>0.14000000000000001</v>
      </c>
      <c r="AY50" s="5">
        <v>45905</v>
      </c>
      <c r="AZ50" s="95">
        <v>45912</v>
      </c>
      <c r="BA50" s="226" t="s">
        <v>185</v>
      </c>
      <c r="BB50" s="227">
        <f>VLOOKUP(BA50,DATA!$B$13:$C$19,2,0)</f>
        <v>100</v>
      </c>
      <c r="BC50" s="4">
        <f>VLOOKUP($BA$1,DATA!$B$24:$C$45,2,0)</f>
        <v>0.01</v>
      </c>
      <c r="BD50" s="4">
        <f t="shared" si="58"/>
        <v>0.01</v>
      </c>
      <c r="BE50" s="79">
        <f t="shared" si="59"/>
        <v>0.14000000000000001</v>
      </c>
      <c r="BF50" s="226" t="s">
        <v>185</v>
      </c>
      <c r="BG50" s="227">
        <f>VLOOKUP(BF50,DATA!$B$13:$C$19,2,0)</f>
        <v>100</v>
      </c>
      <c r="BH50" s="4">
        <f>VLOOKUP($BF$1,DATA!$B$24:$C$45,2,0)</f>
        <v>0.08</v>
      </c>
      <c r="BI50" s="4">
        <f t="shared" si="60"/>
        <v>0.08</v>
      </c>
      <c r="BJ50" s="79">
        <f t="shared" si="61"/>
        <v>1.1200000000000001</v>
      </c>
      <c r="BK50" s="226" t="s">
        <v>185</v>
      </c>
      <c r="BL50" s="227">
        <f>VLOOKUP(BK50,DATA!$B$13:$C$19,2,0)</f>
        <v>100</v>
      </c>
      <c r="BM50" s="4">
        <f>VLOOKUP($BK$1,DATA!$B$24:$C$45,2,0)</f>
        <v>0.18</v>
      </c>
      <c r="BN50" s="4">
        <f t="shared" si="62"/>
        <v>0.18</v>
      </c>
      <c r="BO50" s="79">
        <f t="shared" si="63"/>
        <v>2.52</v>
      </c>
      <c r="BP50" s="226" t="s">
        <v>185</v>
      </c>
      <c r="BQ50" s="227">
        <f>VLOOKUP(BP50,DATA!$B$13:$C$19,2,0)</f>
        <v>100</v>
      </c>
      <c r="BR50" s="4">
        <f>VLOOKUP($BP$1,DATA!$B$24:$C$45,2,0)</f>
        <v>0.28000000000000003</v>
      </c>
      <c r="BS50" s="4">
        <f t="shared" si="64"/>
        <v>0.28000000000000003</v>
      </c>
      <c r="BT50" s="79">
        <f t="shared" si="65"/>
        <v>3.9200000000000004</v>
      </c>
      <c r="BU50" s="226" t="s">
        <v>185</v>
      </c>
      <c r="BV50" s="227">
        <f>VLOOKUP(BU50,DATA!$B$13:$C$19,2,0)</f>
        <v>100</v>
      </c>
      <c r="BW50" s="4">
        <f>VLOOKUP($BU$1,DATA!$B$24:$C$45,2,0)</f>
        <v>0.15</v>
      </c>
      <c r="BX50" s="4">
        <f t="shared" si="66"/>
        <v>0.15</v>
      </c>
      <c r="BY50" s="79">
        <f t="shared" si="67"/>
        <v>2.1</v>
      </c>
      <c r="BZ50" s="226" t="s">
        <v>185</v>
      </c>
      <c r="CA50" s="227">
        <f>VLOOKUP(BZ50,DATA!$B$13:$C$19,2,0)</f>
        <v>100</v>
      </c>
      <c r="CB50" s="4">
        <f>VLOOKUP($BZ$1,DATA!$B$24:$C$45,2,0)</f>
        <v>0.16</v>
      </c>
      <c r="CC50" s="4">
        <f t="shared" si="68"/>
        <v>0.16</v>
      </c>
      <c r="CD50" s="79">
        <f t="shared" si="69"/>
        <v>2.2400000000000002</v>
      </c>
      <c r="CE50" s="226" t="s">
        <v>185</v>
      </c>
      <c r="CF50" s="227">
        <f>VLOOKUP(CE50,DATA!$B$13:$C$19,2,0)</f>
        <v>100</v>
      </c>
      <c r="CG50" s="4">
        <f>VLOOKUP($CE$1,DATA!$B$24:$C$45,2,0)</f>
        <v>0.13</v>
      </c>
      <c r="CH50" s="4">
        <f t="shared" si="70"/>
        <v>0.13</v>
      </c>
      <c r="CI50" s="79">
        <f t="shared" si="71"/>
        <v>1.82</v>
      </c>
      <c r="CJ50" s="226" t="s">
        <v>185</v>
      </c>
      <c r="CK50" s="227">
        <f>VLOOKUP(CJ50,DATA!$B$13:$C$19,2,0)</f>
        <v>100</v>
      </c>
      <c r="CL50" s="4">
        <f>VLOOKUP($CJ$1,DATA!$B$24:$C$45,2,0)</f>
        <v>0.01</v>
      </c>
      <c r="CM50" s="4">
        <f t="shared" si="72"/>
        <v>0.01</v>
      </c>
      <c r="CN50" s="79">
        <f t="shared" si="73"/>
        <v>0.14000000000000001</v>
      </c>
      <c r="CO50" s="83">
        <f t="shared" si="74"/>
        <v>1</v>
      </c>
      <c r="CP50" s="4">
        <f>VLOOKUP($CO$1,DATA!$B$24:$C$45,2,0)</f>
        <v>0.54</v>
      </c>
      <c r="CQ50" s="81">
        <f t="shared" si="75"/>
        <v>0.54</v>
      </c>
      <c r="CR50" s="80">
        <f t="shared" si="76"/>
        <v>7.5600000000000005</v>
      </c>
      <c r="CS50" s="129">
        <f t="shared" si="77"/>
        <v>7.5600000000000005</v>
      </c>
      <c r="CT50" s="242">
        <f t="shared" si="78"/>
        <v>0</v>
      </c>
      <c r="CU50" s="226" t="s">
        <v>185</v>
      </c>
      <c r="CV50" s="227">
        <f>VLOOKUP(CU50,DATA!$B$13:$C$19,2,0)</f>
        <v>100</v>
      </c>
      <c r="CW50" s="4">
        <f>VLOOKUP($CU$1,DATA!$B$24:$C$45,2,0)</f>
        <v>0.02</v>
      </c>
      <c r="CX50" s="4">
        <f t="shared" si="79"/>
        <v>0.02</v>
      </c>
      <c r="CY50" s="69">
        <f t="shared" si="80"/>
        <v>0.28000000000000003</v>
      </c>
      <c r="CZ50" s="87">
        <v>45908</v>
      </c>
      <c r="DA50" s="86">
        <v>45919</v>
      </c>
      <c r="DB50" s="226" t="s">
        <v>185</v>
      </c>
      <c r="DC50" s="227">
        <f>VLOOKUP(DB50,DATA!$B$13:$C$19,2,0)</f>
        <v>100</v>
      </c>
      <c r="DD50" s="4">
        <f>VLOOKUP($DB$1,DATA!$B$24:$C$45,2,0)</f>
        <v>0.01</v>
      </c>
      <c r="DE50" s="4">
        <f t="shared" si="81"/>
        <v>0.01</v>
      </c>
      <c r="DF50" s="69">
        <f t="shared" si="82"/>
        <v>0.14000000000000001</v>
      </c>
      <c r="DG50" s="87">
        <v>45940</v>
      </c>
      <c r="DH50" s="86">
        <v>45923</v>
      </c>
      <c r="DI50" s="226" t="s">
        <v>185</v>
      </c>
      <c r="DJ50" s="227">
        <f>VLOOKUP(DI50,DATA!$B$13:$C$19,2,0)</f>
        <v>100</v>
      </c>
      <c r="DK50" s="4">
        <f>VLOOKUP($DI$1,DATA!$B$24:$C$45,2,0)</f>
        <v>0.03</v>
      </c>
      <c r="DL50" s="4">
        <f t="shared" si="83"/>
        <v>0.03</v>
      </c>
      <c r="DM50" s="79">
        <f t="shared" si="84"/>
        <v>0.42</v>
      </c>
      <c r="DN50" s="226" t="s">
        <v>185</v>
      </c>
      <c r="DO50" s="227">
        <f>VLOOKUP(DN50,DATA!$B$13:$C$19,2,0)</f>
        <v>100</v>
      </c>
      <c r="DP50" s="4">
        <f>VLOOKUP($DN$1,DATA!$B$24:$C$45,2,0)</f>
        <v>7.0000000000000007E-2</v>
      </c>
      <c r="DQ50" s="4">
        <f t="shared" si="85"/>
        <v>7.0000000000000007E-2</v>
      </c>
      <c r="DR50" s="69">
        <f t="shared" si="86"/>
        <v>0.98000000000000009</v>
      </c>
      <c r="DS50" s="87">
        <v>45926</v>
      </c>
      <c r="DT50" s="86">
        <v>45924</v>
      </c>
      <c r="DU50" s="226" t="s">
        <v>185</v>
      </c>
      <c r="DV50" s="227">
        <f>VLOOKUP(DU50,DATA!$B$13:$C$19,2,0)</f>
        <v>100</v>
      </c>
      <c r="DW50" s="4">
        <f>VLOOKUP($DU$1,DATA!$B$24:$C$45,2,0)</f>
        <v>0.04</v>
      </c>
      <c r="DX50" s="4">
        <f t="shared" si="87"/>
        <v>0.04</v>
      </c>
      <c r="DY50" s="69">
        <f t="shared" si="88"/>
        <v>0.56000000000000005</v>
      </c>
      <c r="DZ50" s="87">
        <v>45944</v>
      </c>
      <c r="EA50" s="86">
        <v>45938</v>
      </c>
      <c r="EB50" s="226" t="s">
        <v>220</v>
      </c>
      <c r="EC50" s="227">
        <f>VLOOKUP(EB50,DATA!$B$13:$C$19,2,0)</f>
        <v>50</v>
      </c>
      <c r="ED50" s="4">
        <f>VLOOKUP($EB$1,DATA!$B$24:$C$45,2,0)</f>
        <v>0.05</v>
      </c>
      <c r="EE50" s="4">
        <f t="shared" si="89"/>
        <v>2.5000000000000001E-2</v>
      </c>
      <c r="EF50" s="69">
        <f t="shared" si="90"/>
        <v>0.70000000000000007</v>
      </c>
      <c r="EG50" s="87">
        <v>45950</v>
      </c>
      <c r="EH50" s="86"/>
      <c r="EI50" s="226" t="s">
        <v>185</v>
      </c>
      <c r="EJ50" s="227">
        <f>VLOOKUP(EI50,DATA!$B$13:$C$19,2,0)</f>
        <v>100</v>
      </c>
      <c r="EK50" s="4">
        <f>VLOOKUP($EI$1,DATA!$B$24:$C$45,2,0)</f>
        <v>0.1</v>
      </c>
      <c r="EL50" s="4">
        <f t="shared" si="91"/>
        <v>0.1</v>
      </c>
      <c r="EM50" s="69">
        <f t="shared" si="92"/>
        <v>1.4000000000000001</v>
      </c>
      <c r="EN50" s="87">
        <v>45947</v>
      </c>
      <c r="EO50" s="86">
        <v>46003</v>
      </c>
      <c r="EP50" s="226" t="s">
        <v>220</v>
      </c>
      <c r="EQ50" s="227">
        <f>VLOOKUP(EP50,DATA!$B$13:$C$19,2,0)</f>
        <v>50</v>
      </c>
      <c r="ER50" s="4">
        <f>VLOOKUP($EP$1,DATA!$B$24:$C$45,2,0)</f>
        <v>0.03</v>
      </c>
      <c r="ES50" s="4">
        <f t="shared" si="93"/>
        <v>1.4999999999999999E-2</v>
      </c>
      <c r="ET50" s="79">
        <f t="shared" si="94"/>
        <v>0.42</v>
      </c>
      <c r="EU50" s="244">
        <f t="shared" si="95"/>
        <v>1.1200000000000001</v>
      </c>
      <c r="EV50" s="85" t="s">
        <v>187</v>
      </c>
      <c r="EW50" s="134" t="s">
        <v>187</v>
      </c>
      <c r="EX50" s="6"/>
    </row>
    <row r="51" spans="1:154" x14ac:dyDescent="0.3">
      <c r="A51" s="3" t="s">
        <v>180</v>
      </c>
      <c r="B51" s="3" t="s">
        <v>189</v>
      </c>
      <c r="C51" s="3" t="s">
        <v>304</v>
      </c>
      <c r="D51" s="85" t="s">
        <v>308</v>
      </c>
      <c r="E51" s="85" t="s">
        <v>306</v>
      </c>
      <c r="F51" s="3">
        <v>3336</v>
      </c>
      <c r="G51" s="3" t="s">
        <v>309</v>
      </c>
      <c r="H51" s="3">
        <v>8</v>
      </c>
      <c r="I51" s="3"/>
      <c r="J51" s="229">
        <f>BaseDeDatos[[#This Row],[Budget CS]]+BaseDeDatos[[#This Row],[Change Orders Budget]]</f>
        <v>8</v>
      </c>
      <c r="K51" s="92">
        <f>IFERROR(VLOOKUP(G51, DATA!H:I, 2, FALSE), 0)+BaseDeDatos[[#This Row],[Labor Spend on Design errors]]+BaseDeDatos[[#This Row],[Labor
Spent Customer changes]]</f>
        <v>7</v>
      </c>
      <c r="L51" s="92">
        <v>0</v>
      </c>
      <c r="M51" s="92"/>
      <c r="N51" s="232">
        <f t="shared" si="48"/>
        <v>0.96000000000000008</v>
      </c>
      <c r="O51" s="238">
        <f t="shared" si="49"/>
        <v>7</v>
      </c>
      <c r="P51" s="39">
        <v>26.73</v>
      </c>
      <c r="Q51" s="89">
        <f>BaseDeDatos[[#This Row],[Budget]]*BaseDeDatos[[#This Row],[Labor Rate from CS]]</f>
        <v>213.84</v>
      </c>
      <c r="R51" s="89">
        <f>BaseDeDatos[[#This Row],[Labor
Spent]]*BaseDeDatos[[#This Row],[Labor Rate from CS]]</f>
        <v>187.11</v>
      </c>
      <c r="S51" s="93">
        <f t="shared" si="50"/>
        <v>0.875</v>
      </c>
      <c r="T51" s="98">
        <v>79013</v>
      </c>
      <c r="U51" s="98">
        <v>2559</v>
      </c>
      <c r="V51" s="98">
        <v>2234.61</v>
      </c>
      <c r="W51" s="98">
        <v>16865.91</v>
      </c>
      <c r="X51" s="98">
        <v>16865.91</v>
      </c>
      <c r="Y51" s="98"/>
      <c r="Z51" s="98"/>
      <c r="AA51" s="98">
        <v>65712</v>
      </c>
      <c r="AB51" s="89">
        <f t="shared" si="51"/>
        <v>48632.25</v>
      </c>
      <c r="AC51" s="120">
        <f>SUM(AB51,X51,R51,BaseDeDatos[[#This Row],[Additionals cost]])</f>
        <v>67919.88</v>
      </c>
      <c r="AD51" s="117">
        <v>0.16830000000000001</v>
      </c>
      <c r="AE51" s="117">
        <v>0.1678</v>
      </c>
      <c r="AF51" s="240">
        <f t="shared" si="52"/>
        <v>0.16867768595041316</v>
      </c>
      <c r="AG51" s="226">
        <v>45867</v>
      </c>
      <c r="AH51" s="226" t="s">
        <v>185</v>
      </c>
      <c r="AI51" s="227">
        <f>VLOOKUP(AH51,DATA!$B$13:$C$19,2,0)</f>
        <v>100</v>
      </c>
      <c r="AJ51" s="4">
        <f>VLOOKUP($AH$1,DATA!$B$24:$C$45,2,0)</f>
        <v>0.05</v>
      </c>
      <c r="AK51" s="69">
        <f>BaseDeDatos[[#This Row],[Read info
Status]]*(AJ51)/100</f>
        <v>0.05</v>
      </c>
      <c r="AL51" s="79">
        <f t="shared" si="53"/>
        <v>0.4</v>
      </c>
      <c r="AM51" s="226" t="s">
        <v>185</v>
      </c>
      <c r="AN51" s="227">
        <f>VLOOKUP(AM51,DATA!$B$13:$C$19,2,0)</f>
        <v>100</v>
      </c>
      <c r="AO51" s="4">
        <f>VLOOKUP($AM$1,DATA!$B$24:$C$45,2,0)</f>
        <v>0.05</v>
      </c>
      <c r="AP51" s="4">
        <f t="shared" si="54"/>
        <v>0.05</v>
      </c>
      <c r="AQ51" s="69">
        <f t="shared" si="55"/>
        <v>0.4</v>
      </c>
      <c r="AR51" s="5">
        <v>45873</v>
      </c>
      <c r="AS51" s="95">
        <v>45882</v>
      </c>
      <c r="AT51" s="226" t="s">
        <v>185</v>
      </c>
      <c r="AU51" s="227">
        <f>VLOOKUP(AT51,DATA!$B$13:$C$19,2,0)</f>
        <v>100</v>
      </c>
      <c r="AV51" s="4">
        <f>VLOOKUP($AT$1,DATA!$B$24:$C$45,2,0)</f>
        <v>0.01</v>
      </c>
      <c r="AW51" s="4">
        <f t="shared" si="56"/>
        <v>0.01</v>
      </c>
      <c r="AX51" s="69">
        <f t="shared" si="57"/>
        <v>0.08</v>
      </c>
      <c r="AY51" s="5">
        <v>45905</v>
      </c>
      <c r="AZ51" s="95">
        <v>45912</v>
      </c>
      <c r="BA51" s="226" t="s">
        <v>185</v>
      </c>
      <c r="BB51" s="227">
        <f>VLOOKUP(BA51,DATA!$B$13:$C$19,2,0)</f>
        <v>100</v>
      </c>
      <c r="BC51" s="4">
        <f>VLOOKUP($BA$1,DATA!$B$24:$C$45,2,0)</f>
        <v>0.01</v>
      </c>
      <c r="BD51" s="4">
        <f t="shared" si="58"/>
        <v>0.01</v>
      </c>
      <c r="BE51" s="79">
        <f t="shared" si="59"/>
        <v>0.08</v>
      </c>
      <c r="BF51" s="226" t="s">
        <v>185</v>
      </c>
      <c r="BG51" s="227">
        <f>VLOOKUP(BF51,DATA!$B$13:$C$19,2,0)</f>
        <v>100</v>
      </c>
      <c r="BH51" s="4">
        <f>VLOOKUP($BF$1,DATA!$B$24:$C$45,2,0)</f>
        <v>0.08</v>
      </c>
      <c r="BI51" s="4">
        <f t="shared" si="60"/>
        <v>0.08</v>
      </c>
      <c r="BJ51" s="79">
        <f t="shared" si="61"/>
        <v>0.64</v>
      </c>
      <c r="BK51" s="226" t="s">
        <v>185</v>
      </c>
      <c r="BL51" s="227">
        <f>VLOOKUP(BK51,DATA!$B$13:$C$19,2,0)</f>
        <v>100</v>
      </c>
      <c r="BM51" s="4">
        <f>VLOOKUP($BK$1,DATA!$B$24:$C$45,2,0)</f>
        <v>0.18</v>
      </c>
      <c r="BN51" s="4">
        <f t="shared" si="62"/>
        <v>0.18</v>
      </c>
      <c r="BO51" s="79">
        <f t="shared" si="63"/>
        <v>1.44</v>
      </c>
      <c r="BP51" s="226" t="s">
        <v>185</v>
      </c>
      <c r="BQ51" s="227">
        <f>VLOOKUP(BP51,DATA!$B$13:$C$19,2,0)</f>
        <v>100</v>
      </c>
      <c r="BR51" s="4">
        <f>VLOOKUP($BP$1,DATA!$B$24:$C$45,2,0)</f>
        <v>0.28000000000000003</v>
      </c>
      <c r="BS51" s="4">
        <f t="shared" si="64"/>
        <v>0.28000000000000003</v>
      </c>
      <c r="BT51" s="79">
        <f t="shared" si="65"/>
        <v>2.2400000000000002</v>
      </c>
      <c r="BU51" s="226" t="s">
        <v>185</v>
      </c>
      <c r="BV51" s="227">
        <f>VLOOKUP(BU51,DATA!$B$13:$C$19,2,0)</f>
        <v>100</v>
      </c>
      <c r="BW51" s="4">
        <f>VLOOKUP($BU$1,DATA!$B$24:$C$45,2,0)</f>
        <v>0.15</v>
      </c>
      <c r="BX51" s="4">
        <f t="shared" si="66"/>
        <v>0.15</v>
      </c>
      <c r="BY51" s="79">
        <f t="shared" si="67"/>
        <v>1.2</v>
      </c>
      <c r="BZ51" s="226" t="s">
        <v>185</v>
      </c>
      <c r="CA51" s="227">
        <f>VLOOKUP(BZ51,DATA!$B$13:$C$19,2,0)</f>
        <v>100</v>
      </c>
      <c r="CB51" s="4">
        <f>VLOOKUP($BZ$1,DATA!$B$24:$C$45,2,0)</f>
        <v>0.16</v>
      </c>
      <c r="CC51" s="4">
        <f t="shared" si="68"/>
        <v>0.16</v>
      </c>
      <c r="CD51" s="79">
        <f t="shared" si="69"/>
        <v>1.28</v>
      </c>
      <c r="CE51" s="226" t="s">
        <v>185</v>
      </c>
      <c r="CF51" s="227">
        <f>VLOOKUP(CE51,DATA!$B$13:$C$19,2,0)</f>
        <v>100</v>
      </c>
      <c r="CG51" s="4">
        <f>VLOOKUP($CE$1,DATA!$B$24:$C$45,2,0)</f>
        <v>0.13</v>
      </c>
      <c r="CH51" s="4">
        <f t="shared" si="70"/>
        <v>0.13</v>
      </c>
      <c r="CI51" s="79">
        <f t="shared" si="71"/>
        <v>1.04</v>
      </c>
      <c r="CJ51" s="226" t="s">
        <v>185</v>
      </c>
      <c r="CK51" s="227">
        <f>VLOOKUP(CJ51,DATA!$B$13:$C$19,2,0)</f>
        <v>100</v>
      </c>
      <c r="CL51" s="4">
        <f>VLOOKUP($CJ$1,DATA!$B$24:$C$45,2,0)</f>
        <v>0.01</v>
      </c>
      <c r="CM51" s="4">
        <f t="shared" si="72"/>
        <v>0.01</v>
      </c>
      <c r="CN51" s="79">
        <f t="shared" si="73"/>
        <v>0.08</v>
      </c>
      <c r="CO51" s="83">
        <f t="shared" si="74"/>
        <v>1</v>
      </c>
      <c r="CP51" s="4">
        <f>VLOOKUP($CO$1,DATA!$B$24:$C$45,2,0)</f>
        <v>0.54</v>
      </c>
      <c r="CQ51" s="81">
        <f t="shared" si="75"/>
        <v>0.54</v>
      </c>
      <c r="CR51" s="80">
        <f t="shared" si="76"/>
        <v>4.32</v>
      </c>
      <c r="CS51" s="129">
        <f t="shared" si="77"/>
        <v>4.32</v>
      </c>
      <c r="CT51" s="242">
        <f t="shared" si="78"/>
        <v>0</v>
      </c>
      <c r="CU51" s="226" t="s">
        <v>185</v>
      </c>
      <c r="CV51" s="227">
        <f>VLOOKUP(CU51,DATA!$B$13:$C$19,2,0)</f>
        <v>100</v>
      </c>
      <c r="CW51" s="4">
        <f>VLOOKUP($CU$1,DATA!$B$24:$C$45,2,0)</f>
        <v>0.02</v>
      </c>
      <c r="CX51" s="4">
        <f t="shared" si="79"/>
        <v>0.02</v>
      </c>
      <c r="CY51" s="69">
        <f t="shared" si="80"/>
        <v>0.16</v>
      </c>
      <c r="CZ51" s="87">
        <v>45908</v>
      </c>
      <c r="DA51" s="86">
        <v>45922</v>
      </c>
      <c r="DB51" s="226" t="s">
        <v>185</v>
      </c>
      <c r="DC51" s="227">
        <f>VLOOKUP(DB51,DATA!$B$13:$C$19,2,0)</f>
        <v>100</v>
      </c>
      <c r="DD51" s="4">
        <f>VLOOKUP($DB$1,DATA!$B$24:$C$45,2,0)</f>
        <v>0.01</v>
      </c>
      <c r="DE51" s="4">
        <f t="shared" si="81"/>
        <v>0.01</v>
      </c>
      <c r="DF51" s="69">
        <f t="shared" si="82"/>
        <v>0.08</v>
      </c>
      <c r="DG51" s="87">
        <v>45940</v>
      </c>
      <c r="DH51" s="86">
        <v>45923</v>
      </c>
      <c r="DI51" s="226" t="s">
        <v>185</v>
      </c>
      <c r="DJ51" s="227">
        <f>VLOOKUP(DI51,DATA!$B$13:$C$19,2,0)</f>
        <v>100</v>
      </c>
      <c r="DK51" s="4">
        <f>VLOOKUP($DI$1,DATA!$B$24:$C$45,2,0)</f>
        <v>0.03</v>
      </c>
      <c r="DL51" s="4">
        <f t="shared" si="83"/>
        <v>0.03</v>
      </c>
      <c r="DM51" s="79">
        <f t="shared" si="84"/>
        <v>0.24</v>
      </c>
      <c r="DN51" s="226" t="s">
        <v>185</v>
      </c>
      <c r="DO51" s="227">
        <f>VLOOKUP(DN51,DATA!$B$13:$C$19,2,0)</f>
        <v>100</v>
      </c>
      <c r="DP51" s="4">
        <f>VLOOKUP($DN$1,DATA!$B$24:$C$45,2,0)</f>
        <v>7.0000000000000007E-2</v>
      </c>
      <c r="DQ51" s="4">
        <f t="shared" si="85"/>
        <v>7.0000000000000007E-2</v>
      </c>
      <c r="DR51" s="69">
        <f t="shared" si="86"/>
        <v>0.56000000000000005</v>
      </c>
      <c r="DS51" s="87">
        <v>45926</v>
      </c>
      <c r="DT51" s="86">
        <v>45924</v>
      </c>
      <c r="DU51" s="226" t="s">
        <v>185</v>
      </c>
      <c r="DV51" s="227">
        <f>VLOOKUP(DU51,DATA!$B$13:$C$19,2,0)</f>
        <v>100</v>
      </c>
      <c r="DW51" s="4">
        <f>VLOOKUP($DU$1,DATA!$B$24:$C$45,2,0)</f>
        <v>0.04</v>
      </c>
      <c r="DX51" s="4">
        <f t="shared" si="87"/>
        <v>0.04</v>
      </c>
      <c r="DY51" s="69">
        <f t="shared" si="88"/>
        <v>0.32</v>
      </c>
      <c r="DZ51" s="87">
        <v>45944</v>
      </c>
      <c r="EA51" s="86">
        <v>45938</v>
      </c>
      <c r="EB51" s="226" t="s">
        <v>220</v>
      </c>
      <c r="EC51" s="227">
        <f>VLOOKUP(EB51,DATA!$B$13:$C$19,2,0)</f>
        <v>50</v>
      </c>
      <c r="ED51" s="4">
        <f>VLOOKUP($EB$1,DATA!$B$24:$C$45,2,0)</f>
        <v>0.05</v>
      </c>
      <c r="EE51" s="4">
        <f t="shared" si="89"/>
        <v>2.5000000000000001E-2</v>
      </c>
      <c r="EF51" s="69">
        <f t="shared" si="90"/>
        <v>0.4</v>
      </c>
      <c r="EG51" s="87">
        <v>45950</v>
      </c>
      <c r="EH51" s="86"/>
      <c r="EI51" s="226" t="s">
        <v>185</v>
      </c>
      <c r="EJ51" s="227">
        <f>VLOOKUP(EI51,DATA!$B$13:$C$19,2,0)</f>
        <v>100</v>
      </c>
      <c r="EK51" s="4">
        <f>VLOOKUP($EI$1,DATA!$B$24:$C$45,2,0)</f>
        <v>0.1</v>
      </c>
      <c r="EL51" s="4">
        <f t="shared" si="91"/>
        <v>0.1</v>
      </c>
      <c r="EM51" s="69">
        <f t="shared" si="92"/>
        <v>0.8</v>
      </c>
      <c r="EN51" s="87">
        <v>45947</v>
      </c>
      <c r="EO51" s="86">
        <v>46003</v>
      </c>
      <c r="EP51" s="226" t="s">
        <v>220</v>
      </c>
      <c r="EQ51" s="227">
        <f>VLOOKUP(EP51,DATA!$B$13:$C$19,2,0)</f>
        <v>50</v>
      </c>
      <c r="ER51" s="4">
        <f>VLOOKUP($EP$1,DATA!$B$24:$C$45,2,0)</f>
        <v>0.03</v>
      </c>
      <c r="ES51" s="4">
        <f t="shared" si="93"/>
        <v>1.4999999999999999E-2</v>
      </c>
      <c r="ET51" s="79">
        <f t="shared" si="94"/>
        <v>0.24</v>
      </c>
      <c r="EU51" s="244">
        <f t="shared" si="95"/>
        <v>0.64</v>
      </c>
      <c r="EV51" s="85" t="s">
        <v>187</v>
      </c>
      <c r="EW51" s="134" t="s">
        <v>187</v>
      </c>
      <c r="EX51" s="6"/>
    </row>
    <row r="52" spans="1:154" x14ac:dyDescent="0.3">
      <c r="A52" s="3" t="s">
        <v>180</v>
      </c>
      <c r="B52" s="3" t="s">
        <v>189</v>
      </c>
      <c r="C52" s="3" t="s">
        <v>304</v>
      </c>
      <c r="D52" s="85" t="s">
        <v>310</v>
      </c>
      <c r="E52" s="85" t="s">
        <v>306</v>
      </c>
      <c r="F52" s="3">
        <v>3336</v>
      </c>
      <c r="G52" s="3" t="s">
        <v>311</v>
      </c>
      <c r="H52" s="3">
        <v>14</v>
      </c>
      <c r="I52" s="3"/>
      <c r="J52" s="229">
        <f>BaseDeDatos[[#This Row],[Budget CS]]+BaseDeDatos[[#This Row],[Change Orders Budget]]</f>
        <v>14</v>
      </c>
      <c r="K52" s="92">
        <f>IFERROR(VLOOKUP(G52, DATA!H:I, 2, FALSE), 0)+BaseDeDatos[[#This Row],[Labor Spend on Design errors]]+BaseDeDatos[[#This Row],[Labor
Spent Customer changes]]</f>
        <v>13</v>
      </c>
      <c r="L52" s="92">
        <v>0</v>
      </c>
      <c r="M52" s="92">
        <v>1</v>
      </c>
      <c r="N52" s="232">
        <f t="shared" si="48"/>
        <v>0.96000000000000008</v>
      </c>
      <c r="O52" s="238">
        <f t="shared" si="49"/>
        <v>13</v>
      </c>
      <c r="P52" s="39">
        <v>26.73</v>
      </c>
      <c r="Q52" s="89">
        <f>BaseDeDatos[[#This Row],[Budget]]*BaseDeDatos[[#This Row],[Labor Rate from CS]]</f>
        <v>374.22</v>
      </c>
      <c r="R52" s="89">
        <f>BaseDeDatos[[#This Row],[Labor
Spent]]*BaseDeDatos[[#This Row],[Labor Rate from CS]]</f>
        <v>347.49</v>
      </c>
      <c r="S52" s="93">
        <f t="shared" si="50"/>
        <v>0.9285714285714286</v>
      </c>
      <c r="T52" s="98">
        <v>45833</v>
      </c>
      <c r="U52" s="98">
        <v>2559</v>
      </c>
      <c r="V52" s="98">
        <v>2234.61</v>
      </c>
      <c r="W52" s="98">
        <v>14845.91</v>
      </c>
      <c r="X52" s="98">
        <v>14845.91</v>
      </c>
      <c r="Y52" s="98"/>
      <c r="Z52" s="98"/>
      <c r="AA52" s="98">
        <v>38117.18</v>
      </c>
      <c r="AB52" s="89">
        <f t="shared" si="51"/>
        <v>22897.05</v>
      </c>
      <c r="AC52" s="120">
        <f>SUM(AB52,X52,R52,BaseDeDatos[[#This Row],[Additionals cost]])</f>
        <v>40325.06</v>
      </c>
      <c r="AD52" s="117">
        <v>0.16830000000000001</v>
      </c>
      <c r="AE52" s="117">
        <v>0.1678</v>
      </c>
      <c r="AF52" s="240">
        <f t="shared" si="52"/>
        <v>0.16892959221521617</v>
      </c>
      <c r="AG52" s="226">
        <v>45867</v>
      </c>
      <c r="AH52" s="226" t="s">
        <v>185</v>
      </c>
      <c r="AI52" s="227">
        <f>VLOOKUP(AH52,DATA!$B$13:$C$19,2,0)</f>
        <v>100</v>
      </c>
      <c r="AJ52" s="4">
        <f>VLOOKUP($AH$1,DATA!$B$24:$C$45,2,0)</f>
        <v>0.05</v>
      </c>
      <c r="AK52" s="69">
        <f>BaseDeDatos[[#This Row],[Read info
Status]]*(AJ52)/100</f>
        <v>0.05</v>
      </c>
      <c r="AL52" s="79">
        <f t="shared" si="53"/>
        <v>0.70000000000000007</v>
      </c>
      <c r="AM52" s="226" t="s">
        <v>185</v>
      </c>
      <c r="AN52" s="227">
        <f>VLOOKUP(AM52,DATA!$B$13:$C$19,2,0)</f>
        <v>100</v>
      </c>
      <c r="AO52" s="4">
        <f>VLOOKUP($AM$1,DATA!$B$24:$C$45,2,0)</f>
        <v>0.05</v>
      </c>
      <c r="AP52" s="4">
        <f t="shared" si="54"/>
        <v>0.05</v>
      </c>
      <c r="AQ52" s="69">
        <f t="shared" si="55"/>
        <v>0.70000000000000007</v>
      </c>
      <c r="AR52" s="5">
        <v>45873</v>
      </c>
      <c r="AS52" s="95">
        <v>45882</v>
      </c>
      <c r="AT52" s="226" t="s">
        <v>185</v>
      </c>
      <c r="AU52" s="227">
        <f>VLOOKUP(AT52,DATA!$B$13:$C$19,2,0)</f>
        <v>100</v>
      </c>
      <c r="AV52" s="4">
        <f>VLOOKUP($AT$1,DATA!$B$24:$C$45,2,0)</f>
        <v>0.01</v>
      </c>
      <c r="AW52" s="4">
        <f t="shared" si="56"/>
        <v>0.01</v>
      </c>
      <c r="AX52" s="69">
        <f t="shared" si="57"/>
        <v>0.14000000000000001</v>
      </c>
      <c r="AY52" s="5">
        <v>45905</v>
      </c>
      <c r="AZ52" s="95">
        <v>45912</v>
      </c>
      <c r="BA52" s="226" t="s">
        <v>185</v>
      </c>
      <c r="BB52" s="227">
        <f>VLOOKUP(BA52,DATA!$B$13:$C$19,2,0)</f>
        <v>100</v>
      </c>
      <c r="BC52" s="4">
        <f>VLOOKUP($BA$1,DATA!$B$24:$C$45,2,0)</f>
        <v>0.01</v>
      </c>
      <c r="BD52" s="4">
        <f t="shared" si="58"/>
        <v>0.01</v>
      </c>
      <c r="BE52" s="79">
        <f t="shared" si="59"/>
        <v>0.14000000000000001</v>
      </c>
      <c r="BF52" s="226" t="s">
        <v>185</v>
      </c>
      <c r="BG52" s="227">
        <f>VLOOKUP(BF52,DATA!$B$13:$C$19,2,0)</f>
        <v>100</v>
      </c>
      <c r="BH52" s="4">
        <f>VLOOKUP($BF$1,DATA!$B$24:$C$45,2,0)</f>
        <v>0.08</v>
      </c>
      <c r="BI52" s="4">
        <f t="shared" si="60"/>
        <v>0.08</v>
      </c>
      <c r="BJ52" s="79">
        <f t="shared" si="61"/>
        <v>1.1200000000000001</v>
      </c>
      <c r="BK52" s="226" t="s">
        <v>185</v>
      </c>
      <c r="BL52" s="227">
        <f>VLOOKUP(BK52,DATA!$B$13:$C$19,2,0)</f>
        <v>100</v>
      </c>
      <c r="BM52" s="4">
        <f>VLOOKUP($BK$1,DATA!$B$24:$C$45,2,0)</f>
        <v>0.18</v>
      </c>
      <c r="BN52" s="4">
        <f t="shared" si="62"/>
        <v>0.18</v>
      </c>
      <c r="BO52" s="79">
        <f t="shared" si="63"/>
        <v>2.52</v>
      </c>
      <c r="BP52" s="226" t="s">
        <v>185</v>
      </c>
      <c r="BQ52" s="227">
        <f>VLOOKUP(BP52,DATA!$B$13:$C$19,2,0)</f>
        <v>100</v>
      </c>
      <c r="BR52" s="4">
        <f>VLOOKUP($BP$1,DATA!$B$24:$C$45,2,0)</f>
        <v>0.28000000000000003</v>
      </c>
      <c r="BS52" s="4">
        <f t="shared" si="64"/>
        <v>0.28000000000000003</v>
      </c>
      <c r="BT52" s="79">
        <f t="shared" si="65"/>
        <v>3.9200000000000004</v>
      </c>
      <c r="BU52" s="226" t="s">
        <v>185</v>
      </c>
      <c r="BV52" s="227">
        <f>VLOOKUP(BU52,DATA!$B$13:$C$19,2,0)</f>
        <v>100</v>
      </c>
      <c r="BW52" s="4">
        <f>VLOOKUP($BU$1,DATA!$B$24:$C$45,2,0)</f>
        <v>0.15</v>
      </c>
      <c r="BX52" s="4">
        <f t="shared" si="66"/>
        <v>0.15</v>
      </c>
      <c r="BY52" s="79">
        <f t="shared" si="67"/>
        <v>2.1</v>
      </c>
      <c r="BZ52" s="226" t="s">
        <v>185</v>
      </c>
      <c r="CA52" s="227">
        <f>VLOOKUP(BZ52,DATA!$B$13:$C$19,2,0)</f>
        <v>100</v>
      </c>
      <c r="CB52" s="4">
        <f>VLOOKUP($BZ$1,DATA!$B$24:$C$45,2,0)</f>
        <v>0.16</v>
      </c>
      <c r="CC52" s="4">
        <f t="shared" si="68"/>
        <v>0.16</v>
      </c>
      <c r="CD52" s="79">
        <f t="shared" si="69"/>
        <v>2.2400000000000002</v>
      </c>
      <c r="CE52" s="226" t="s">
        <v>185</v>
      </c>
      <c r="CF52" s="227">
        <f>VLOOKUP(CE52,DATA!$B$13:$C$19,2,0)</f>
        <v>100</v>
      </c>
      <c r="CG52" s="4">
        <f>VLOOKUP($CE$1,DATA!$B$24:$C$45,2,0)</f>
        <v>0.13</v>
      </c>
      <c r="CH52" s="4">
        <f t="shared" si="70"/>
        <v>0.13</v>
      </c>
      <c r="CI52" s="79">
        <f t="shared" si="71"/>
        <v>1.82</v>
      </c>
      <c r="CJ52" s="226" t="s">
        <v>185</v>
      </c>
      <c r="CK52" s="227">
        <f>VLOOKUP(CJ52,DATA!$B$13:$C$19,2,0)</f>
        <v>100</v>
      </c>
      <c r="CL52" s="4">
        <f>VLOOKUP($CJ$1,DATA!$B$24:$C$45,2,0)</f>
        <v>0.01</v>
      </c>
      <c r="CM52" s="4">
        <f t="shared" si="72"/>
        <v>0.01</v>
      </c>
      <c r="CN52" s="79">
        <f t="shared" si="73"/>
        <v>0.14000000000000001</v>
      </c>
      <c r="CO52" s="83">
        <f t="shared" si="74"/>
        <v>1</v>
      </c>
      <c r="CP52" s="4">
        <f>VLOOKUP($CO$1,DATA!$B$24:$C$45,2,0)</f>
        <v>0.54</v>
      </c>
      <c r="CQ52" s="81">
        <f t="shared" si="75"/>
        <v>0.54</v>
      </c>
      <c r="CR52" s="80">
        <f t="shared" si="76"/>
        <v>7.5600000000000005</v>
      </c>
      <c r="CS52" s="129">
        <f t="shared" si="77"/>
        <v>7.5600000000000005</v>
      </c>
      <c r="CT52" s="242">
        <f t="shared" si="78"/>
        <v>0</v>
      </c>
      <c r="CU52" s="226" t="s">
        <v>185</v>
      </c>
      <c r="CV52" s="227">
        <f>VLOOKUP(CU52,DATA!$B$13:$C$19,2,0)</f>
        <v>100</v>
      </c>
      <c r="CW52" s="4">
        <f>VLOOKUP($CU$1,DATA!$B$24:$C$45,2,0)</f>
        <v>0.02</v>
      </c>
      <c r="CX52" s="4">
        <f t="shared" si="79"/>
        <v>0.02</v>
      </c>
      <c r="CY52" s="69">
        <f t="shared" si="80"/>
        <v>0.28000000000000003</v>
      </c>
      <c r="CZ52" s="87">
        <v>45908</v>
      </c>
      <c r="DA52" s="86">
        <v>45919</v>
      </c>
      <c r="DB52" s="226" t="s">
        <v>185</v>
      </c>
      <c r="DC52" s="227">
        <f>VLOOKUP(DB52,DATA!$B$13:$C$19,2,0)</f>
        <v>100</v>
      </c>
      <c r="DD52" s="4">
        <f>VLOOKUP($DB$1,DATA!$B$24:$C$45,2,0)</f>
        <v>0.01</v>
      </c>
      <c r="DE52" s="4">
        <f t="shared" si="81"/>
        <v>0.01</v>
      </c>
      <c r="DF52" s="69">
        <f t="shared" si="82"/>
        <v>0.14000000000000001</v>
      </c>
      <c r="DG52" s="87">
        <v>45940</v>
      </c>
      <c r="DH52" s="86">
        <v>45923</v>
      </c>
      <c r="DI52" s="226" t="s">
        <v>185</v>
      </c>
      <c r="DJ52" s="227">
        <f>VLOOKUP(DI52,DATA!$B$13:$C$19,2,0)</f>
        <v>100</v>
      </c>
      <c r="DK52" s="4">
        <f>VLOOKUP($DI$1,DATA!$B$24:$C$45,2,0)</f>
        <v>0.03</v>
      </c>
      <c r="DL52" s="4">
        <f t="shared" si="83"/>
        <v>0.03</v>
      </c>
      <c r="DM52" s="79">
        <f t="shared" si="84"/>
        <v>0.42</v>
      </c>
      <c r="DN52" s="226" t="s">
        <v>185</v>
      </c>
      <c r="DO52" s="227">
        <f>VLOOKUP(DN52,DATA!$B$13:$C$19,2,0)</f>
        <v>100</v>
      </c>
      <c r="DP52" s="4">
        <f>VLOOKUP($DN$1,DATA!$B$24:$C$45,2,0)</f>
        <v>7.0000000000000007E-2</v>
      </c>
      <c r="DQ52" s="4">
        <f t="shared" si="85"/>
        <v>7.0000000000000007E-2</v>
      </c>
      <c r="DR52" s="69">
        <f t="shared" si="86"/>
        <v>0.98000000000000009</v>
      </c>
      <c r="DS52" s="87">
        <v>45926</v>
      </c>
      <c r="DT52" s="86">
        <v>45924</v>
      </c>
      <c r="DU52" s="226" t="s">
        <v>185</v>
      </c>
      <c r="DV52" s="227">
        <f>VLOOKUP(DU52,DATA!$B$13:$C$19,2,0)</f>
        <v>100</v>
      </c>
      <c r="DW52" s="4">
        <f>VLOOKUP($DU$1,DATA!$B$24:$C$45,2,0)</f>
        <v>0.04</v>
      </c>
      <c r="DX52" s="4">
        <f t="shared" si="87"/>
        <v>0.04</v>
      </c>
      <c r="DY52" s="69">
        <f t="shared" si="88"/>
        <v>0.56000000000000005</v>
      </c>
      <c r="DZ52" s="87">
        <v>45944</v>
      </c>
      <c r="EA52" s="86">
        <v>45938</v>
      </c>
      <c r="EB52" s="226" t="s">
        <v>220</v>
      </c>
      <c r="EC52" s="227">
        <f>VLOOKUP(EB52,DATA!$B$13:$C$19,2,0)</f>
        <v>50</v>
      </c>
      <c r="ED52" s="4">
        <f>VLOOKUP($EB$1,DATA!$B$24:$C$45,2,0)</f>
        <v>0.05</v>
      </c>
      <c r="EE52" s="4">
        <f t="shared" si="89"/>
        <v>2.5000000000000001E-2</v>
      </c>
      <c r="EF52" s="69">
        <f t="shared" si="90"/>
        <v>0.70000000000000007</v>
      </c>
      <c r="EG52" s="87">
        <v>45950</v>
      </c>
      <c r="EH52" s="86"/>
      <c r="EI52" s="226" t="s">
        <v>185</v>
      </c>
      <c r="EJ52" s="227">
        <f>VLOOKUP(EI52,DATA!$B$13:$C$19,2,0)</f>
        <v>100</v>
      </c>
      <c r="EK52" s="4">
        <f>VLOOKUP($EI$1,DATA!$B$24:$C$45,2,0)</f>
        <v>0.1</v>
      </c>
      <c r="EL52" s="4">
        <f t="shared" si="91"/>
        <v>0.1</v>
      </c>
      <c r="EM52" s="69">
        <f t="shared" si="92"/>
        <v>1.4000000000000001</v>
      </c>
      <c r="EN52" s="87">
        <v>45947</v>
      </c>
      <c r="EO52" s="86">
        <v>46003</v>
      </c>
      <c r="EP52" s="226" t="s">
        <v>220</v>
      </c>
      <c r="EQ52" s="227">
        <f>VLOOKUP(EP52,DATA!$B$13:$C$19,2,0)</f>
        <v>50</v>
      </c>
      <c r="ER52" s="4">
        <f>VLOOKUP($EP$1,DATA!$B$24:$C$45,2,0)</f>
        <v>0.03</v>
      </c>
      <c r="ES52" s="4">
        <f t="shared" si="93"/>
        <v>1.4999999999999999E-2</v>
      </c>
      <c r="ET52" s="79">
        <f t="shared" si="94"/>
        <v>0.42</v>
      </c>
      <c r="EU52" s="244">
        <f t="shared" si="95"/>
        <v>1.1200000000000001</v>
      </c>
      <c r="EV52" s="85" t="s">
        <v>187</v>
      </c>
      <c r="EW52" s="134" t="s">
        <v>187</v>
      </c>
      <c r="EX52" s="6"/>
    </row>
    <row r="53" spans="1:154" x14ac:dyDescent="0.3">
      <c r="A53" s="3" t="s">
        <v>180</v>
      </c>
      <c r="B53" s="3" t="s">
        <v>189</v>
      </c>
      <c r="C53" s="3" t="s">
        <v>304</v>
      </c>
      <c r="D53" s="85" t="s">
        <v>312</v>
      </c>
      <c r="E53" s="85" t="s">
        <v>306</v>
      </c>
      <c r="F53" s="3">
        <v>3336</v>
      </c>
      <c r="G53" s="3" t="s">
        <v>313</v>
      </c>
      <c r="H53" s="3">
        <v>8</v>
      </c>
      <c r="I53" s="3"/>
      <c r="J53" s="229">
        <f>BaseDeDatos[[#This Row],[Budget CS]]+BaseDeDatos[[#This Row],[Change Orders Budget]]</f>
        <v>8</v>
      </c>
      <c r="K53" s="92">
        <f>IFERROR(VLOOKUP(G53, DATA!H:I, 2, FALSE), 0)+BaseDeDatos[[#This Row],[Labor Spend on Design errors]]+BaseDeDatos[[#This Row],[Labor
Spent Customer changes]]</f>
        <v>7.5</v>
      </c>
      <c r="L53" s="92">
        <v>1</v>
      </c>
      <c r="M53" s="92">
        <v>1</v>
      </c>
      <c r="N53" s="232">
        <f t="shared" si="48"/>
        <v>0.96000000000000008</v>
      </c>
      <c r="O53" s="238">
        <f t="shared" si="49"/>
        <v>7.5</v>
      </c>
      <c r="P53" s="39">
        <v>26.73</v>
      </c>
      <c r="Q53" s="89">
        <f>BaseDeDatos[[#This Row],[Budget]]*BaseDeDatos[[#This Row],[Labor Rate from CS]]</f>
        <v>213.84</v>
      </c>
      <c r="R53" s="89">
        <f>BaseDeDatos[[#This Row],[Labor
Spent]]*BaseDeDatos[[#This Row],[Labor Rate from CS]]</f>
        <v>200.47499999999999</v>
      </c>
      <c r="S53" s="93">
        <f t="shared" si="50"/>
        <v>0.9375</v>
      </c>
      <c r="T53" s="98">
        <v>44268</v>
      </c>
      <c r="U53" s="98">
        <v>2559</v>
      </c>
      <c r="V53" s="98">
        <v>2234.61</v>
      </c>
      <c r="W53" s="98">
        <v>14965.91</v>
      </c>
      <c r="X53" s="98">
        <v>14965.91</v>
      </c>
      <c r="Y53" s="98"/>
      <c r="Z53" s="98"/>
      <c r="AA53" s="98">
        <v>36815.769999999997</v>
      </c>
      <c r="AB53" s="89">
        <f t="shared" si="51"/>
        <v>21636.019999999997</v>
      </c>
      <c r="AC53" s="120">
        <f>SUM(AB53,X53,R53,BaseDeDatos[[#This Row],[Additionals cost]])</f>
        <v>39037.014999999992</v>
      </c>
      <c r="AD53" s="117">
        <v>0.16830000000000001</v>
      </c>
      <c r="AE53" s="117">
        <v>0.1678</v>
      </c>
      <c r="AF53" s="240">
        <f t="shared" si="52"/>
        <v>0.16864540977681414</v>
      </c>
      <c r="AG53" s="226">
        <v>45867</v>
      </c>
      <c r="AH53" s="226" t="s">
        <v>185</v>
      </c>
      <c r="AI53" s="227">
        <f>VLOOKUP(AH53,DATA!$B$13:$C$19,2,0)</f>
        <v>100</v>
      </c>
      <c r="AJ53" s="4">
        <f>VLOOKUP($AH$1,DATA!$B$24:$C$45,2,0)</f>
        <v>0.05</v>
      </c>
      <c r="AK53" s="69">
        <f>BaseDeDatos[[#This Row],[Read info
Status]]*(AJ53)/100</f>
        <v>0.05</v>
      </c>
      <c r="AL53" s="79">
        <f t="shared" si="53"/>
        <v>0.4</v>
      </c>
      <c r="AM53" s="226" t="s">
        <v>185</v>
      </c>
      <c r="AN53" s="227">
        <f>VLOOKUP(AM53,DATA!$B$13:$C$19,2,0)</f>
        <v>100</v>
      </c>
      <c r="AO53" s="4">
        <f>VLOOKUP($AM$1,DATA!$B$24:$C$45,2,0)</f>
        <v>0.05</v>
      </c>
      <c r="AP53" s="4">
        <f t="shared" si="54"/>
        <v>0.05</v>
      </c>
      <c r="AQ53" s="69">
        <f t="shared" si="55"/>
        <v>0.4</v>
      </c>
      <c r="AR53" s="5">
        <v>45873</v>
      </c>
      <c r="AS53" s="95">
        <v>45882</v>
      </c>
      <c r="AT53" s="226" t="s">
        <v>185</v>
      </c>
      <c r="AU53" s="227">
        <f>VLOOKUP(AT53,DATA!$B$13:$C$19,2,0)</f>
        <v>100</v>
      </c>
      <c r="AV53" s="4">
        <f>VLOOKUP($AT$1,DATA!$B$24:$C$45,2,0)</f>
        <v>0.01</v>
      </c>
      <c r="AW53" s="4">
        <f t="shared" si="56"/>
        <v>0.01</v>
      </c>
      <c r="AX53" s="69">
        <f t="shared" si="57"/>
        <v>0.08</v>
      </c>
      <c r="AY53" s="5">
        <v>45905</v>
      </c>
      <c r="AZ53" s="95">
        <v>45912</v>
      </c>
      <c r="BA53" s="226" t="s">
        <v>185</v>
      </c>
      <c r="BB53" s="227">
        <f>VLOOKUP(BA53,DATA!$B$13:$C$19,2,0)</f>
        <v>100</v>
      </c>
      <c r="BC53" s="4">
        <f>VLOOKUP($BA$1,DATA!$B$24:$C$45,2,0)</f>
        <v>0.01</v>
      </c>
      <c r="BD53" s="4">
        <f t="shared" si="58"/>
        <v>0.01</v>
      </c>
      <c r="BE53" s="79">
        <f t="shared" si="59"/>
        <v>0.08</v>
      </c>
      <c r="BF53" s="226" t="s">
        <v>185</v>
      </c>
      <c r="BG53" s="227">
        <f>VLOOKUP(BF53,DATA!$B$13:$C$19,2,0)</f>
        <v>100</v>
      </c>
      <c r="BH53" s="4">
        <f>VLOOKUP($BF$1,DATA!$B$24:$C$45,2,0)</f>
        <v>0.08</v>
      </c>
      <c r="BI53" s="4">
        <f t="shared" si="60"/>
        <v>0.08</v>
      </c>
      <c r="BJ53" s="79">
        <f t="shared" si="61"/>
        <v>0.64</v>
      </c>
      <c r="BK53" s="226" t="s">
        <v>185</v>
      </c>
      <c r="BL53" s="227">
        <f>VLOOKUP(BK53,DATA!$B$13:$C$19,2,0)</f>
        <v>100</v>
      </c>
      <c r="BM53" s="4">
        <f>VLOOKUP($BK$1,DATA!$B$24:$C$45,2,0)</f>
        <v>0.18</v>
      </c>
      <c r="BN53" s="4">
        <f t="shared" si="62"/>
        <v>0.18</v>
      </c>
      <c r="BO53" s="79">
        <f t="shared" si="63"/>
        <v>1.44</v>
      </c>
      <c r="BP53" s="226" t="s">
        <v>185</v>
      </c>
      <c r="BQ53" s="227">
        <f>VLOOKUP(BP53,DATA!$B$13:$C$19,2,0)</f>
        <v>100</v>
      </c>
      <c r="BR53" s="4">
        <f>VLOOKUP($BP$1,DATA!$B$24:$C$45,2,0)</f>
        <v>0.28000000000000003</v>
      </c>
      <c r="BS53" s="4">
        <f t="shared" si="64"/>
        <v>0.28000000000000003</v>
      </c>
      <c r="BT53" s="79">
        <f t="shared" si="65"/>
        <v>2.2400000000000002</v>
      </c>
      <c r="BU53" s="226" t="s">
        <v>185</v>
      </c>
      <c r="BV53" s="227">
        <f>VLOOKUP(BU53,DATA!$B$13:$C$19,2,0)</f>
        <v>100</v>
      </c>
      <c r="BW53" s="4">
        <f>VLOOKUP($BU$1,DATA!$B$24:$C$45,2,0)</f>
        <v>0.15</v>
      </c>
      <c r="BX53" s="4">
        <f t="shared" si="66"/>
        <v>0.15</v>
      </c>
      <c r="BY53" s="79">
        <f t="shared" si="67"/>
        <v>1.2</v>
      </c>
      <c r="BZ53" s="226" t="s">
        <v>185</v>
      </c>
      <c r="CA53" s="227">
        <f>VLOOKUP(BZ53,DATA!$B$13:$C$19,2,0)</f>
        <v>100</v>
      </c>
      <c r="CB53" s="4">
        <f>VLOOKUP($BZ$1,DATA!$B$24:$C$45,2,0)</f>
        <v>0.16</v>
      </c>
      <c r="CC53" s="4">
        <f t="shared" si="68"/>
        <v>0.16</v>
      </c>
      <c r="CD53" s="79">
        <f t="shared" si="69"/>
        <v>1.28</v>
      </c>
      <c r="CE53" s="226" t="s">
        <v>185</v>
      </c>
      <c r="CF53" s="227">
        <f>VLOOKUP(CE53,DATA!$B$13:$C$19,2,0)</f>
        <v>100</v>
      </c>
      <c r="CG53" s="4">
        <f>VLOOKUP($CE$1,DATA!$B$24:$C$45,2,0)</f>
        <v>0.13</v>
      </c>
      <c r="CH53" s="4">
        <f t="shared" si="70"/>
        <v>0.13</v>
      </c>
      <c r="CI53" s="79">
        <f t="shared" si="71"/>
        <v>1.04</v>
      </c>
      <c r="CJ53" s="226" t="s">
        <v>185</v>
      </c>
      <c r="CK53" s="227">
        <f>VLOOKUP(CJ53,DATA!$B$13:$C$19,2,0)</f>
        <v>100</v>
      </c>
      <c r="CL53" s="4">
        <f>VLOOKUP($CJ$1,DATA!$B$24:$C$45,2,0)</f>
        <v>0.01</v>
      </c>
      <c r="CM53" s="4">
        <f t="shared" si="72"/>
        <v>0.01</v>
      </c>
      <c r="CN53" s="79">
        <f t="shared" si="73"/>
        <v>0.08</v>
      </c>
      <c r="CO53" s="83">
        <f t="shared" si="74"/>
        <v>1</v>
      </c>
      <c r="CP53" s="4">
        <f>VLOOKUP($CO$1,DATA!$B$24:$C$45,2,0)</f>
        <v>0.54</v>
      </c>
      <c r="CQ53" s="81">
        <f t="shared" si="75"/>
        <v>0.54</v>
      </c>
      <c r="CR53" s="80">
        <f t="shared" si="76"/>
        <v>4.32</v>
      </c>
      <c r="CS53" s="129">
        <f t="shared" si="77"/>
        <v>4.32</v>
      </c>
      <c r="CT53" s="242">
        <f t="shared" si="78"/>
        <v>0</v>
      </c>
      <c r="CU53" s="226" t="s">
        <v>185</v>
      </c>
      <c r="CV53" s="227">
        <f>VLOOKUP(CU53,DATA!$B$13:$C$19,2,0)</f>
        <v>100</v>
      </c>
      <c r="CW53" s="4">
        <f>VLOOKUP($CU$1,DATA!$B$24:$C$45,2,0)</f>
        <v>0.02</v>
      </c>
      <c r="CX53" s="4">
        <f t="shared" si="79"/>
        <v>0.02</v>
      </c>
      <c r="CY53" s="69">
        <f t="shared" si="80"/>
        <v>0.16</v>
      </c>
      <c r="CZ53" s="87">
        <v>45908</v>
      </c>
      <c r="DA53" s="86">
        <v>45919</v>
      </c>
      <c r="DB53" s="226" t="s">
        <v>185</v>
      </c>
      <c r="DC53" s="227">
        <f>VLOOKUP(DB53,DATA!$B$13:$C$19,2,0)</f>
        <v>100</v>
      </c>
      <c r="DD53" s="4">
        <f>VLOOKUP($DB$1,DATA!$B$24:$C$45,2,0)</f>
        <v>0.01</v>
      </c>
      <c r="DE53" s="4">
        <f t="shared" si="81"/>
        <v>0.01</v>
      </c>
      <c r="DF53" s="69">
        <f t="shared" si="82"/>
        <v>0.08</v>
      </c>
      <c r="DG53" s="87">
        <v>45940</v>
      </c>
      <c r="DH53" s="86">
        <v>45923</v>
      </c>
      <c r="DI53" s="226" t="s">
        <v>185</v>
      </c>
      <c r="DJ53" s="227">
        <f>VLOOKUP(DI53,DATA!$B$13:$C$19,2,0)</f>
        <v>100</v>
      </c>
      <c r="DK53" s="4">
        <f>VLOOKUP($DI$1,DATA!$B$24:$C$45,2,0)</f>
        <v>0.03</v>
      </c>
      <c r="DL53" s="4">
        <f t="shared" si="83"/>
        <v>0.03</v>
      </c>
      <c r="DM53" s="79">
        <f t="shared" si="84"/>
        <v>0.24</v>
      </c>
      <c r="DN53" s="226" t="s">
        <v>185</v>
      </c>
      <c r="DO53" s="227">
        <f>VLOOKUP(DN53,DATA!$B$13:$C$19,2,0)</f>
        <v>100</v>
      </c>
      <c r="DP53" s="4">
        <f>VLOOKUP($DN$1,DATA!$B$24:$C$45,2,0)</f>
        <v>7.0000000000000007E-2</v>
      </c>
      <c r="DQ53" s="4">
        <f t="shared" si="85"/>
        <v>7.0000000000000007E-2</v>
      </c>
      <c r="DR53" s="69">
        <f t="shared" si="86"/>
        <v>0.56000000000000005</v>
      </c>
      <c r="DS53" s="87">
        <v>45926</v>
      </c>
      <c r="DT53" s="86">
        <v>45924</v>
      </c>
      <c r="DU53" s="226" t="s">
        <v>185</v>
      </c>
      <c r="DV53" s="227">
        <f>VLOOKUP(DU53,DATA!$B$13:$C$19,2,0)</f>
        <v>100</v>
      </c>
      <c r="DW53" s="4">
        <f>VLOOKUP($DU$1,DATA!$B$24:$C$45,2,0)</f>
        <v>0.04</v>
      </c>
      <c r="DX53" s="4">
        <f t="shared" si="87"/>
        <v>0.04</v>
      </c>
      <c r="DY53" s="69">
        <f t="shared" si="88"/>
        <v>0.32</v>
      </c>
      <c r="DZ53" s="87">
        <v>45944</v>
      </c>
      <c r="EA53" s="86">
        <v>45938</v>
      </c>
      <c r="EB53" s="226" t="s">
        <v>220</v>
      </c>
      <c r="EC53" s="227">
        <f>VLOOKUP(EB53,DATA!$B$13:$C$19,2,0)</f>
        <v>50</v>
      </c>
      <c r="ED53" s="4">
        <f>VLOOKUP($EB$1,DATA!$B$24:$C$45,2,0)</f>
        <v>0.05</v>
      </c>
      <c r="EE53" s="4">
        <f t="shared" si="89"/>
        <v>2.5000000000000001E-2</v>
      </c>
      <c r="EF53" s="69">
        <f t="shared" si="90"/>
        <v>0.4</v>
      </c>
      <c r="EG53" s="87">
        <v>45950</v>
      </c>
      <c r="EH53" s="86"/>
      <c r="EI53" s="226" t="s">
        <v>185</v>
      </c>
      <c r="EJ53" s="227">
        <f>VLOOKUP(EI53,DATA!$B$13:$C$19,2,0)</f>
        <v>100</v>
      </c>
      <c r="EK53" s="4">
        <f>VLOOKUP($EI$1,DATA!$B$24:$C$45,2,0)</f>
        <v>0.1</v>
      </c>
      <c r="EL53" s="4">
        <f t="shared" si="91"/>
        <v>0.1</v>
      </c>
      <c r="EM53" s="69">
        <f t="shared" si="92"/>
        <v>0.8</v>
      </c>
      <c r="EN53" s="87">
        <v>45947</v>
      </c>
      <c r="EO53" s="86">
        <v>46003</v>
      </c>
      <c r="EP53" s="226" t="s">
        <v>220</v>
      </c>
      <c r="EQ53" s="227">
        <f>VLOOKUP(EP53,DATA!$B$13:$C$19,2,0)</f>
        <v>50</v>
      </c>
      <c r="ER53" s="4">
        <f>VLOOKUP($EP$1,DATA!$B$24:$C$45,2,0)</f>
        <v>0.03</v>
      </c>
      <c r="ES53" s="4">
        <f t="shared" si="93"/>
        <v>1.4999999999999999E-2</v>
      </c>
      <c r="ET53" s="79">
        <f t="shared" si="94"/>
        <v>0.24</v>
      </c>
      <c r="EU53" s="244">
        <f t="shared" si="95"/>
        <v>0.64</v>
      </c>
      <c r="EV53" s="85" t="s">
        <v>187</v>
      </c>
      <c r="EW53" s="134" t="s">
        <v>197</v>
      </c>
      <c r="EX53" s="6"/>
    </row>
    <row r="54" spans="1:154" x14ac:dyDescent="0.3">
      <c r="A54" s="3" t="s">
        <v>180</v>
      </c>
      <c r="B54" s="3" t="s">
        <v>189</v>
      </c>
      <c r="C54" s="3" t="s">
        <v>304</v>
      </c>
      <c r="D54" s="85" t="s">
        <v>314</v>
      </c>
      <c r="E54" s="85" t="s">
        <v>306</v>
      </c>
      <c r="F54" s="3">
        <v>3336</v>
      </c>
      <c r="G54" s="3" t="s">
        <v>315</v>
      </c>
      <c r="H54" s="3">
        <v>14</v>
      </c>
      <c r="I54" s="3"/>
      <c r="J54" s="229">
        <f>BaseDeDatos[[#This Row],[Budget CS]]+BaseDeDatos[[#This Row],[Change Orders Budget]]</f>
        <v>14</v>
      </c>
      <c r="K54" s="92">
        <f>IFERROR(VLOOKUP(G54, DATA!H:I, 2, FALSE), 0)+BaseDeDatos[[#This Row],[Labor Spend on Design errors]]+BaseDeDatos[[#This Row],[Labor
Spent Customer changes]]</f>
        <v>13.5</v>
      </c>
      <c r="L54" s="92">
        <v>1</v>
      </c>
      <c r="M54" s="92">
        <v>2</v>
      </c>
      <c r="N54" s="232">
        <f t="shared" si="48"/>
        <v>0.96000000000000008</v>
      </c>
      <c r="O54" s="238">
        <f t="shared" si="49"/>
        <v>13.5</v>
      </c>
      <c r="P54" s="39">
        <v>26.73</v>
      </c>
      <c r="Q54" s="89">
        <f>BaseDeDatos[[#This Row],[Budget]]*BaseDeDatos[[#This Row],[Labor Rate from CS]]</f>
        <v>374.22</v>
      </c>
      <c r="R54" s="89">
        <f>BaseDeDatos[[#This Row],[Labor
Spent]]*BaseDeDatos[[#This Row],[Labor Rate from CS]]</f>
        <v>360.85500000000002</v>
      </c>
      <c r="S54" s="93">
        <f t="shared" si="50"/>
        <v>0.9642857142857143</v>
      </c>
      <c r="T54" s="98">
        <v>49241</v>
      </c>
      <c r="U54" s="98">
        <v>2559</v>
      </c>
      <c r="V54" s="98">
        <v>2234.61</v>
      </c>
      <c r="W54" s="98">
        <v>16505.91</v>
      </c>
      <c r="X54" s="98">
        <v>16505.91</v>
      </c>
      <c r="Y54" s="98"/>
      <c r="Z54" s="98"/>
      <c r="AA54" s="98">
        <v>40951.83</v>
      </c>
      <c r="AB54" s="89">
        <f t="shared" si="51"/>
        <v>24071.7</v>
      </c>
      <c r="AC54" s="120">
        <f>SUM(AB54,X54,R54,BaseDeDatos[[#This Row],[Additionals cost]])</f>
        <v>43173.075000000004</v>
      </c>
      <c r="AD54" s="117">
        <v>0.16830000000000001</v>
      </c>
      <c r="AE54" s="117">
        <v>0.1678</v>
      </c>
      <c r="AF54" s="240">
        <f t="shared" si="52"/>
        <v>0.16861020287971398</v>
      </c>
      <c r="AG54" s="226">
        <v>45867</v>
      </c>
      <c r="AH54" s="226" t="s">
        <v>185</v>
      </c>
      <c r="AI54" s="227">
        <f>VLOOKUP(AH54,DATA!$B$13:$C$19,2,0)</f>
        <v>100</v>
      </c>
      <c r="AJ54" s="4">
        <f>VLOOKUP($AH$1,DATA!$B$24:$C$45,2,0)</f>
        <v>0.05</v>
      </c>
      <c r="AK54" s="69">
        <f>BaseDeDatos[[#This Row],[Read info
Status]]*(AJ54)/100</f>
        <v>0.05</v>
      </c>
      <c r="AL54" s="79">
        <f t="shared" si="53"/>
        <v>0.70000000000000007</v>
      </c>
      <c r="AM54" s="226" t="s">
        <v>185</v>
      </c>
      <c r="AN54" s="227">
        <f>VLOOKUP(AM54,DATA!$B$13:$C$19,2,0)</f>
        <v>100</v>
      </c>
      <c r="AO54" s="4">
        <f>VLOOKUP($AM$1,DATA!$B$24:$C$45,2,0)</f>
        <v>0.05</v>
      </c>
      <c r="AP54" s="4">
        <f t="shared" si="54"/>
        <v>0.05</v>
      </c>
      <c r="AQ54" s="69">
        <f t="shared" si="55"/>
        <v>0.70000000000000007</v>
      </c>
      <c r="AR54" s="5">
        <v>45873</v>
      </c>
      <c r="AS54" s="95">
        <v>45882</v>
      </c>
      <c r="AT54" s="226" t="s">
        <v>185</v>
      </c>
      <c r="AU54" s="227">
        <f>VLOOKUP(AT54,DATA!$B$13:$C$19,2,0)</f>
        <v>100</v>
      </c>
      <c r="AV54" s="4">
        <f>VLOOKUP($AT$1,DATA!$B$24:$C$45,2,0)</f>
        <v>0.01</v>
      </c>
      <c r="AW54" s="4">
        <f t="shared" si="56"/>
        <v>0.01</v>
      </c>
      <c r="AX54" s="69">
        <f t="shared" si="57"/>
        <v>0.14000000000000001</v>
      </c>
      <c r="AY54" s="5">
        <v>45905</v>
      </c>
      <c r="AZ54" s="95">
        <v>45912</v>
      </c>
      <c r="BA54" s="226" t="s">
        <v>185</v>
      </c>
      <c r="BB54" s="227">
        <f>VLOOKUP(BA54,DATA!$B$13:$C$19,2,0)</f>
        <v>100</v>
      </c>
      <c r="BC54" s="4">
        <f>VLOOKUP($BA$1,DATA!$B$24:$C$45,2,0)</f>
        <v>0.01</v>
      </c>
      <c r="BD54" s="4">
        <f t="shared" si="58"/>
        <v>0.01</v>
      </c>
      <c r="BE54" s="79">
        <f t="shared" si="59"/>
        <v>0.14000000000000001</v>
      </c>
      <c r="BF54" s="226" t="s">
        <v>185</v>
      </c>
      <c r="BG54" s="227">
        <f>VLOOKUP(BF54,DATA!$B$13:$C$19,2,0)</f>
        <v>100</v>
      </c>
      <c r="BH54" s="4">
        <f>VLOOKUP($BF$1,DATA!$B$24:$C$45,2,0)</f>
        <v>0.08</v>
      </c>
      <c r="BI54" s="4">
        <f t="shared" si="60"/>
        <v>0.08</v>
      </c>
      <c r="BJ54" s="79">
        <f t="shared" si="61"/>
        <v>1.1200000000000001</v>
      </c>
      <c r="BK54" s="226" t="s">
        <v>185</v>
      </c>
      <c r="BL54" s="227">
        <f>VLOOKUP(BK54,DATA!$B$13:$C$19,2,0)</f>
        <v>100</v>
      </c>
      <c r="BM54" s="4">
        <f>VLOOKUP($BK$1,DATA!$B$24:$C$45,2,0)</f>
        <v>0.18</v>
      </c>
      <c r="BN54" s="4">
        <f t="shared" si="62"/>
        <v>0.18</v>
      </c>
      <c r="BO54" s="79">
        <f t="shared" si="63"/>
        <v>2.52</v>
      </c>
      <c r="BP54" s="226" t="s">
        <v>185</v>
      </c>
      <c r="BQ54" s="227">
        <f>VLOOKUP(BP54,DATA!$B$13:$C$19,2,0)</f>
        <v>100</v>
      </c>
      <c r="BR54" s="4">
        <f>VLOOKUP($BP$1,DATA!$B$24:$C$45,2,0)</f>
        <v>0.28000000000000003</v>
      </c>
      <c r="BS54" s="4">
        <f t="shared" si="64"/>
        <v>0.28000000000000003</v>
      </c>
      <c r="BT54" s="79">
        <f t="shared" si="65"/>
        <v>3.9200000000000004</v>
      </c>
      <c r="BU54" s="226" t="s">
        <v>185</v>
      </c>
      <c r="BV54" s="227">
        <f>VLOOKUP(BU54,DATA!$B$13:$C$19,2,0)</f>
        <v>100</v>
      </c>
      <c r="BW54" s="4">
        <f>VLOOKUP($BU$1,DATA!$B$24:$C$45,2,0)</f>
        <v>0.15</v>
      </c>
      <c r="BX54" s="4">
        <f t="shared" si="66"/>
        <v>0.15</v>
      </c>
      <c r="BY54" s="79">
        <f t="shared" si="67"/>
        <v>2.1</v>
      </c>
      <c r="BZ54" s="226" t="s">
        <v>185</v>
      </c>
      <c r="CA54" s="227">
        <f>VLOOKUP(BZ54,DATA!$B$13:$C$19,2,0)</f>
        <v>100</v>
      </c>
      <c r="CB54" s="4">
        <f>VLOOKUP($BZ$1,DATA!$B$24:$C$45,2,0)</f>
        <v>0.16</v>
      </c>
      <c r="CC54" s="4">
        <f t="shared" si="68"/>
        <v>0.16</v>
      </c>
      <c r="CD54" s="79">
        <f t="shared" si="69"/>
        <v>2.2400000000000002</v>
      </c>
      <c r="CE54" s="226" t="s">
        <v>185</v>
      </c>
      <c r="CF54" s="227">
        <f>VLOOKUP(CE54,DATA!$B$13:$C$19,2,0)</f>
        <v>100</v>
      </c>
      <c r="CG54" s="4">
        <f>VLOOKUP($CE$1,DATA!$B$24:$C$45,2,0)</f>
        <v>0.13</v>
      </c>
      <c r="CH54" s="4">
        <f t="shared" si="70"/>
        <v>0.13</v>
      </c>
      <c r="CI54" s="79">
        <f t="shared" si="71"/>
        <v>1.82</v>
      </c>
      <c r="CJ54" s="226" t="s">
        <v>185</v>
      </c>
      <c r="CK54" s="227">
        <f>VLOOKUP(CJ54,DATA!$B$13:$C$19,2,0)</f>
        <v>100</v>
      </c>
      <c r="CL54" s="4">
        <f>VLOOKUP($CJ$1,DATA!$B$24:$C$45,2,0)</f>
        <v>0.01</v>
      </c>
      <c r="CM54" s="4">
        <f t="shared" si="72"/>
        <v>0.01</v>
      </c>
      <c r="CN54" s="79">
        <f t="shared" si="73"/>
        <v>0.14000000000000001</v>
      </c>
      <c r="CO54" s="83">
        <f t="shared" si="74"/>
        <v>1</v>
      </c>
      <c r="CP54" s="4">
        <f>VLOOKUP($CO$1,DATA!$B$24:$C$45,2,0)</f>
        <v>0.54</v>
      </c>
      <c r="CQ54" s="81">
        <f t="shared" si="75"/>
        <v>0.54</v>
      </c>
      <c r="CR54" s="80">
        <f t="shared" si="76"/>
        <v>7.5600000000000005</v>
      </c>
      <c r="CS54" s="129">
        <f t="shared" si="77"/>
        <v>7.5600000000000005</v>
      </c>
      <c r="CT54" s="242">
        <f t="shared" si="78"/>
        <v>0</v>
      </c>
      <c r="CU54" s="226" t="s">
        <v>185</v>
      </c>
      <c r="CV54" s="227">
        <f>VLOOKUP(CU54,DATA!$B$13:$C$19,2,0)</f>
        <v>100</v>
      </c>
      <c r="CW54" s="4">
        <f>VLOOKUP($CU$1,DATA!$B$24:$C$45,2,0)</f>
        <v>0.02</v>
      </c>
      <c r="CX54" s="4">
        <f t="shared" si="79"/>
        <v>0.02</v>
      </c>
      <c r="CY54" s="69">
        <f t="shared" si="80"/>
        <v>0.28000000000000003</v>
      </c>
      <c r="CZ54" s="87">
        <v>45908</v>
      </c>
      <c r="DA54" s="86">
        <v>45919</v>
      </c>
      <c r="DB54" s="226" t="s">
        <v>185</v>
      </c>
      <c r="DC54" s="227">
        <f>VLOOKUP(DB54,DATA!$B$13:$C$19,2,0)</f>
        <v>100</v>
      </c>
      <c r="DD54" s="4">
        <f>VLOOKUP($DB$1,DATA!$B$24:$C$45,2,0)</f>
        <v>0.01</v>
      </c>
      <c r="DE54" s="4">
        <f t="shared" si="81"/>
        <v>0.01</v>
      </c>
      <c r="DF54" s="69">
        <f t="shared" si="82"/>
        <v>0.14000000000000001</v>
      </c>
      <c r="DG54" s="87">
        <v>45940</v>
      </c>
      <c r="DH54" s="86">
        <v>45923</v>
      </c>
      <c r="DI54" s="226" t="s">
        <v>185</v>
      </c>
      <c r="DJ54" s="227">
        <f>VLOOKUP(DI54,DATA!$B$13:$C$19,2,0)</f>
        <v>100</v>
      </c>
      <c r="DK54" s="4">
        <f>VLOOKUP($DI$1,DATA!$B$24:$C$45,2,0)</f>
        <v>0.03</v>
      </c>
      <c r="DL54" s="4">
        <f t="shared" si="83"/>
        <v>0.03</v>
      </c>
      <c r="DM54" s="79">
        <f t="shared" si="84"/>
        <v>0.42</v>
      </c>
      <c r="DN54" s="226" t="s">
        <v>185</v>
      </c>
      <c r="DO54" s="227">
        <f>VLOOKUP(DN54,DATA!$B$13:$C$19,2,0)</f>
        <v>100</v>
      </c>
      <c r="DP54" s="4">
        <f>VLOOKUP($DN$1,DATA!$B$24:$C$45,2,0)</f>
        <v>7.0000000000000007E-2</v>
      </c>
      <c r="DQ54" s="4">
        <f t="shared" si="85"/>
        <v>7.0000000000000007E-2</v>
      </c>
      <c r="DR54" s="69">
        <f t="shared" si="86"/>
        <v>0.98000000000000009</v>
      </c>
      <c r="DS54" s="87">
        <v>45926</v>
      </c>
      <c r="DT54" s="86">
        <v>45924</v>
      </c>
      <c r="DU54" s="226" t="s">
        <v>185</v>
      </c>
      <c r="DV54" s="227">
        <f>VLOOKUP(DU54,DATA!$B$13:$C$19,2,0)</f>
        <v>100</v>
      </c>
      <c r="DW54" s="4">
        <f>VLOOKUP($DU$1,DATA!$B$24:$C$45,2,0)</f>
        <v>0.04</v>
      </c>
      <c r="DX54" s="4">
        <f t="shared" si="87"/>
        <v>0.04</v>
      </c>
      <c r="DY54" s="69">
        <f t="shared" si="88"/>
        <v>0.56000000000000005</v>
      </c>
      <c r="DZ54" s="87">
        <v>45944</v>
      </c>
      <c r="EA54" s="86">
        <v>45938</v>
      </c>
      <c r="EB54" s="226" t="s">
        <v>220</v>
      </c>
      <c r="EC54" s="227">
        <f>VLOOKUP(EB54,DATA!$B$13:$C$19,2,0)</f>
        <v>50</v>
      </c>
      <c r="ED54" s="4">
        <f>VLOOKUP($EB$1,DATA!$B$24:$C$45,2,0)</f>
        <v>0.05</v>
      </c>
      <c r="EE54" s="4">
        <f t="shared" si="89"/>
        <v>2.5000000000000001E-2</v>
      </c>
      <c r="EF54" s="69">
        <f t="shared" si="90"/>
        <v>0.70000000000000007</v>
      </c>
      <c r="EG54" s="87">
        <v>45950</v>
      </c>
      <c r="EH54" s="86"/>
      <c r="EI54" s="226" t="s">
        <v>185</v>
      </c>
      <c r="EJ54" s="227">
        <f>VLOOKUP(EI54,DATA!$B$13:$C$19,2,0)</f>
        <v>100</v>
      </c>
      <c r="EK54" s="4">
        <f>VLOOKUP($EI$1,DATA!$B$24:$C$45,2,0)</f>
        <v>0.1</v>
      </c>
      <c r="EL54" s="4">
        <f t="shared" si="91"/>
        <v>0.1</v>
      </c>
      <c r="EM54" s="69">
        <f t="shared" si="92"/>
        <v>1.4000000000000001</v>
      </c>
      <c r="EN54" s="87">
        <v>45947</v>
      </c>
      <c r="EO54" s="86">
        <v>46003</v>
      </c>
      <c r="EP54" s="226" t="s">
        <v>220</v>
      </c>
      <c r="EQ54" s="227">
        <f>VLOOKUP(EP54,DATA!$B$13:$C$19,2,0)</f>
        <v>50</v>
      </c>
      <c r="ER54" s="4">
        <f>VLOOKUP($EP$1,DATA!$B$24:$C$45,2,0)</f>
        <v>0.03</v>
      </c>
      <c r="ES54" s="4">
        <f t="shared" si="93"/>
        <v>1.4999999999999999E-2</v>
      </c>
      <c r="ET54" s="79">
        <f t="shared" si="94"/>
        <v>0.42</v>
      </c>
      <c r="EU54" s="244">
        <f t="shared" si="95"/>
        <v>1.1200000000000001</v>
      </c>
      <c r="EV54" s="85" t="s">
        <v>187</v>
      </c>
      <c r="EW54" s="134" t="s">
        <v>187</v>
      </c>
      <c r="EX54" s="6"/>
    </row>
    <row r="55" spans="1:154" x14ac:dyDescent="0.3">
      <c r="A55" s="3" t="s">
        <v>180</v>
      </c>
      <c r="B55" s="3" t="s">
        <v>189</v>
      </c>
      <c r="C55" s="3" t="s">
        <v>304</v>
      </c>
      <c r="D55" s="85" t="s">
        <v>316</v>
      </c>
      <c r="E55" s="85" t="s">
        <v>306</v>
      </c>
      <c r="F55" s="3">
        <v>3336</v>
      </c>
      <c r="G55" s="3" t="s">
        <v>317</v>
      </c>
      <c r="H55" s="3">
        <v>14</v>
      </c>
      <c r="I55" s="3"/>
      <c r="J55" s="229">
        <f>BaseDeDatos[[#This Row],[Budget CS]]+BaseDeDatos[[#This Row],[Change Orders Budget]]</f>
        <v>14</v>
      </c>
      <c r="K55" s="92">
        <f>IFERROR(VLOOKUP(G55, DATA!H:I, 2, FALSE), 0)+BaseDeDatos[[#This Row],[Labor Spend on Design errors]]+BaseDeDatos[[#This Row],[Labor
Spent Customer changes]]</f>
        <v>12.5</v>
      </c>
      <c r="L55" s="92">
        <v>1</v>
      </c>
      <c r="M55" s="92">
        <v>1</v>
      </c>
      <c r="N55" s="232">
        <f t="shared" si="48"/>
        <v>0.96000000000000008</v>
      </c>
      <c r="O55" s="238">
        <f t="shared" si="49"/>
        <v>12.5</v>
      </c>
      <c r="P55" s="39">
        <v>26.73</v>
      </c>
      <c r="Q55" s="89">
        <f>BaseDeDatos[[#This Row],[Budget]]*BaseDeDatos[[#This Row],[Labor Rate from CS]]</f>
        <v>374.22</v>
      </c>
      <c r="R55" s="89">
        <f>BaseDeDatos[[#This Row],[Labor
Spent]]*BaseDeDatos[[#This Row],[Labor Rate from CS]]</f>
        <v>334.125</v>
      </c>
      <c r="S55" s="93">
        <f t="shared" si="50"/>
        <v>0.8928571428571429</v>
      </c>
      <c r="T55" s="98">
        <v>60997</v>
      </c>
      <c r="U55" s="98">
        <v>2559</v>
      </c>
      <c r="V55" s="98">
        <v>2234.61</v>
      </c>
      <c r="W55" s="98">
        <v>21837.91</v>
      </c>
      <c r="X55" s="98">
        <v>21837.91</v>
      </c>
      <c r="Y55" s="98"/>
      <c r="Z55" s="98"/>
      <c r="AA55" s="98">
        <v>50723.040000000001</v>
      </c>
      <c r="AB55" s="89">
        <f t="shared" si="51"/>
        <v>28510.91</v>
      </c>
      <c r="AC55" s="120">
        <f>SUM(AB55,X55,R55,BaseDeDatos[[#This Row],[Additionals cost]])</f>
        <v>52917.555</v>
      </c>
      <c r="AD55" s="117">
        <v>0.16843385740282307</v>
      </c>
      <c r="AE55" s="117">
        <v>0.1678</v>
      </c>
      <c r="AF55" s="240">
        <f t="shared" si="52"/>
        <v>0.16909118481236782</v>
      </c>
      <c r="AG55" s="226">
        <v>45867</v>
      </c>
      <c r="AH55" s="226" t="s">
        <v>185</v>
      </c>
      <c r="AI55" s="227">
        <f>VLOOKUP(AH55,DATA!$B$13:$C$19,2,0)</f>
        <v>100</v>
      </c>
      <c r="AJ55" s="4">
        <f>VLOOKUP($AH$1,DATA!$B$24:$C$45,2,0)</f>
        <v>0.05</v>
      </c>
      <c r="AK55" s="69">
        <f>BaseDeDatos[[#This Row],[Read info
Status]]*(AJ55)/100</f>
        <v>0.05</v>
      </c>
      <c r="AL55" s="79">
        <f t="shared" si="53"/>
        <v>0.70000000000000007</v>
      </c>
      <c r="AM55" s="226" t="s">
        <v>185</v>
      </c>
      <c r="AN55" s="227">
        <f>VLOOKUP(AM55,DATA!$B$13:$C$19,2,0)</f>
        <v>100</v>
      </c>
      <c r="AO55" s="4">
        <f>VLOOKUP($AM$1,DATA!$B$24:$C$45,2,0)</f>
        <v>0.05</v>
      </c>
      <c r="AP55" s="4">
        <f t="shared" si="54"/>
        <v>0.05</v>
      </c>
      <c r="AQ55" s="69">
        <f t="shared" si="55"/>
        <v>0.70000000000000007</v>
      </c>
      <c r="AR55" s="5">
        <v>45873</v>
      </c>
      <c r="AS55" s="95">
        <v>45882</v>
      </c>
      <c r="AT55" s="226" t="s">
        <v>185</v>
      </c>
      <c r="AU55" s="227">
        <f>VLOOKUP(AT55,DATA!$B$13:$C$19,2,0)</f>
        <v>100</v>
      </c>
      <c r="AV55" s="4">
        <f>VLOOKUP($AT$1,DATA!$B$24:$C$45,2,0)</f>
        <v>0.01</v>
      </c>
      <c r="AW55" s="4">
        <f t="shared" si="56"/>
        <v>0.01</v>
      </c>
      <c r="AX55" s="69">
        <f t="shared" si="57"/>
        <v>0.14000000000000001</v>
      </c>
      <c r="AY55" s="5">
        <v>45905</v>
      </c>
      <c r="AZ55" s="95">
        <v>45912</v>
      </c>
      <c r="BA55" s="226" t="s">
        <v>185</v>
      </c>
      <c r="BB55" s="227">
        <f>VLOOKUP(BA55,DATA!$B$13:$C$19,2,0)</f>
        <v>100</v>
      </c>
      <c r="BC55" s="4">
        <f>VLOOKUP($BA$1,DATA!$B$24:$C$45,2,0)</f>
        <v>0.01</v>
      </c>
      <c r="BD55" s="4">
        <f t="shared" si="58"/>
        <v>0.01</v>
      </c>
      <c r="BE55" s="79">
        <f t="shared" si="59"/>
        <v>0.14000000000000001</v>
      </c>
      <c r="BF55" s="226" t="s">
        <v>185</v>
      </c>
      <c r="BG55" s="227">
        <f>VLOOKUP(BF55,DATA!$B$13:$C$19,2,0)</f>
        <v>100</v>
      </c>
      <c r="BH55" s="4">
        <f>VLOOKUP($BF$1,DATA!$B$24:$C$45,2,0)</f>
        <v>0.08</v>
      </c>
      <c r="BI55" s="4">
        <f t="shared" si="60"/>
        <v>0.08</v>
      </c>
      <c r="BJ55" s="79">
        <f t="shared" si="61"/>
        <v>1.1200000000000001</v>
      </c>
      <c r="BK55" s="226" t="s">
        <v>185</v>
      </c>
      <c r="BL55" s="227">
        <f>VLOOKUP(BK55,DATA!$B$13:$C$19,2,0)</f>
        <v>100</v>
      </c>
      <c r="BM55" s="4">
        <f>VLOOKUP($BK$1,DATA!$B$24:$C$45,2,0)</f>
        <v>0.18</v>
      </c>
      <c r="BN55" s="4">
        <f t="shared" si="62"/>
        <v>0.18</v>
      </c>
      <c r="BO55" s="79">
        <f t="shared" si="63"/>
        <v>2.52</v>
      </c>
      <c r="BP55" s="226" t="s">
        <v>185</v>
      </c>
      <c r="BQ55" s="227">
        <f>VLOOKUP(BP55,DATA!$B$13:$C$19,2,0)</f>
        <v>100</v>
      </c>
      <c r="BR55" s="4">
        <f>VLOOKUP($BP$1,DATA!$B$24:$C$45,2,0)</f>
        <v>0.28000000000000003</v>
      </c>
      <c r="BS55" s="4">
        <f t="shared" si="64"/>
        <v>0.28000000000000003</v>
      </c>
      <c r="BT55" s="79">
        <f t="shared" si="65"/>
        <v>3.9200000000000004</v>
      </c>
      <c r="BU55" s="226" t="s">
        <v>185</v>
      </c>
      <c r="BV55" s="227">
        <f>VLOOKUP(BU55,DATA!$B$13:$C$19,2,0)</f>
        <v>100</v>
      </c>
      <c r="BW55" s="4">
        <f>VLOOKUP($BU$1,DATA!$B$24:$C$45,2,0)</f>
        <v>0.15</v>
      </c>
      <c r="BX55" s="4">
        <f t="shared" si="66"/>
        <v>0.15</v>
      </c>
      <c r="BY55" s="79">
        <f t="shared" si="67"/>
        <v>2.1</v>
      </c>
      <c r="BZ55" s="226" t="s">
        <v>185</v>
      </c>
      <c r="CA55" s="227">
        <f>VLOOKUP(BZ55,DATA!$B$13:$C$19,2,0)</f>
        <v>100</v>
      </c>
      <c r="CB55" s="4">
        <f>VLOOKUP($BZ$1,DATA!$B$24:$C$45,2,0)</f>
        <v>0.16</v>
      </c>
      <c r="CC55" s="4">
        <f t="shared" si="68"/>
        <v>0.16</v>
      </c>
      <c r="CD55" s="79">
        <f t="shared" si="69"/>
        <v>2.2400000000000002</v>
      </c>
      <c r="CE55" s="226" t="s">
        <v>185</v>
      </c>
      <c r="CF55" s="227">
        <f>VLOOKUP(CE55,DATA!$B$13:$C$19,2,0)</f>
        <v>100</v>
      </c>
      <c r="CG55" s="4">
        <f>VLOOKUP($CE$1,DATA!$B$24:$C$45,2,0)</f>
        <v>0.13</v>
      </c>
      <c r="CH55" s="4">
        <f t="shared" si="70"/>
        <v>0.13</v>
      </c>
      <c r="CI55" s="79">
        <f t="shared" si="71"/>
        <v>1.82</v>
      </c>
      <c r="CJ55" s="226" t="s">
        <v>185</v>
      </c>
      <c r="CK55" s="227">
        <f>VLOOKUP(CJ55,DATA!$B$13:$C$19,2,0)</f>
        <v>100</v>
      </c>
      <c r="CL55" s="4">
        <f>VLOOKUP($CJ$1,DATA!$B$24:$C$45,2,0)</f>
        <v>0.01</v>
      </c>
      <c r="CM55" s="4">
        <f t="shared" si="72"/>
        <v>0.01</v>
      </c>
      <c r="CN55" s="79">
        <f t="shared" si="73"/>
        <v>0.14000000000000001</v>
      </c>
      <c r="CO55" s="83">
        <f t="shared" si="74"/>
        <v>1</v>
      </c>
      <c r="CP55" s="4">
        <f>VLOOKUP($CO$1,DATA!$B$24:$C$45,2,0)</f>
        <v>0.54</v>
      </c>
      <c r="CQ55" s="81">
        <f t="shared" si="75"/>
        <v>0.54</v>
      </c>
      <c r="CR55" s="80">
        <f t="shared" si="76"/>
        <v>7.5600000000000005</v>
      </c>
      <c r="CS55" s="129">
        <f t="shared" si="77"/>
        <v>7.5600000000000005</v>
      </c>
      <c r="CT55" s="242">
        <f t="shared" si="78"/>
        <v>0</v>
      </c>
      <c r="CU55" s="226" t="s">
        <v>185</v>
      </c>
      <c r="CV55" s="227">
        <f>VLOOKUP(CU55,DATA!$B$13:$C$19,2,0)</f>
        <v>100</v>
      </c>
      <c r="CW55" s="4">
        <f>VLOOKUP($CU$1,DATA!$B$24:$C$45,2,0)</f>
        <v>0.02</v>
      </c>
      <c r="CX55" s="4">
        <f t="shared" si="79"/>
        <v>0.02</v>
      </c>
      <c r="CY55" s="69">
        <f t="shared" si="80"/>
        <v>0.28000000000000003</v>
      </c>
      <c r="CZ55" s="87">
        <v>45908</v>
      </c>
      <c r="DA55" s="86">
        <v>45919</v>
      </c>
      <c r="DB55" s="226" t="s">
        <v>185</v>
      </c>
      <c r="DC55" s="227">
        <f>VLOOKUP(DB55,DATA!$B$13:$C$19,2,0)</f>
        <v>100</v>
      </c>
      <c r="DD55" s="4">
        <f>VLOOKUP($DB$1,DATA!$B$24:$C$45,2,0)</f>
        <v>0.01</v>
      </c>
      <c r="DE55" s="4">
        <f t="shared" si="81"/>
        <v>0.01</v>
      </c>
      <c r="DF55" s="69">
        <f t="shared" si="82"/>
        <v>0.14000000000000001</v>
      </c>
      <c r="DG55" s="87">
        <v>45940</v>
      </c>
      <c r="DH55" s="86">
        <v>45904</v>
      </c>
      <c r="DI55" s="226" t="s">
        <v>185</v>
      </c>
      <c r="DJ55" s="227">
        <f>VLOOKUP(DI55,DATA!$B$13:$C$19,2,0)</f>
        <v>100</v>
      </c>
      <c r="DK55" s="4">
        <f>VLOOKUP($DI$1,DATA!$B$24:$C$45,2,0)</f>
        <v>0.03</v>
      </c>
      <c r="DL55" s="4">
        <f t="shared" si="83"/>
        <v>0.03</v>
      </c>
      <c r="DM55" s="79">
        <f t="shared" si="84"/>
        <v>0.42</v>
      </c>
      <c r="DN55" s="226" t="s">
        <v>185</v>
      </c>
      <c r="DO55" s="227">
        <f>VLOOKUP(DN55,DATA!$B$13:$C$19,2,0)</f>
        <v>100</v>
      </c>
      <c r="DP55" s="4">
        <f>VLOOKUP($DN$1,DATA!$B$24:$C$45,2,0)</f>
        <v>7.0000000000000007E-2</v>
      </c>
      <c r="DQ55" s="4">
        <f t="shared" si="85"/>
        <v>7.0000000000000007E-2</v>
      </c>
      <c r="DR55" s="69">
        <f t="shared" si="86"/>
        <v>0.98000000000000009</v>
      </c>
      <c r="DS55" s="87">
        <v>45926</v>
      </c>
      <c r="DT55" s="86">
        <v>45924</v>
      </c>
      <c r="DU55" s="226" t="s">
        <v>185</v>
      </c>
      <c r="DV55" s="227">
        <f>VLOOKUP(DU55,DATA!$B$13:$C$19,2,0)</f>
        <v>100</v>
      </c>
      <c r="DW55" s="4">
        <f>VLOOKUP($DU$1,DATA!$B$24:$C$45,2,0)</f>
        <v>0.04</v>
      </c>
      <c r="DX55" s="4">
        <f t="shared" si="87"/>
        <v>0.04</v>
      </c>
      <c r="DY55" s="69">
        <f t="shared" si="88"/>
        <v>0.56000000000000005</v>
      </c>
      <c r="DZ55" s="87">
        <v>45944</v>
      </c>
      <c r="EA55" s="86">
        <v>45938</v>
      </c>
      <c r="EB55" s="226" t="s">
        <v>220</v>
      </c>
      <c r="EC55" s="227">
        <f>VLOOKUP(EB55,DATA!$B$13:$C$19,2,0)</f>
        <v>50</v>
      </c>
      <c r="ED55" s="4">
        <f>VLOOKUP($EB$1,DATA!$B$24:$C$45,2,0)</f>
        <v>0.05</v>
      </c>
      <c r="EE55" s="4">
        <f t="shared" si="89"/>
        <v>2.5000000000000001E-2</v>
      </c>
      <c r="EF55" s="69">
        <f t="shared" si="90"/>
        <v>0.70000000000000007</v>
      </c>
      <c r="EG55" s="87">
        <v>45950</v>
      </c>
      <c r="EH55" s="86"/>
      <c r="EI55" s="226" t="s">
        <v>185</v>
      </c>
      <c r="EJ55" s="227">
        <f>VLOOKUP(EI55,DATA!$B$13:$C$19,2,0)</f>
        <v>100</v>
      </c>
      <c r="EK55" s="4">
        <f>VLOOKUP($EI$1,DATA!$B$24:$C$45,2,0)</f>
        <v>0.1</v>
      </c>
      <c r="EL55" s="4">
        <f t="shared" si="91"/>
        <v>0.1</v>
      </c>
      <c r="EM55" s="69">
        <f t="shared" si="92"/>
        <v>1.4000000000000001</v>
      </c>
      <c r="EN55" s="87">
        <v>45947</v>
      </c>
      <c r="EO55" s="86">
        <v>46003</v>
      </c>
      <c r="EP55" s="226" t="s">
        <v>220</v>
      </c>
      <c r="EQ55" s="227">
        <f>VLOOKUP(EP55,DATA!$B$13:$C$19,2,0)</f>
        <v>50</v>
      </c>
      <c r="ER55" s="4">
        <f>VLOOKUP($EP$1,DATA!$B$24:$C$45,2,0)</f>
        <v>0.03</v>
      </c>
      <c r="ES55" s="4">
        <f t="shared" si="93"/>
        <v>1.4999999999999999E-2</v>
      </c>
      <c r="ET55" s="79">
        <f t="shared" si="94"/>
        <v>0.42</v>
      </c>
      <c r="EU55" s="244">
        <f t="shared" si="95"/>
        <v>1.1200000000000001</v>
      </c>
      <c r="EV55" s="85" t="s">
        <v>187</v>
      </c>
      <c r="EW55" s="134" t="s">
        <v>187</v>
      </c>
      <c r="EX55" s="6"/>
    </row>
    <row r="56" spans="1:154" x14ac:dyDescent="0.3">
      <c r="A56" s="3" t="s">
        <v>180</v>
      </c>
      <c r="B56" s="3" t="s">
        <v>189</v>
      </c>
      <c r="C56" s="3" t="s">
        <v>304</v>
      </c>
      <c r="D56" s="85" t="s">
        <v>318</v>
      </c>
      <c r="E56" s="85" t="s">
        <v>306</v>
      </c>
      <c r="F56" s="3">
        <v>3336</v>
      </c>
      <c r="G56" s="3" t="s">
        <v>319</v>
      </c>
      <c r="H56" s="3">
        <v>10</v>
      </c>
      <c r="I56" s="3"/>
      <c r="J56" s="229">
        <f>BaseDeDatos[[#This Row],[Budget CS]]+BaseDeDatos[[#This Row],[Change Orders Budget]]</f>
        <v>10</v>
      </c>
      <c r="K56" s="92">
        <f>IFERROR(VLOOKUP(G56, DATA!H:I, 2, FALSE), 0)+BaseDeDatos[[#This Row],[Labor Spend on Design errors]]+BaseDeDatos[[#This Row],[Labor
Spent Customer changes]]</f>
        <v>8.5</v>
      </c>
      <c r="L56" s="92"/>
      <c r="M56" s="92"/>
      <c r="N56" s="232">
        <f t="shared" si="48"/>
        <v>0.96000000000000008</v>
      </c>
      <c r="O56" s="238">
        <f t="shared" si="49"/>
        <v>8.5</v>
      </c>
      <c r="P56" s="39">
        <v>26.73</v>
      </c>
      <c r="Q56" s="89">
        <f>BaseDeDatos[[#This Row],[Budget]]*BaseDeDatos[[#This Row],[Labor Rate from CS]]</f>
        <v>267.3</v>
      </c>
      <c r="R56" s="89">
        <f>BaseDeDatos[[#This Row],[Labor
Spent]]*BaseDeDatos[[#This Row],[Labor Rate from CS]]</f>
        <v>227.20500000000001</v>
      </c>
      <c r="S56" s="93">
        <f t="shared" si="50"/>
        <v>0.85</v>
      </c>
      <c r="T56" s="98">
        <v>82572</v>
      </c>
      <c r="U56" s="98">
        <v>2559</v>
      </c>
      <c r="V56" s="98">
        <v>2234.61</v>
      </c>
      <c r="W56" s="98">
        <v>34125.910000000003</v>
      </c>
      <c r="X56" s="98">
        <v>34125.910000000003</v>
      </c>
      <c r="Y56" s="98"/>
      <c r="Z56" s="98"/>
      <c r="AA56" s="98">
        <v>68670.679999999993</v>
      </c>
      <c r="AB56" s="89">
        <f t="shared" si="51"/>
        <v>34277.469999999987</v>
      </c>
      <c r="AC56" s="120">
        <f>SUM(AB56,X56,R56,BaseDeDatos[[#This Row],[Additionals cost]])</f>
        <v>70865.194999999992</v>
      </c>
      <c r="AD56" s="117">
        <v>0.16835392142614922</v>
      </c>
      <c r="AE56" s="117">
        <v>0.1678</v>
      </c>
      <c r="AF56" s="240">
        <f t="shared" si="52"/>
        <v>0.16883949765053538</v>
      </c>
      <c r="AG56" s="226">
        <v>45867</v>
      </c>
      <c r="AH56" s="226" t="s">
        <v>185</v>
      </c>
      <c r="AI56" s="227">
        <f>VLOOKUP(AH56,DATA!$B$13:$C$19,2,0)</f>
        <v>100</v>
      </c>
      <c r="AJ56" s="4">
        <f>VLOOKUP($AH$1,DATA!$B$24:$C$45,2,0)</f>
        <v>0.05</v>
      </c>
      <c r="AK56" s="69">
        <f>BaseDeDatos[[#This Row],[Read info
Status]]*(AJ56)/100</f>
        <v>0.05</v>
      </c>
      <c r="AL56" s="79">
        <f t="shared" si="53"/>
        <v>0.5</v>
      </c>
      <c r="AM56" s="226" t="s">
        <v>185</v>
      </c>
      <c r="AN56" s="227">
        <f>VLOOKUP(AM56,DATA!$B$13:$C$19,2,0)</f>
        <v>100</v>
      </c>
      <c r="AO56" s="4">
        <f>VLOOKUP($AM$1,DATA!$B$24:$C$45,2,0)</f>
        <v>0.05</v>
      </c>
      <c r="AP56" s="4">
        <f t="shared" si="54"/>
        <v>0.05</v>
      </c>
      <c r="AQ56" s="69">
        <f t="shared" si="55"/>
        <v>0.5</v>
      </c>
      <c r="AR56" s="5">
        <v>45873</v>
      </c>
      <c r="AS56" s="95">
        <v>45882</v>
      </c>
      <c r="AT56" s="226" t="s">
        <v>185</v>
      </c>
      <c r="AU56" s="227">
        <f>VLOOKUP(AT56,DATA!$B$13:$C$19,2,0)</f>
        <v>100</v>
      </c>
      <c r="AV56" s="4">
        <f>VLOOKUP($AT$1,DATA!$B$24:$C$45,2,0)</f>
        <v>0.01</v>
      </c>
      <c r="AW56" s="4">
        <f t="shared" si="56"/>
        <v>0.01</v>
      </c>
      <c r="AX56" s="69">
        <f t="shared" si="57"/>
        <v>0.1</v>
      </c>
      <c r="AY56" s="5">
        <v>45905</v>
      </c>
      <c r="AZ56" s="95">
        <v>45912</v>
      </c>
      <c r="BA56" s="226" t="s">
        <v>185</v>
      </c>
      <c r="BB56" s="227">
        <f>VLOOKUP(BA56,DATA!$B$13:$C$19,2,0)</f>
        <v>100</v>
      </c>
      <c r="BC56" s="4">
        <f>VLOOKUP($BA$1,DATA!$B$24:$C$45,2,0)</f>
        <v>0.01</v>
      </c>
      <c r="BD56" s="4">
        <f t="shared" si="58"/>
        <v>0.01</v>
      </c>
      <c r="BE56" s="79">
        <f t="shared" si="59"/>
        <v>0.1</v>
      </c>
      <c r="BF56" s="226" t="s">
        <v>185</v>
      </c>
      <c r="BG56" s="227">
        <f>VLOOKUP(BF56,DATA!$B$13:$C$19,2,0)</f>
        <v>100</v>
      </c>
      <c r="BH56" s="4">
        <f>VLOOKUP($BF$1,DATA!$B$24:$C$45,2,0)</f>
        <v>0.08</v>
      </c>
      <c r="BI56" s="4">
        <f t="shared" si="60"/>
        <v>0.08</v>
      </c>
      <c r="BJ56" s="79">
        <f t="shared" si="61"/>
        <v>0.8</v>
      </c>
      <c r="BK56" s="226" t="s">
        <v>185</v>
      </c>
      <c r="BL56" s="227">
        <f>VLOOKUP(BK56,DATA!$B$13:$C$19,2,0)</f>
        <v>100</v>
      </c>
      <c r="BM56" s="4">
        <f>VLOOKUP($BK$1,DATA!$B$24:$C$45,2,0)</f>
        <v>0.18</v>
      </c>
      <c r="BN56" s="4">
        <f t="shared" si="62"/>
        <v>0.18</v>
      </c>
      <c r="BO56" s="79">
        <f t="shared" si="63"/>
        <v>1.7999999999999998</v>
      </c>
      <c r="BP56" s="226" t="s">
        <v>185</v>
      </c>
      <c r="BQ56" s="227">
        <f>VLOOKUP(BP56,DATA!$B$13:$C$19,2,0)</f>
        <v>100</v>
      </c>
      <c r="BR56" s="4">
        <f>VLOOKUP($BP$1,DATA!$B$24:$C$45,2,0)</f>
        <v>0.28000000000000003</v>
      </c>
      <c r="BS56" s="4">
        <f t="shared" si="64"/>
        <v>0.28000000000000003</v>
      </c>
      <c r="BT56" s="79">
        <f t="shared" si="65"/>
        <v>2.8000000000000003</v>
      </c>
      <c r="BU56" s="226" t="s">
        <v>185</v>
      </c>
      <c r="BV56" s="227">
        <f>VLOOKUP(BU56,DATA!$B$13:$C$19,2,0)</f>
        <v>100</v>
      </c>
      <c r="BW56" s="4">
        <f>VLOOKUP($BU$1,DATA!$B$24:$C$45,2,0)</f>
        <v>0.15</v>
      </c>
      <c r="BX56" s="4">
        <f t="shared" si="66"/>
        <v>0.15</v>
      </c>
      <c r="BY56" s="79">
        <f t="shared" si="67"/>
        <v>1.5</v>
      </c>
      <c r="BZ56" s="226" t="s">
        <v>185</v>
      </c>
      <c r="CA56" s="227">
        <f>VLOOKUP(BZ56,DATA!$B$13:$C$19,2,0)</f>
        <v>100</v>
      </c>
      <c r="CB56" s="4">
        <f>VLOOKUP($BZ$1,DATA!$B$24:$C$45,2,0)</f>
        <v>0.16</v>
      </c>
      <c r="CC56" s="4">
        <f t="shared" si="68"/>
        <v>0.16</v>
      </c>
      <c r="CD56" s="79">
        <f t="shared" si="69"/>
        <v>1.6</v>
      </c>
      <c r="CE56" s="226" t="s">
        <v>185</v>
      </c>
      <c r="CF56" s="227">
        <f>VLOOKUP(CE56,DATA!$B$13:$C$19,2,0)</f>
        <v>100</v>
      </c>
      <c r="CG56" s="4">
        <f>VLOOKUP($CE$1,DATA!$B$24:$C$45,2,0)</f>
        <v>0.13</v>
      </c>
      <c r="CH56" s="4">
        <f t="shared" si="70"/>
        <v>0.13</v>
      </c>
      <c r="CI56" s="79">
        <f t="shared" si="71"/>
        <v>1.3</v>
      </c>
      <c r="CJ56" s="226" t="s">
        <v>185</v>
      </c>
      <c r="CK56" s="227">
        <f>VLOOKUP(CJ56,DATA!$B$13:$C$19,2,0)</f>
        <v>100</v>
      </c>
      <c r="CL56" s="4">
        <f>VLOOKUP($CJ$1,DATA!$B$24:$C$45,2,0)</f>
        <v>0.01</v>
      </c>
      <c r="CM56" s="4">
        <f t="shared" si="72"/>
        <v>0.01</v>
      </c>
      <c r="CN56" s="79">
        <f t="shared" si="73"/>
        <v>0.1</v>
      </c>
      <c r="CO56" s="83">
        <f t="shared" si="74"/>
        <v>1</v>
      </c>
      <c r="CP56" s="4">
        <f>VLOOKUP($CO$1,DATA!$B$24:$C$45,2,0)</f>
        <v>0.54</v>
      </c>
      <c r="CQ56" s="81">
        <f t="shared" si="75"/>
        <v>0.54</v>
      </c>
      <c r="CR56" s="80">
        <f t="shared" si="76"/>
        <v>5.4</v>
      </c>
      <c r="CS56" s="129">
        <f t="shared" si="77"/>
        <v>5.4</v>
      </c>
      <c r="CT56" s="242">
        <f t="shared" si="78"/>
        <v>0</v>
      </c>
      <c r="CU56" s="226" t="s">
        <v>185</v>
      </c>
      <c r="CV56" s="227">
        <f>VLOOKUP(CU56,DATA!$B$13:$C$19,2,0)</f>
        <v>100</v>
      </c>
      <c r="CW56" s="4">
        <f>VLOOKUP($CU$1,DATA!$B$24:$C$45,2,0)</f>
        <v>0.02</v>
      </c>
      <c r="CX56" s="4">
        <f t="shared" si="79"/>
        <v>0.02</v>
      </c>
      <c r="CY56" s="69">
        <f t="shared" si="80"/>
        <v>0.2</v>
      </c>
      <c r="CZ56" s="87">
        <v>45908</v>
      </c>
      <c r="DA56" s="86">
        <v>45919</v>
      </c>
      <c r="DB56" s="226" t="s">
        <v>185</v>
      </c>
      <c r="DC56" s="227">
        <f>VLOOKUP(DB56,DATA!$B$13:$C$19,2,0)</f>
        <v>100</v>
      </c>
      <c r="DD56" s="4">
        <f>VLOOKUP($DB$1,DATA!$B$24:$C$45,2,0)</f>
        <v>0.01</v>
      </c>
      <c r="DE56" s="4">
        <f t="shared" si="81"/>
        <v>0.01</v>
      </c>
      <c r="DF56" s="69">
        <f t="shared" si="82"/>
        <v>0.1</v>
      </c>
      <c r="DG56" s="87">
        <v>45940</v>
      </c>
      <c r="DH56" s="86">
        <v>45923</v>
      </c>
      <c r="DI56" s="226" t="s">
        <v>185</v>
      </c>
      <c r="DJ56" s="227">
        <f>VLOOKUP(DI56,DATA!$B$13:$C$19,2,0)</f>
        <v>100</v>
      </c>
      <c r="DK56" s="4">
        <f>VLOOKUP($DI$1,DATA!$B$24:$C$45,2,0)</f>
        <v>0.03</v>
      </c>
      <c r="DL56" s="4">
        <f t="shared" si="83"/>
        <v>0.03</v>
      </c>
      <c r="DM56" s="79">
        <f t="shared" si="84"/>
        <v>0.3</v>
      </c>
      <c r="DN56" s="226" t="s">
        <v>185</v>
      </c>
      <c r="DO56" s="227">
        <f>VLOOKUP(DN56,DATA!$B$13:$C$19,2,0)</f>
        <v>100</v>
      </c>
      <c r="DP56" s="4">
        <f>VLOOKUP($DN$1,DATA!$B$24:$C$45,2,0)</f>
        <v>7.0000000000000007E-2</v>
      </c>
      <c r="DQ56" s="4">
        <f t="shared" si="85"/>
        <v>7.0000000000000007E-2</v>
      </c>
      <c r="DR56" s="69">
        <f t="shared" si="86"/>
        <v>0.70000000000000007</v>
      </c>
      <c r="DS56" s="87">
        <v>45926</v>
      </c>
      <c r="DT56" s="86">
        <v>45924</v>
      </c>
      <c r="DU56" s="226" t="s">
        <v>185</v>
      </c>
      <c r="DV56" s="227">
        <f>VLOOKUP(DU56,DATA!$B$13:$C$19,2,0)</f>
        <v>100</v>
      </c>
      <c r="DW56" s="4">
        <f>VLOOKUP($DU$1,DATA!$B$24:$C$45,2,0)</f>
        <v>0.04</v>
      </c>
      <c r="DX56" s="4">
        <f t="shared" si="87"/>
        <v>0.04</v>
      </c>
      <c r="DY56" s="69">
        <f t="shared" si="88"/>
        <v>0.4</v>
      </c>
      <c r="DZ56" s="87">
        <v>45944</v>
      </c>
      <c r="EA56" s="86">
        <v>45938</v>
      </c>
      <c r="EB56" s="226" t="s">
        <v>220</v>
      </c>
      <c r="EC56" s="227">
        <f>VLOOKUP(EB56,DATA!$B$13:$C$19,2,0)</f>
        <v>50</v>
      </c>
      <c r="ED56" s="4">
        <f>VLOOKUP($EB$1,DATA!$B$24:$C$45,2,0)</f>
        <v>0.05</v>
      </c>
      <c r="EE56" s="4">
        <f t="shared" si="89"/>
        <v>2.5000000000000001E-2</v>
      </c>
      <c r="EF56" s="69">
        <f t="shared" si="90"/>
        <v>0.5</v>
      </c>
      <c r="EG56" s="87">
        <v>45950</v>
      </c>
      <c r="EH56" s="86"/>
      <c r="EI56" s="226" t="s">
        <v>185</v>
      </c>
      <c r="EJ56" s="227">
        <f>VLOOKUP(EI56,DATA!$B$13:$C$19,2,0)</f>
        <v>100</v>
      </c>
      <c r="EK56" s="4">
        <f>VLOOKUP($EI$1,DATA!$B$24:$C$45,2,0)</f>
        <v>0.1</v>
      </c>
      <c r="EL56" s="4">
        <f t="shared" si="91"/>
        <v>0.1</v>
      </c>
      <c r="EM56" s="69">
        <f t="shared" si="92"/>
        <v>1</v>
      </c>
      <c r="EN56" s="87">
        <v>45947</v>
      </c>
      <c r="EO56" s="86">
        <v>46003</v>
      </c>
      <c r="EP56" s="226" t="s">
        <v>220</v>
      </c>
      <c r="EQ56" s="227">
        <f>VLOOKUP(EP56,DATA!$B$13:$C$19,2,0)</f>
        <v>50</v>
      </c>
      <c r="ER56" s="4">
        <f>VLOOKUP($EP$1,DATA!$B$24:$C$45,2,0)</f>
        <v>0.03</v>
      </c>
      <c r="ES56" s="4">
        <f t="shared" si="93"/>
        <v>1.4999999999999999E-2</v>
      </c>
      <c r="ET56" s="79">
        <f t="shared" si="94"/>
        <v>0.3</v>
      </c>
      <c r="EU56" s="244">
        <f t="shared" si="95"/>
        <v>0.8</v>
      </c>
      <c r="EV56" s="85" t="s">
        <v>187</v>
      </c>
      <c r="EW56" s="134" t="s">
        <v>187</v>
      </c>
      <c r="EX56" s="6"/>
    </row>
    <row r="57" spans="1:154" x14ac:dyDescent="0.3">
      <c r="A57" s="3" t="s">
        <v>180</v>
      </c>
      <c r="B57" s="3" t="s">
        <v>189</v>
      </c>
      <c r="C57" s="3" t="s">
        <v>304</v>
      </c>
      <c r="D57" s="85" t="s">
        <v>320</v>
      </c>
      <c r="E57" s="85" t="s">
        <v>306</v>
      </c>
      <c r="F57" s="3">
        <v>3336</v>
      </c>
      <c r="G57" s="3" t="s">
        <v>321</v>
      </c>
      <c r="H57" s="3">
        <v>14</v>
      </c>
      <c r="I57" s="3"/>
      <c r="J57" s="229">
        <f>BaseDeDatos[[#This Row],[Budget CS]]+BaseDeDatos[[#This Row],[Change Orders Budget]]</f>
        <v>14</v>
      </c>
      <c r="K57" s="92">
        <f>IFERROR(VLOOKUP(G57, DATA!H:I, 2, FALSE), 0)+BaseDeDatos[[#This Row],[Labor Spend on Design errors]]+BaseDeDatos[[#This Row],[Labor
Spent Customer changes]]</f>
        <v>12.5</v>
      </c>
      <c r="L57" s="92">
        <v>1.5</v>
      </c>
      <c r="M57" s="92">
        <v>1</v>
      </c>
      <c r="N57" s="232">
        <f t="shared" si="48"/>
        <v>0.96000000000000008</v>
      </c>
      <c r="O57" s="238">
        <f t="shared" si="49"/>
        <v>12.5</v>
      </c>
      <c r="P57" s="39">
        <v>26.73</v>
      </c>
      <c r="Q57" s="89">
        <f>BaseDeDatos[[#This Row],[Budget]]*BaseDeDatos[[#This Row],[Labor Rate from CS]]</f>
        <v>374.22</v>
      </c>
      <c r="R57" s="89">
        <f>BaseDeDatos[[#This Row],[Labor
Spent]]*BaseDeDatos[[#This Row],[Labor Rate from CS]]</f>
        <v>334.125</v>
      </c>
      <c r="S57" s="93">
        <f t="shared" si="50"/>
        <v>0.8928571428571429</v>
      </c>
      <c r="T57" s="98">
        <v>33544</v>
      </c>
      <c r="U57" s="98">
        <v>2142.63</v>
      </c>
      <c r="V57" s="98">
        <v>2234.61</v>
      </c>
      <c r="W57" s="98">
        <v>8880.91</v>
      </c>
      <c r="X57" s="98">
        <v>8880.91</v>
      </c>
      <c r="Y57" s="98"/>
      <c r="Z57" s="98"/>
      <c r="AA57" s="98">
        <v>27896.03</v>
      </c>
      <c r="AB57" s="89">
        <f t="shared" si="51"/>
        <v>18640.899999999998</v>
      </c>
      <c r="AC57" s="120">
        <f>SUM(AB57,X57,R57,BaseDeDatos[[#This Row],[Additionals cost]])</f>
        <v>30090.544999999998</v>
      </c>
      <c r="AD57" s="117">
        <v>0.1683749701884093</v>
      </c>
      <c r="AE57" s="117">
        <v>0.1678</v>
      </c>
      <c r="AF57" s="240">
        <f t="shared" si="52"/>
        <v>0.16957026591938953</v>
      </c>
      <c r="AG57" s="226">
        <v>45867</v>
      </c>
      <c r="AH57" s="226" t="s">
        <v>185</v>
      </c>
      <c r="AI57" s="227">
        <f>VLOOKUP(AH57,DATA!$B$13:$C$19,2,0)</f>
        <v>100</v>
      </c>
      <c r="AJ57" s="4">
        <f>VLOOKUP($AH$1,DATA!$B$24:$C$45,2,0)</f>
        <v>0.05</v>
      </c>
      <c r="AK57" s="69">
        <f>BaseDeDatos[[#This Row],[Read info
Status]]*(AJ57)/100</f>
        <v>0.05</v>
      </c>
      <c r="AL57" s="79">
        <f t="shared" si="53"/>
        <v>0.70000000000000007</v>
      </c>
      <c r="AM57" s="226" t="s">
        <v>185</v>
      </c>
      <c r="AN57" s="227">
        <f>VLOOKUP(AM57,DATA!$B$13:$C$19,2,0)</f>
        <v>100</v>
      </c>
      <c r="AO57" s="4">
        <f>VLOOKUP($AM$1,DATA!$B$24:$C$45,2,0)</f>
        <v>0.05</v>
      </c>
      <c r="AP57" s="4">
        <f t="shared" si="54"/>
        <v>0.05</v>
      </c>
      <c r="AQ57" s="69">
        <f t="shared" si="55"/>
        <v>0.70000000000000007</v>
      </c>
      <c r="AR57" s="5">
        <v>45873</v>
      </c>
      <c r="AS57" s="95">
        <v>45882</v>
      </c>
      <c r="AT57" s="226" t="s">
        <v>185</v>
      </c>
      <c r="AU57" s="227">
        <f>VLOOKUP(AT57,DATA!$B$13:$C$19,2,0)</f>
        <v>100</v>
      </c>
      <c r="AV57" s="4">
        <f>VLOOKUP($AT$1,DATA!$B$24:$C$45,2,0)</f>
        <v>0.01</v>
      </c>
      <c r="AW57" s="4">
        <f t="shared" si="56"/>
        <v>0.01</v>
      </c>
      <c r="AX57" s="69">
        <f t="shared" si="57"/>
        <v>0.14000000000000001</v>
      </c>
      <c r="AY57" s="5">
        <v>45905</v>
      </c>
      <c r="AZ57" s="95">
        <v>45912</v>
      </c>
      <c r="BA57" s="226" t="s">
        <v>185</v>
      </c>
      <c r="BB57" s="227">
        <f>VLOOKUP(BA57,DATA!$B$13:$C$19,2,0)</f>
        <v>100</v>
      </c>
      <c r="BC57" s="4">
        <f>VLOOKUP($BA$1,DATA!$B$24:$C$45,2,0)</f>
        <v>0.01</v>
      </c>
      <c r="BD57" s="4">
        <f t="shared" si="58"/>
        <v>0.01</v>
      </c>
      <c r="BE57" s="79">
        <f t="shared" si="59"/>
        <v>0.14000000000000001</v>
      </c>
      <c r="BF57" s="226" t="s">
        <v>185</v>
      </c>
      <c r="BG57" s="227">
        <f>VLOOKUP(BF57,DATA!$B$13:$C$19,2,0)</f>
        <v>100</v>
      </c>
      <c r="BH57" s="4">
        <f>VLOOKUP($BF$1,DATA!$B$24:$C$45,2,0)</f>
        <v>0.08</v>
      </c>
      <c r="BI57" s="4">
        <f t="shared" si="60"/>
        <v>0.08</v>
      </c>
      <c r="BJ57" s="79">
        <f t="shared" si="61"/>
        <v>1.1200000000000001</v>
      </c>
      <c r="BK57" s="226" t="s">
        <v>185</v>
      </c>
      <c r="BL57" s="227">
        <f>VLOOKUP(BK57,DATA!$B$13:$C$19,2,0)</f>
        <v>100</v>
      </c>
      <c r="BM57" s="4">
        <f>VLOOKUP($BK$1,DATA!$B$24:$C$45,2,0)</f>
        <v>0.18</v>
      </c>
      <c r="BN57" s="4">
        <f t="shared" si="62"/>
        <v>0.18</v>
      </c>
      <c r="BO57" s="79">
        <f t="shared" si="63"/>
        <v>2.52</v>
      </c>
      <c r="BP57" s="226" t="s">
        <v>185</v>
      </c>
      <c r="BQ57" s="227">
        <f>VLOOKUP(BP57,DATA!$B$13:$C$19,2,0)</f>
        <v>100</v>
      </c>
      <c r="BR57" s="4">
        <f>VLOOKUP($BP$1,DATA!$B$24:$C$45,2,0)</f>
        <v>0.28000000000000003</v>
      </c>
      <c r="BS57" s="4">
        <f t="shared" si="64"/>
        <v>0.28000000000000003</v>
      </c>
      <c r="BT57" s="79">
        <f t="shared" si="65"/>
        <v>3.9200000000000004</v>
      </c>
      <c r="BU57" s="226" t="s">
        <v>185</v>
      </c>
      <c r="BV57" s="227">
        <f>VLOOKUP(BU57,DATA!$B$13:$C$19,2,0)</f>
        <v>100</v>
      </c>
      <c r="BW57" s="4">
        <f>VLOOKUP($BU$1,DATA!$B$24:$C$45,2,0)</f>
        <v>0.15</v>
      </c>
      <c r="BX57" s="4">
        <f t="shared" si="66"/>
        <v>0.15</v>
      </c>
      <c r="BY57" s="79">
        <f t="shared" si="67"/>
        <v>2.1</v>
      </c>
      <c r="BZ57" s="226" t="s">
        <v>185</v>
      </c>
      <c r="CA57" s="227">
        <f>VLOOKUP(BZ57,DATA!$B$13:$C$19,2,0)</f>
        <v>100</v>
      </c>
      <c r="CB57" s="4">
        <f>VLOOKUP($BZ$1,DATA!$B$24:$C$45,2,0)</f>
        <v>0.16</v>
      </c>
      <c r="CC57" s="4">
        <f t="shared" si="68"/>
        <v>0.16</v>
      </c>
      <c r="CD57" s="79">
        <f t="shared" si="69"/>
        <v>2.2400000000000002</v>
      </c>
      <c r="CE57" s="226" t="s">
        <v>185</v>
      </c>
      <c r="CF57" s="227">
        <f>VLOOKUP(CE57,DATA!$B$13:$C$19,2,0)</f>
        <v>100</v>
      </c>
      <c r="CG57" s="4">
        <f>VLOOKUP($CE$1,DATA!$B$24:$C$45,2,0)</f>
        <v>0.13</v>
      </c>
      <c r="CH57" s="4">
        <f t="shared" si="70"/>
        <v>0.13</v>
      </c>
      <c r="CI57" s="79">
        <f t="shared" si="71"/>
        <v>1.82</v>
      </c>
      <c r="CJ57" s="226" t="s">
        <v>185</v>
      </c>
      <c r="CK57" s="227">
        <f>VLOOKUP(CJ57,DATA!$B$13:$C$19,2,0)</f>
        <v>100</v>
      </c>
      <c r="CL57" s="4">
        <f>VLOOKUP($CJ$1,DATA!$B$24:$C$45,2,0)</f>
        <v>0.01</v>
      </c>
      <c r="CM57" s="4">
        <f t="shared" si="72"/>
        <v>0.01</v>
      </c>
      <c r="CN57" s="79">
        <f t="shared" si="73"/>
        <v>0.14000000000000001</v>
      </c>
      <c r="CO57" s="83">
        <f t="shared" si="74"/>
        <v>1</v>
      </c>
      <c r="CP57" s="4">
        <f>VLOOKUP($CO$1,DATA!$B$24:$C$45,2,0)</f>
        <v>0.54</v>
      </c>
      <c r="CQ57" s="81">
        <f t="shared" si="75"/>
        <v>0.54</v>
      </c>
      <c r="CR57" s="80">
        <f t="shared" si="76"/>
        <v>7.5600000000000005</v>
      </c>
      <c r="CS57" s="129">
        <f t="shared" si="77"/>
        <v>7.5600000000000005</v>
      </c>
      <c r="CT57" s="242">
        <f t="shared" si="78"/>
        <v>0</v>
      </c>
      <c r="CU57" s="226" t="s">
        <v>185</v>
      </c>
      <c r="CV57" s="227">
        <f>VLOOKUP(CU57,DATA!$B$13:$C$19,2,0)</f>
        <v>100</v>
      </c>
      <c r="CW57" s="4">
        <f>VLOOKUP($CU$1,DATA!$B$24:$C$45,2,0)</f>
        <v>0.02</v>
      </c>
      <c r="CX57" s="4">
        <f t="shared" si="79"/>
        <v>0.02</v>
      </c>
      <c r="CY57" s="69">
        <f t="shared" si="80"/>
        <v>0.28000000000000003</v>
      </c>
      <c r="CZ57" s="87">
        <v>45908</v>
      </c>
      <c r="DA57" s="86">
        <v>45919</v>
      </c>
      <c r="DB57" s="226" t="s">
        <v>185</v>
      </c>
      <c r="DC57" s="227">
        <f>VLOOKUP(DB57,DATA!$B$13:$C$19,2,0)</f>
        <v>100</v>
      </c>
      <c r="DD57" s="4">
        <f>VLOOKUP($DB$1,DATA!$B$24:$C$45,2,0)</f>
        <v>0.01</v>
      </c>
      <c r="DE57" s="4">
        <f t="shared" si="81"/>
        <v>0.01</v>
      </c>
      <c r="DF57" s="69">
        <f t="shared" si="82"/>
        <v>0.14000000000000001</v>
      </c>
      <c r="DG57" s="87">
        <v>45940</v>
      </c>
      <c r="DH57" s="86">
        <v>45923</v>
      </c>
      <c r="DI57" s="226" t="s">
        <v>185</v>
      </c>
      <c r="DJ57" s="227">
        <f>VLOOKUP(DI57,DATA!$B$13:$C$19,2,0)</f>
        <v>100</v>
      </c>
      <c r="DK57" s="4">
        <f>VLOOKUP($DI$1,DATA!$B$24:$C$45,2,0)</f>
        <v>0.03</v>
      </c>
      <c r="DL57" s="4">
        <f t="shared" si="83"/>
        <v>0.03</v>
      </c>
      <c r="DM57" s="79">
        <f t="shared" si="84"/>
        <v>0.42</v>
      </c>
      <c r="DN57" s="226" t="s">
        <v>185</v>
      </c>
      <c r="DO57" s="227">
        <f>VLOOKUP(DN57,DATA!$B$13:$C$19,2,0)</f>
        <v>100</v>
      </c>
      <c r="DP57" s="4">
        <f>VLOOKUP($DN$1,DATA!$B$24:$C$45,2,0)</f>
        <v>7.0000000000000007E-2</v>
      </c>
      <c r="DQ57" s="4">
        <f t="shared" si="85"/>
        <v>7.0000000000000007E-2</v>
      </c>
      <c r="DR57" s="69">
        <f t="shared" si="86"/>
        <v>0.98000000000000009</v>
      </c>
      <c r="DS57" s="87">
        <v>45926</v>
      </c>
      <c r="DT57" s="86">
        <v>45924</v>
      </c>
      <c r="DU57" s="226" t="s">
        <v>185</v>
      </c>
      <c r="DV57" s="227">
        <f>VLOOKUP(DU57,DATA!$B$13:$C$19,2,0)</f>
        <v>100</v>
      </c>
      <c r="DW57" s="4">
        <f>VLOOKUP($DU$1,DATA!$B$24:$C$45,2,0)</f>
        <v>0.04</v>
      </c>
      <c r="DX57" s="4">
        <f t="shared" si="87"/>
        <v>0.04</v>
      </c>
      <c r="DY57" s="69">
        <f t="shared" si="88"/>
        <v>0.56000000000000005</v>
      </c>
      <c r="DZ57" s="87">
        <v>45944</v>
      </c>
      <c r="EA57" s="86">
        <v>45938</v>
      </c>
      <c r="EB57" s="226" t="s">
        <v>220</v>
      </c>
      <c r="EC57" s="227">
        <f>VLOOKUP(EB57,DATA!$B$13:$C$19,2,0)</f>
        <v>50</v>
      </c>
      <c r="ED57" s="4">
        <f>VLOOKUP($EB$1,DATA!$B$24:$C$45,2,0)</f>
        <v>0.05</v>
      </c>
      <c r="EE57" s="4">
        <f t="shared" si="89"/>
        <v>2.5000000000000001E-2</v>
      </c>
      <c r="EF57" s="69">
        <f t="shared" si="90"/>
        <v>0.70000000000000007</v>
      </c>
      <c r="EG57" s="87">
        <v>45950</v>
      </c>
      <c r="EH57" s="86"/>
      <c r="EI57" s="226" t="s">
        <v>185</v>
      </c>
      <c r="EJ57" s="227">
        <f>VLOOKUP(EI57,DATA!$B$13:$C$19,2,0)</f>
        <v>100</v>
      </c>
      <c r="EK57" s="4">
        <f>VLOOKUP($EI$1,DATA!$B$24:$C$45,2,0)</f>
        <v>0.1</v>
      </c>
      <c r="EL57" s="4">
        <f t="shared" si="91"/>
        <v>0.1</v>
      </c>
      <c r="EM57" s="69">
        <f t="shared" si="92"/>
        <v>1.4000000000000001</v>
      </c>
      <c r="EN57" s="87">
        <v>45947</v>
      </c>
      <c r="EO57" s="86">
        <v>46003</v>
      </c>
      <c r="EP57" s="226" t="s">
        <v>220</v>
      </c>
      <c r="EQ57" s="227">
        <f>VLOOKUP(EP57,DATA!$B$13:$C$19,2,0)</f>
        <v>50</v>
      </c>
      <c r="ER57" s="4">
        <f>VLOOKUP($EP$1,DATA!$B$24:$C$45,2,0)</f>
        <v>0.03</v>
      </c>
      <c r="ES57" s="4">
        <f t="shared" si="93"/>
        <v>1.4999999999999999E-2</v>
      </c>
      <c r="ET57" s="79">
        <f t="shared" si="94"/>
        <v>0.42</v>
      </c>
      <c r="EU57" s="244">
        <f t="shared" si="95"/>
        <v>1.1200000000000001</v>
      </c>
      <c r="EV57" s="85" t="s">
        <v>187</v>
      </c>
      <c r="EW57" s="134" t="s">
        <v>197</v>
      </c>
      <c r="EX57" s="6"/>
    </row>
    <row r="58" spans="1:154" x14ac:dyDescent="0.3">
      <c r="A58" s="3" t="s">
        <v>180</v>
      </c>
      <c r="B58" s="3" t="s">
        <v>189</v>
      </c>
      <c r="C58" s="3" t="s">
        <v>304</v>
      </c>
      <c r="D58" s="85" t="s">
        <v>322</v>
      </c>
      <c r="E58" s="85" t="s">
        <v>306</v>
      </c>
      <c r="F58" s="3">
        <v>3336</v>
      </c>
      <c r="G58" s="3" t="s">
        <v>323</v>
      </c>
      <c r="H58" s="3">
        <v>14</v>
      </c>
      <c r="I58" s="3"/>
      <c r="J58" s="229">
        <f>BaseDeDatos[[#This Row],[Budget CS]]+BaseDeDatos[[#This Row],[Change Orders Budget]]</f>
        <v>14</v>
      </c>
      <c r="K58" s="92">
        <f>IFERROR(VLOOKUP(G58, DATA!H:I, 2, FALSE), 0)+BaseDeDatos[[#This Row],[Labor Spend on Design errors]]+BaseDeDatos[[#This Row],[Labor
Spent Customer changes]]</f>
        <v>13</v>
      </c>
      <c r="L58" s="92">
        <v>1</v>
      </c>
      <c r="M58" s="92">
        <v>1</v>
      </c>
      <c r="N58" s="232">
        <f t="shared" si="48"/>
        <v>0.96000000000000008</v>
      </c>
      <c r="O58" s="238">
        <f t="shared" si="49"/>
        <v>13</v>
      </c>
      <c r="P58" s="39">
        <v>26.73</v>
      </c>
      <c r="Q58" s="89">
        <f>BaseDeDatos[[#This Row],[Budget]]*BaseDeDatos[[#This Row],[Labor Rate from CS]]</f>
        <v>374.22</v>
      </c>
      <c r="R58" s="89">
        <f>BaseDeDatos[[#This Row],[Labor
Spent]]*BaseDeDatos[[#This Row],[Labor Rate from CS]]</f>
        <v>347.49</v>
      </c>
      <c r="S58" s="93">
        <f t="shared" si="50"/>
        <v>0.9285714285714286</v>
      </c>
      <c r="T58" s="98">
        <v>81115</v>
      </c>
      <c r="U58" s="98">
        <v>2142.63</v>
      </c>
      <c r="V58" s="98">
        <v>2234.61</v>
      </c>
      <c r="W58" s="98">
        <v>16865.91</v>
      </c>
      <c r="X58" s="98">
        <v>16865.91</v>
      </c>
      <c r="Y58" s="98"/>
      <c r="Z58" s="98"/>
      <c r="AA58" s="98">
        <v>67461.23</v>
      </c>
      <c r="AB58" s="89">
        <f t="shared" si="51"/>
        <v>50221.099999999991</v>
      </c>
      <c r="AC58" s="120">
        <f>SUM(AB58,X58,R58,BaseDeDatos[[#This Row],[Additionals cost]])</f>
        <v>69669.11</v>
      </c>
      <c r="AD58" s="117">
        <v>0.16832608025642593</v>
      </c>
      <c r="AE58" s="117">
        <v>0.1678</v>
      </c>
      <c r="AF58" s="240">
        <f t="shared" si="52"/>
        <v>0.16865561240214511</v>
      </c>
      <c r="AG58" s="226">
        <v>45867</v>
      </c>
      <c r="AH58" s="226" t="s">
        <v>185</v>
      </c>
      <c r="AI58" s="227">
        <f>VLOOKUP(AH58,DATA!$B$13:$C$19,2,0)</f>
        <v>100</v>
      </c>
      <c r="AJ58" s="4">
        <f>VLOOKUP($AH$1,DATA!$B$24:$C$45,2,0)</f>
        <v>0.05</v>
      </c>
      <c r="AK58" s="69">
        <f>BaseDeDatos[[#This Row],[Read info
Status]]*(AJ58)/100</f>
        <v>0.05</v>
      </c>
      <c r="AL58" s="79">
        <f t="shared" si="53"/>
        <v>0.70000000000000007</v>
      </c>
      <c r="AM58" s="226" t="s">
        <v>185</v>
      </c>
      <c r="AN58" s="227">
        <f>VLOOKUP(AM58,DATA!$B$13:$C$19,2,0)</f>
        <v>100</v>
      </c>
      <c r="AO58" s="4">
        <f>VLOOKUP($AM$1,DATA!$B$24:$C$45,2,0)</f>
        <v>0.05</v>
      </c>
      <c r="AP58" s="4">
        <f t="shared" si="54"/>
        <v>0.05</v>
      </c>
      <c r="AQ58" s="69">
        <f t="shared" si="55"/>
        <v>0.70000000000000007</v>
      </c>
      <c r="AR58" s="5">
        <v>45873</v>
      </c>
      <c r="AS58" s="95">
        <v>45882</v>
      </c>
      <c r="AT58" s="226" t="s">
        <v>185</v>
      </c>
      <c r="AU58" s="227">
        <f>VLOOKUP(AT58,DATA!$B$13:$C$19,2,0)</f>
        <v>100</v>
      </c>
      <c r="AV58" s="4">
        <f>VLOOKUP($AT$1,DATA!$B$24:$C$45,2,0)</f>
        <v>0.01</v>
      </c>
      <c r="AW58" s="4">
        <f t="shared" si="56"/>
        <v>0.01</v>
      </c>
      <c r="AX58" s="69">
        <f t="shared" si="57"/>
        <v>0.14000000000000001</v>
      </c>
      <c r="AY58" s="5">
        <v>45905</v>
      </c>
      <c r="AZ58" s="95">
        <v>45912</v>
      </c>
      <c r="BA58" s="226" t="s">
        <v>185</v>
      </c>
      <c r="BB58" s="227">
        <f>VLOOKUP(BA58,DATA!$B$13:$C$19,2,0)</f>
        <v>100</v>
      </c>
      <c r="BC58" s="4">
        <f>VLOOKUP($BA$1,DATA!$B$24:$C$45,2,0)</f>
        <v>0.01</v>
      </c>
      <c r="BD58" s="4">
        <f t="shared" si="58"/>
        <v>0.01</v>
      </c>
      <c r="BE58" s="79">
        <f t="shared" si="59"/>
        <v>0.14000000000000001</v>
      </c>
      <c r="BF58" s="226" t="s">
        <v>185</v>
      </c>
      <c r="BG58" s="227">
        <f>VLOOKUP(BF58,DATA!$B$13:$C$19,2,0)</f>
        <v>100</v>
      </c>
      <c r="BH58" s="4">
        <f>VLOOKUP($BF$1,DATA!$B$24:$C$45,2,0)</f>
        <v>0.08</v>
      </c>
      <c r="BI58" s="4">
        <f t="shared" si="60"/>
        <v>0.08</v>
      </c>
      <c r="BJ58" s="79">
        <f t="shared" si="61"/>
        <v>1.1200000000000001</v>
      </c>
      <c r="BK58" s="226" t="s">
        <v>185</v>
      </c>
      <c r="BL58" s="227">
        <f>VLOOKUP(BK58,DATA!$B$13:$C$19,2,0)</f>
        <v>100</v>
      </c>
      <c r="BM58" s="4">
        <f>VLOOKUP($BK$1,DATA!$B$24:$C$45,2,0)</f>
        <v>0.18</v>
      </c>
      <c r="BN58" s="4">
        <f t="shared" si="62"/>
        <v>0.18</v>
      </c>
      <c r="BO58" s="79">
        <f t="shared" si="63"/>
        <v>2.52</v>
      </c>
      <c r="BP58" s="226" t="s">
        <v>185</v>
      </c>
      <c r="BQ58" s="227">
        <f>VLOOKUP(BP58,DATA!$B$13:$C$19,2,0)</f>
        <v>100</v>
      </c>
      <c r="BR58" s="4">
        <f>VLOOKUP($BP$1,DATA!$B$24:$C$45,2,0)</f>
        <v>0.28000000000000003</v>
      </c>
      <c r="BS58" s="4">
        <f t="shared" si="64"/>
        <v>0.28000000000000003</v>
      </c>
      <c r="BT58" s="79">
        <f t="shared" si="65"/>
        <v>3.9200000000000004</v>
      </c>
      <c r="BU58" s="226" t="s">
        <v>185</v>
      </c>
      <c r="BV58" s="227">
        <f>VLOOKUP(BU58,DATA!$B$13:$C$19,2,0)</f>
        <v>100</v>
      </c>
      <c r="BW58" s="4">
        <f>VLOOKUP($BU$1,DATA!$B$24:$C$45,2,0)</f>
        <v>0.15</v>
      </c>
      <c r="BX58" s="4">
        <f t="shared" si="66"/>
        <v>0.15</v>
      </c>
      <c r="BY58" s="79">
        <f t="shared" si="67"/>
        <v>2.1</v>
      </c>
      <c r="BZ58" s="226" t="s">
        <v>185</v>
      </c>
      <c r="CA58" s="227">
        <f>VLOOKUP(BZ58,DATA!$B$13:$C$19,2,0)</f>
        <v>100</v>
      </c>
      <c r="CB58" s="4">
        <f>VLOOKUP($BZ$1,DATA!$B$24:$C$45,2,0)</f>
        <v>0.16</v>
      </c>
      <c r="CC58" s="4">
        <f t="shared" si="68"/>
        <v>0.16</v>
      </c>
      <c r="CD58" s="79">
        <f t="shared" si="69"/>
        <v>2.2400000000000002</v>
      </c>
      <c r="CE58" s="226" t="s">
        <v>185</v>
      </c>
      <c r="CF58" s="227">
        <f>VLOOKUP(CE58,DATA!$B$13:$C$19,2,0)</f>
        <v>100</v>
      </c>
      <c r="CG58" s="4">
        <f>VLOOKUP($CE$1,DATA!$B$24:$C$45,2,0)</f>
        <v>0.13</v>
      </c>
      <c r="CH58" s="4">
        <f t="shared" si="70"/>
        <v>0.13</v>
      </c>
      <c r="CI58" s="79">
        <f t="shared" si="71"/>
        <v>1.82</v>
      </c>
      <c r="CJ58" s="226" t="s">
        <v>185</v>
      </c>
      <c r="CK58" s="227">
        <f>VLOOKUP(CJ58,DATA!$B$13:$C$19,2,0)</f>
        <v>100</v>
      </c>
      <c r="CL58" s="4">
        <f>VLOOKUP($CJ$1,DATA!$B$24:$C$45,2,0)</f>
        <v>0.01</v>
      </c>
      <c r="CM58" s="4">
        <f t="shared" si="72"/>
        <v>0.01</v>
      </c>
      <c r="CN58" s="79">
        <f t="shared" si="73"/>
        <v>0.14000000000000001</v>
      </c>
      <c r="CO58" s="83">
        <f t="shared" si="74"/>
        <v>1</v>
      </c>
      <c r="CP58" s="4">
        <f>VLOOKUP($CO$1,DATA!$B$24:$C$45,2,0)</f>
        <v>0.54</v>
      </c>
      <c r="CQ58" s="81">
        <f t="shared" si="75"/>
        <v>0.54</v>
      </c>
      <c r="CR58" s="80">
        <f t="shared" si="76"/>
        <v>7.5600000000000005</v>
      </c>
      <c r="CS58" s="129">
        <f t="shared" si="77"/>
        <v>7.5600000000000005</v>
      </c>
      <c r="CT58" s="242">
        <f t="shared" si="78"/>
        <v>0</v>
      </c>
      <c r="CU58" s="226" t="s">
        <v>185</v>
      </c>
      <c r="CV58" s="227">
        <f>VLOOKUP(CU58,DATA!$B$13:$C$19,2,0)</f>
        <v>100</v>
      </c>
      <c r="CW58" s="4">
        <f>VLOOKUP($CU$1,DATA!$B$24:$C$45,2,0)</f>
        <v>0.02</v>
      </c>
      <c r="CX58" s="4">
        <f t="shared" si="79"/>
        <v>0.02</v>
      </c>
      <c r="CY58" s="69">
        <f t="shared" si="80"/>
        <v>0.28000000000000003</v>
      </c>
      <c r="CZ58" s="87">
        <v>45908</v>
      </c>
      <c r="DA58" s="86">
        <v>45919</v>
      </c>
      <c r="DB58" s="226" t="s">
        <v>185</v>
      </c>
      <c r="DC58" s="227">
        <f>VLOOKUP(DB58,DATA!$B$13:$C$19,2,0)</f>
        <v>100</v>
      </c>
      <c r="DD58" s="4">
        <f>VLOOKUP($DB$1,DATA!$B$24:$C$45,2,0)</f>
        <v>0.01</v>
      </c>
      <c r="DE58" s="4">
        <f t="shared" si="81"/>
        <v>0.01</v>
      </c>
      <c r="DF58" s="69">
        <f t="shared" si="82"/>
        <v>0.14000000000000001</v>
      </c>
      <c r="DG58" s="87">
        <v>45940</v>
      </c>
      <c r="DH58" s="86">
        <v>45923</v>
      </c>
      <c r="DI58" s="226" t="s">
        <v>185</v>
      </c>
      <c r="DJ58" s="227">
        <f>VLOOKUP(DI58,DATA!$B$13:$C$19,2,0)</f>
        <v>100</v>
      </c>
      <c r="DK58" s="4">
        <f>VLOOKUP($DI$1,DATA!$B$24:$C$45,2,0)</f>
        <v>0.03</v>
      </c>
      <c r="DL58" s="4">
        <f t="shared" si="83"/>
        <v>0.03</v>
      </c>
      <c r="DM58" s="79">
        <f t="shared" si="84"/>
        <v>0.42</v>
      </c>
      <c r="DN58" s="226" t="s">
        <v>185</v>
      </c>
      <c r="DO58" s="227">
        <f>VLOOKUP(DN58,DATA!$B$13:$C$19,2,0)</f>
        <v>100</v>
      </c>
      <c r="DP58" s="4">
        <f>VLOOKUP($DN$1,DATA!$B$24:$C$45,2,0)</f>
        <v>7.0000000000000007E-2</v>
      </c>
      <c r="DQ58" s="4">
        <f t="shared" si="85"/>
        <v>7.0000000000000007E-2</v>
      </c>
      <c r="DR58" s="69">
        <f t="shared" si="86"/>
        <v>0.98000000000000009</v>
      </c>
      <c r="DS58" s="87">
        <v>45926</v>
      </c>
      <c r="DT58" s="86">
        <v>45924</v>
      </c>
      <c r="DU58" s="226" t="s">
        <v>185</v>
      </c>
      <c r="DV58" s="227">
        <f>VLOOKUP(DU58,DATA!$B$13:$C$19,2,0)</f>
        <v>100</v>
      </c>
      <c r="DW58" s="4">
        <f>VLOOKUP($DU$1,DATA!$B$24:$C$45,2,0)</f>
        <v>0.04</v>
      </c>
      <c r="DX58" s="4">
        <f t="shared" si="87"/>
        <v>0.04</v>
      </c>
      <c r="DY58" s="69">
        <f t="shared" si="88"/>
        <v>0.56000000000000005</v>
      </c>
      <c r="DZ58" s="87">
        <v>45944</v>
      </c>
      <c r="EA58" s="86">
        <v>45938</v>
      </c>
      <c r="EB58" s="226" t="s">
        <v>220</v>
      </c>
      <c r="EC58" s="227">
        <f>VLOOKUP(EB58,DATA!$B$13:$C$19,2,0)</f>
        <v>50</v>
      </c>
      <c r="ED58" s="4">
        <f>VLOOKUP($EB$1,DATA!$B$24:$C$45,2,0)</f>
        <v>0.05</v>
      </c>
      <c r="EE58" s="4">
        <f t="shared" si="89"/>
        <v>2.5000000000000001E-2</v>
      </c>
      <c r="EF58" s="69">
        <f t="shared" si="90"/>
        <v>0.70000000000000007</v>
      </c>
      <c r="EG58" s="87">
        <v>45950</v>
      </c>
      <c r="EH58" s="86"/>
      <c r="EI58" s="226" t="s">
        <v>185</v>
      </c>
      <c r="EJ58" s="227">
        <f>VLOOKUP(EI58,DATA!$B$13:$C$19,2,0)</f>
        <v>100</v>
      </c>
      <c r="EK58" s="4">
        <f>VLOOKUP($EI$1,DATA!$B$24:$C$45,2,0)</f>
        <v>0.1</v>
      </c>
      <c r="EL58" s="4">
        <f t="shared" si="91"/>
        <v>0.1</v>
      </c>
      <c r="EM58" s="69">
        <f t="shared" si="92"/>
        <v>1.4000000000000001</v>
      </c>
      <c r="EN58" s="87">
        <v>45947</v>
      </c>
      <c r="EO58" s="86">
        <v>46003</v>
      </c>
      <c r="EP58" s="226" t="s">
        <v>220</v>
      </c>
      <c r="EQ58" s="227">
        <f>VLOOKUP(EP58,DATA!$B$13:$C$19,2,0)</f>
        <v>50</v>
      </c>
      <c r="ER58" s="4">
        <f>VLOOKUP($EP$1,DATA!$B$24:$C$45,2,0)</f>
        <v>0.03</v>
      </c>
      <c r="ES58" s="4">
        <f t="shared" si="93"/>
        <v>1.4999999999999999E-2</v>
      </c>
      <c r="ET58" s="79">
        <f t="shared" si="94"/>
        <v>0.42</v>
      </c>
      <c r="EU58" s="244">
        <f t="shared" si="95"/>
        <v>1.1200000000000001</v>
      </c>
      <c r="EV58" s="85" t="s">
        <v>187</v>
      </c>
      <c r="EW58" s="134" t="s">
        <v>197</v>
      </c>
      <c r="EX58" s="6"/>
    </row>
    <row r="59" spans="1:154" x14ac:dyDescent="0.3">
      <c r="A59" s="3" t="s">
        <v>180</v>
      </c>
      <c r="B59" s="3" t="s">
        <v>189</v>
      </c>
      <c r="C59" s="3" t="s">
        <v>304</v>
      </c>
      <c r="D59" s="85" t="s">
        <v>324</v>
      </c>
      <c r="E59" s="85" t="s">
        <v>306</v>
      </c>
      <c r="F59" s="3">
        <v>3336</v>
      </c>
      <c r="G59" s="3" t="s">
        <v>325</v>
      </c>
      <c r="H59" s="3">
        <v>14</v>
      </c>
      <c r="I59" s="3"/>
      <c r="J59" s="229">
        <f>BaseDeDatos[[#This Row],[Budget CS]]+BaseDeDatos[[#This Row],[Change Orders Budget]]</f>
        <v>14</v>
      </c>
      <c r="K59" s="92">
        <f>IFERROR(VLOOKUP(G59, DATA!H:I, 2, FALSE), 0)+BaseDeDatos[[#This Row],[Labor Spend on Design errors]]+BaseDeDatos[[#This Row],[Labor
Spent Customer changes]]</f>
        <v>12.5</v>
      </c>
      <c r="L59" s="92">
        <v>1</v>
      </c>
      <c r="M59" s="92"/>
      <c r="N59" s="232">
        <f t="shared" si="48"/>
        <v>0.96000000000000008</v>
      </c>
      <c r="O59" s="238">
        <f t="shared" si="49"/>
        <v>12.5</v>
      </c>
      <c r="P59" s="39">
        <v>26.73</v>
      </c>
      <c r="Q59" s="89">
        <f>BaseDeDatos[[#This Row],[Budget]]*BaseDeDatos[[#This Row],[Labor Rate from CS]]</f>
        <v>374.22</v>
      </c>
      <c r="R59" s="89">
        <f>BaseDeDatos[[#This Row],[Labor
Spent]]*BaseDeDatos[[#This Row],[Labor Rate from CS]]</f>
        <v>334.125</v>
      </c>
      <c r="S59" s="93">
        <f t="shared" si="50"/>
        <v>0.8928571428571429</v>
      </c>
      <c r="T59" s="98">
        <v>45833</v>
      </c>
      <c r="U59" s="98">
        <v>2142.63</v>
      </c>
      <c r="V59" s="98">
        <v>2234.61</v>
      </c>
      <c r="W59" s="98">
        <v>14845.91</v>
      </c>
      <c r="X59" s="98">
        <v>14845.91</v>
      </c>
      <c r="Y59" s="98"/>
      <c r="Z59" s="98"/>
      <c r="AA59" s="98">
        <v>38117.18</v>
      </c>
      <c r="AB59" s="89">
        <f t="shared" si="51"/>
        <v>22897.05</v>
      </c>
      <c r="AC59" s="120">
        <f>SUM(AB59,X59,R59,BaseDeDatos[[#This Row],[Additionals cost]])</f>
        <v>40311.695</v>
      </c>
      <c r="AD59" s="117">
        <v>0.16834638797373072</v>
      </c>
      <c r="AE59" s="117">
        <v>0.1678</v>
      </c>
      <c r="AF59" s="240">
        <f t="shared" si="52"/>
        <v>0.16922119433595884</v>
      </c>
      <c r="AG59" s="226">
        <v>45867</v>
      </c>
      <c r="AH59" s="226" t="s">
        <v>185</v>
      </c>
      <c r="AI59" s="227">
        <f>VLOOKUP(AH59,DATA!$B$13:$C$19,2,0)</f>
        <v>100</v>
      </c>
      <c r="AJ59" s="4">
        <f>VLOOKUP($AH$1,DATA!$B$24:$C$45,2,0)</f>
        <v>0.05</v>
      </c>
      <c r="AK59" s="69">
        <f>BaseDeDatos[[#This Row],[Read info
Status]]*(AJ59)/100</f>
        <v>0.05</v>
      </c>
      <c r="AL59" s="79">
        <f t="shared" si="53"/>
        <v>0.70000000000000007</v>
      </c>
      <c r="AM59" s="226" t="s">
        <v>185</v>
      </c>
      <c r="AN59" s="227">
        <f>VLOOKUP(AM59,DATA!$B$13:$C$19,2,0)</f>
        <v>100</v>
      </c>
      <c r="AO59" s="4">
        <f>VLOOKUP($AM$1,DATA!$B$24:$C$45,2,0)</f>
        <v>0.05</v>
      </c>
      <c r="AP59" s="4">
        <f t="shared" si="54"/>
        <v>0.05</v>
      </c>
      <c r="AQ59" s="69">
        <f t="shared" si="55"/>
        <v>0.70000000000000007</v>
      </c>
      <c r="AR59" s="5">
        <v>45873</v>
      </c>
      <c r="AS59" s="95">
        <v>45882</v>
      </c>
      <c r="AT59" s="226" t="s">
        <v>185</v>
      </c>
      <c r="AU59" s="227">
        <f>VLOOKUP(AT59,DATA!$B$13:$C$19,2,0)</f>
        <v>100</v>
      </c>
      <c r="AV59" s="4">
        <f>VLOOKUP($AT$1,DATA!$B$24:$C$45,2,0)</f>
        <v>0.01</v>
      </c>
      <c r="AW59" s="4">
        <f t="shared" si="56"/>
        <v>0.01</v>
      </c>
      <c r="AX59" s="69">
        <f t="shared" si="57"/>
        <v>0.14000000000000001</v>
      </c>
      <c r="AY59" s="5">
        <v>45905</v>
      </c>
      <c r="AZ59" s="95">
        <v>45912</v>
      </c>
      <c r="BA59" s="226" t="s">
        <v>185</v>
      </c>
      <c r="BB59" s="227">
        <f>VLOOKUP(BA59,DATA!$B$13:$C$19,2,0)</f>
        <v>100</v>
      </c>
      <c r="BC59" s="4">
        <f>VLOOKUP($BA$1,DATA!$B$24:$C$45,2,0)</f>
        <v>0.01</v>
      </c>
      <c r="BD59" s="4">
        <f t="shared" si="58"/>
        <v>0.01</v>
      </c>
      <c r="BE59" s="79">
        <f t="shared" si="59"/>
        <v>0.14000000000000001</v>
      </c>
      <c r="BF59" s="226" t="s">
        <v>185</v>
      </c>
      <c r="BG59" s="227">
        <f>VLOOKUP(BF59,DATA!$B$13:$C$19,2,0)</f>
        <v>100</v>
      </c>
      <c r="BH59" s="4">
        <f>VLOOKUP($BF$1,DATA!$B$24:$C$45,2,0)</f>
        <v>0.08</v>
      </c>
      <c r="BI59" s="4">
        <f t="shared" si="60"/>
        <v>0.08</v>
      </c>
      <c r="BJ59" s="79">
        <f t="shared" si="61"/>
        <v>1.1200000000000001</v>
      </c>
      <c r="BK59" s="226" t="s">
        <v>185</v>
      </c>
      <c r="BL59" s="227">
        <f>VLOOKUP(BK59,DATA!$B$13:$C$19,2,0)</f>
        <v>100</v>
      </c>
      <c r="BM59" s="4">
        <f>VLOOKUP($BK$1,DATA!$B$24:$C$45,2,0)</f>
        <v>0.18</v>
      </c>
      <c r="BN59" s="4">
        <f t="shared" si="62"/>
        <v>0.18</v>
      </c>
      <c r="BO59" s="79">
        <f t="shared" si="63"/>
        <v>2.52</v>
      </c>
      <c r="BP59" s="226" t="s">
        <v>185</v>
      </c>
      <c r="BQ59" s="227">
        <f>VLOOKUP(BP59,DATA!$B$13:$C$19,2,0)</f>
        <v>100</v>
      </c>
      <c r="BR59" s="4">
        <f>VLOOKUP($BP$1,DATA!$B$24:$C$45,2,0)</f>
        <v>0.28000000000000003</v>
      </c>
      <c r="BS59" s="4">
        <f t="shared" si="64"/>
        <v>0.28000000000000003</v>
      </c>
      <c r="BT59" s="79">
        <f t="shared" si="65"/>
        <v>3.9200000000000004</v>
      </c>
      <c r="BU59" s="226" t="s">
        <v>185</v>
      </c>
      <c r="BV59" s="227">
        <f>VLOOKUP(BU59,DATA!$B$13:$C$19,2,0)</f>
        <v>100</v>
      </c>
      <c r="BW59" s="4">
        <f>VLOOKUP($BU$1,DATA!$B$24:$C$45,2,0)</f>
        <v>0.15</v>
      </c>
      <c r="BX59" s="4">
        <f t="shared" si="66"/>
        <v>0.15</v>
      </c>
      <c r="BY59" s="79">
        <f t="shared" si="67"/>
        <v>2.1</v>
      </c>
      <c r="BZ59" s="226" t="s">
        <v>185</v>
      </c>
      <c r="CA59" s="227">
        <f>VLOOKUP(BZ59,DATA!$B$13:$C$19,2,0)</f>
        <v>100</v>
      </c>
      <c r="CB59" s="4">
        <f>VLOOKUP($BZ$1,DATA!$B$24:$C$45,2,0)</f>
        <v>0.16</v>
      </c>
      <c r="CC59" s="4">
        <f t="shared" si="68"/>
        <v>0.16</v>
      </c>
      <c r="CD59" s="79">
        <f t="shared" si="69"/>
        <v>2.2400000000000002</v>
      </c>
      <c r="CE59" s="226" t="s">
        <v>185</v>
      </c>
      <c r="CF59" s="227">
        <f>VLOOKUP(CE59,DATA!$B$13:$C$19,2,0)</f>
        <v>100</v>
      </c>
      <c r="CG59" s="4">
        <f>VLOOKUP($CE$1,DATA!$B$24:$C$45,2,0)</f>
        <v>0.13</v>
      </c>
      <c r="CH59" s="4">
        <f t="shared" si="70"/>
        <v>0.13</v>
      </c>
      <c r="CI59" s="79">
        <f t="shared" si="71"/>
        <v>1.82</v>
      </c>
      <c r="CJ59" s="226" t="s">
        <v>185</v>
      </c>
      <c r="CK59" s="227">
        <f>VLOOKUP(CJ59,DATA!$B$13:$C$19,2,0)</f>
        <v>100</v>
      </c>
      <c r="CL59" s="4">
        <f>VLOOKUP($CJ$1,DATA!$B$24:$C$45,2,0)</f>
        <v>0.01</v>
      </c>
      <c r="CM59" s="4">
        <f t="shared" si="72"/>
        <v>0.01</v>
      </c>
      <c r="CN59" s="79">
        <f t="shared" si="73"/>
        <v>0.14000000000000001</v>
      </c>
      <c r="CO59" s="83">
        <f t="shared" si="74"/>
        <v>1</v>
      </c>
      <c r="CP59" s="4">
        <f>VLOOKUP($CO$1,DATA!$B$24:$C$45,2,0)</f>
        <v>0.54</v>
      </c>
      <c r="CQ59" s="81">
        <f t="shared" si="75"/>
        <v>0.54</v>
      </c>
      <c r="CR59" s="80">
        <f t="shared" si="76"/>
        <v>7.5600000000000005</v>
      </c>
      <c r="CS59" s="129">
        <f t="shared" si="77"/>
        <v>7.5600000000000005</v>
      </c>
      <c r="CT59" s="242">
        <f t="shared" si="78"/>
        <v>0</v>
      </c>
      <c r="CU59" s="226" t="s">
        <v>185</v>
      </c>
      <c r="CV59" s="227">
        <f>VLOOKUP(CU59,DATA!$B$13:$C$19,2,0)</f>
        <v>100</v>
      </c>
      <c r="CW59" s="4">
        <f>VLOOKUP($CU$1,DATA!$B$24:$C$45,2,0)</f>
        <v>0.02</v>
      </c>
      <c r="CX59" s="4">
        <f t="shared" si="79"/>
        <v>0.02</v>
      </c>
      <c r="CY59" s="69">
        <f t="shared" si="80"/>
        <v>0.28000000000000003</v>
      </c>
      <c r="CZ59" s="87">
        <v>45908</v>
      </c>
      <c r="DA59" s="86">
        <v>45919</v>
      </c>
      <c r="DB59" s="226" t="s">
        <v>185</v>
      </c>
      <c r="DC59" s="227">
        <f>VLOOKUP(DB59,DATA!$B$13:$C$19,2,0)</f>
        <v>100</v>
      </c>
      <c r="DD59" s="4">
        <f>VLOOKUP($DB$1,DATA!$B$24:$C$45,2,0)</f>
        <v>0.01</v>
      </c>
      <c r="DE59" s="4">
        <f t="shared" si="81"/>
        <v>0.01</v>
      </c>
      <c r="DF59" s="69">
        <f t="shared" si="82"/>
        <v>0.14000000000000001</v>
      </c>
      <c r="DG59" s="87">
        <v>45940</v>
      </c>
      <c r="DH59" s="86">
        <v>45923</v>
      </c>
      <c r="DI59" s="226" t="s">
        <v>185</v>
      </c>
      <c r="DJ59" s="227">
        <f>VLOOKUP(DI59,DATA!$B$13:$C$19,2,0)</f>
        <v>100</v>
      </c>
      <c r="DK59" s="4">
        <f>VLOOKUP($DI$1,DATA!$B$24:$C$45,2,0)</f>
        <v>0.03</v>
      </c>
      <c r="DL59" s="4">
        <f t="shared" si="83"/>
        <v>0.03</v>
      </c>
      <c r="DM59" s="79">
        <f t="shared" si="84"/>
        <v>0.42</v>
      </c>
      <c r="DN59" s="226" t="s">
        <v>185</v>
      </c>
      <c r="DO59" s="227">
        <f>VLOOKUP(DN59,DATA!$B$13:$C$19,2,0)</f>
        <v>100</v>
      </c>
      <c r="DP59" s="4">
        <f>VLOOKUP($DN$1,DATA!$B$24:$C$45,2,0)</f>
        <v>7.0000000000000007E-2</v>
      </c>
      <c r="DQ59" s="4">
        <f t="shared" si="85"/>
        <v>7.0000000000000007E-2</v>
      </c>
      <c r="DR59" s="69">
        <f t="shared" si="86"/>
        <v>0.98000000000000009</v>
      </c>
      <c r="DS59" s="87">
        <v>45926</v>
      </c>
      <c r="DT59" s="86">
        <v>45924</v>
      </c>
      <c r="DU59" s="226" t="s">
        <v>185</v>
      </c>
      <c r="DV59" s="227">
        <f>VLOOKUP(DU59,DATA!$B$13:$C$19,2,0)</f>
        <v>100</v>
      </c>
      <c r="DW59" s="4">
        <f>VLOOKUP($DU$1,DATA!$B$24:$C$45,2,0)</f>
        <v>0.04</v>
      </c>
      <c r="DX59" s="4">
        <f t="shared" si="87"/>
        <v>0.04</v>
      </c>
      <c r="DY59" s="69">
        <f t="shared" si="88"/>
        <v>0.56000000000000005</v>
      </c>
      <c r="DZ59" s="87">
        <v>45944</v>
      </c>
      <c r="EA59" s="86">
        <v>45938</v>
      </c>
      <c r="EB59" s="226" t="s">
        <v>220</v>
      </c>
      <c r="EC59" s="227">
        <f>VLOOKUP(EB59,DATA!$B$13:$C$19,2,0)</f>
        <v>50</v>
      </c>
      <c r="ED59" s="4">
        <f>VLOOKUP($EB$1,DATA!$B$24:$C$45,2,0)</f>
        <v>0.05</v>
      </c>
      <c r="EE59" s="4">
        <f t="shared" si="89"/>
        <v>2.5000000000000001E-2</v>
      </c>
      <c r="EF59" s="69">
        <f t="shared" si="90"/>
        <v>0.70000000000000007</v>
      </c>
      <c r="EG59" s="87">
        <v>45950</v>
      </c>
      <c r="EH59" s="86"/>
      <c r="EI59" s="226" t="s">
        <v>185</v>
      </c>
      <c r="EJ59" s="227">
        <f>VLOOKUP(EI59,DATA!$B$13:$C$19,2,0)</f>
        <v>100</v>
      </c>
      <c r="EK59" s="4">
        <f>VLOOKUP($EI$1,DATA!$B$24:$C$45,2,0)</f>
        <v>0.1</v>
      </c>
      <c r="EL59" s="4">
        <f t="shared" si="91"/>
        <v>0.1</v>
      </c>
      <c r="EM59" s="69">
        <f t="shared" si="92"/>
        <v>1.4000000000000001</v>
      </c>
      <c r="EN59" s="87">
        <v>45947</v>
      </c>
      <c r="EO59" s="86">
        <v>46003</v>
      </c>
      <c r="EP59" s="226" t="s">
        <v>220</v>
      </c>
      <c r="EQ59" s="227">
        <f>VLOOKUP(EP59,DATA!$B$13:$C$19,2,0)</f>
        <v>50</v>
      </c>
      <c r="ER59" s="4">
        <f>VLOOKUP($EP$1,DATA!$B$24:$C$45,2,0)</f>
        <v>0.03</v>
      </c>
      <c r="ES59" s="4">
        <f t="shared" si="93"/>
        <v>1.4999999999999999E-2</v>
      </c>
      <c r="ET59" s="79">
        <f t="shared" si="94"/>
        <v>0.42</v>
      </c>
      <c r="EU59" s="244">
        <f t="shared" si="95"/>
        <v>1.1200000000000001</v>
      </c>
      <c r="EV59" s="85" t="s">
        <v>187</v>
      </c>
      <c r="EW59" s="134" t="s">
        <v>187</v>
      </c>
      <c r="EX59" s="6"/>
    </row>
    <row r="60" spans="1:154" x14ac:dyDescent="0.3">
      <c r="A60" s="3" t="s">
        <v>180</v>
      </c>
      <c r="B60" s="3" t="s">
        <v>189</v>
      </c>
      <c r="C60" s="3" t="s">
        <v>304</v>
      </c>
      <c r="D60" s="85" t="s">
        <v>326</v>
      </c>
      <c r="E60" s="85" t="s">
        <v>306</v>
      </c>
      <c r="F60" s="3">
        <v>3336</v>
      </c>
      <c r="G60" s="3" t="s">
        <v>327</v>
      </c>
      <c r="H60" s="3">
        <v>14</v>
      </c>
      <c r="I60" s="3"/>
      <c r="J60" s="229">
        <f>BaseDeDatos[[#This Row],[Budget CS]]+BaseDeDatos[[#This Row],[Change Orders Budget]]</f>
        <v>14</v>
      </c>
      <c r="K60" s="92">
        <f>IFERROR(VLOOKUP(G60, DATA!H:I, 2, FALSE), 0)+BaseDeDatos[[#This Row],[Labor Spend on Design errors]]+BaseDeDatos[[#This Row],[Labor
Spent Customer changes]]</f>
        <v>13</v>
      </c>
      <c r="L60" s="92"/>
      <c r="M60" s="92">
        <v>1.5</v>
      </c>
      <c r="N60" s="232">
        <f t="shared" si="48"/>
        <v>0.96000000000000008</v>
      </c>
      <c r="O60" s="238">
        <f t="shared" si="49"/>
        <v>13</v>
      </c>
      <c r="P60" s="39">
        <v>26.73</v>
      </c>
      <c r="Q60" s="89">
        <f>BaseDeDatos[[#This Row],[Budget]]*BaseDeDatos[[#This Row],[Labor Rate from CS]]</f>
        <v>374.22</v>
      </c>
      <c r="R60" s="89">
        <f>BaseDeDatos[[#This Row],[Labor
Spent]]*BaseDeDatos[[#This Row],[Labor Rate from CS]]</f>
        <v>347.49</v>
      </c>
      <c r="S60" s="93">
        <f t="shared" si="50"/>
        <v>0.9285714285714286</v>
      </c>
      <c r="T60" s="98">
        <v>49062</v>
      </c>
      <c r="U60" s="98">
        <v>2142.63</v>
      </c>
      <c r="V60" s="98">
        <v>2234.61</v>
      </c>
      <c r="W60" s="98">
        <v>16375.91</v>
      </c>
      <c r="X60" s="98">
        <v>16375.91</v>
      </c>
      <c r="Y60" s="98"/>
      <c r="Z60" s="98"/>
      <c r="AA60" s="98">
        <v>40800.589999999997</v>
      </c>
      <c r="AB60" s="89">
        <f t="shared" si="51"/>
        <v>24050.459999999995</v>
      </c>
      <c r="AC60" s="120">
        <f>SUM(AB60,X60,R60,BaseDeDatos[[#This Row],[Additionals cost]])</f>
        <v>43008.469999999994</v>
      </c>
      <c r="AD60" s="117">
        <v>0.16838714279890743</v>
      </c>
      <c r="AE60" s="117">
        <v>0.1678</v>
      </c>
      <c r="AF60" s="240">
        <f t="shared" si="52"/>
        <v>0.16893196363784613</v>
      </c>
      <c r="AG60" s="226">
        <v>45867</v>
      </c>
      <c r="AH60" s="226" t="s">
        <v>185</v>
      </c>
      <c r="AI60" s="227">
        <f>VLOOKUP(AH60,DATA!$B$13:$C$19,2,0)</f>
        <v>100</v>
      </c>
      <c r="AJ60" s="4">
        <f>VLOOKUP($AH$1,DATA!$B$24:$C$45,2,0)</f>
        <v>0.05</v>
      </c>
      <c r="AK60" s="69">
        <f>BaseDeDatos[[#This Row],[Read info
Status]]*(AJ60)/100</f>
        <v>0.05</v>
      </c>
      <c r="AL60" s="79">
        <f t="shared" si="53"/>
        <v>0.70000000000000007</v>
      </c>
      <c r="AM60" s="226" t="s">
        <v>185</v>
      </c>
      <c r="AN60" s="227">
        <f>VLOOKUP(AM60,DATA!$B$13:$C$19,2,0)</f>
        <v>100</v>
      </c>
      <c r="AO60" s="4">
        <f>VLOOKUP($AM$1,DATA!$B$24:$C$45,2,0)</f>
        <v>0.05</v>
      </c>
      <c r="AP60" s="4">
        <f t="shared" si="54"/>
        <v>0.05</v>
      </c>
      <c r="AQ60" s="69">
        <f t="shared" si="55"/>
        <v>0.70000000000000007</v>
      </c>
      <c r="AR60" s="5">
        <v>45873</v>
      </c>
      <c r="AS60" s="95">
        <v>45882</v>
      </c>
      <c r="AT60" s="226" t="s">
        <v>185</v>
      </c>
      <c r="AU60" s="227">
        <f>VLOOKUP(AT60,DATA!$B$13:$C$19,2,0)</f>
        <v>100</v>
      </c>
      <c r="AV60" s="4">
        <f>VLOOKUP($AT$1,DATA!$B$24:$C$45,2,0)</f>
        <v>0.01</v>
      </c>
      <c r="AW60" s="4">
        <f t="shared" si="56"/>
        <v>0.01</v>
      </c>
      <c r="AX60" s="69">
        <f t="shared" si="57"/>
        <v>0.14000000000000001</v>
      </c>
      <c r="AY60" s="5">
        <v>45905</v>
      </c>
      <c r="AZ60" s="95">
        <v>45912</v>
      </c>
      <c r="BA60" s="226" t="s">
        <v>185</v>
      </c>
      <c r="BB60" s="227">
        <f>VLOOKUP(BA60,DATA!$B$13:$C$19,2,0)</f>
        <v>100</v>
      </c>
      <c r="BC60" s="4">
        <f>VLOOKUP($BA$1,DATA!$B$24:$C$45,2,0)</f>
        <v>0.01</v>
      </c>
      <c r="BD60" s="4">
        <f t="shared" si="58"/>
        <v>0.01</v>
      </c>
      <c r="BE60" s="79">
        <f t="shared" si="59"/>
        <v>0.14000000000000001</v>
      </c>
      <c r="BF60" s="226" t="s">
        <v>185</v>
      </c>
      <c r="BG60" s="227">
        <f>VLOOKUP(BF60,DATA!$B$13:$C$19,2,0)</f>
        <v>100</v>
      </c>
      <c r="BH60" s="4">
        <f>VLOOKUP($BF$1,DATA!$B$24:$C$45,2,0)</f>
        <v>0.08</v>
      </c>
      <c r="BI60" s="4">
        <f t="shared" si="60"/>
        <v>0.08</v>
      </c>
      <c r="BJ60" s="79">
        <f t="shared" si="61"/>
        <v>1.1200000000000001</v>
      </c>
      <c r="BK60" s="226" t="s">
        <v>185</v>
      </c>
      <c r="BL60" s="227">
        <f>VLOOKUP(BK60,DATA!$B$13:$C$19,2,0)</f>
        <v>100</v>
      </c>
      <c r="BM60" s="4">
        <f>VLOOKUP($BK$1,DATA!$B$24:$C$45,2,0)</f>
        <v>0.18</v>
      </c>
      <c r="BN60" s="4">
        <f t="shared" si="62"/>
        <v>0.18</v>
      </c>
      <c r="BO60" s="79">
        <f t="shared" si="63"/>
        <v>2.52</v>
      </c>
      <c r="BP60" s="226" t="s">
        <v>185</v>
      </c>
      <c r="BQ60" s="227">
        <f>VLOOKUP(BP60,DATA!$B$13:$C$19,2,0)</f>
        <v>100</v>
      </c>
      <c r="BR60" s="4">
        <f>VLOOKUP($BP$1,DATA!$B$24:$C$45,2,0)</f>
        <v>0.28000000000000003</v>
      </c>
      <c r="BS60" s="4">
        <f t="shared" si="64"/>
        <v>0.28000000000000003</v>
      </c>
      <c r="BT60" s="79">
        <f t="shared" si="65"/>
        <v>3.9200000000000004</v>
      </c>
      <c r="BU60" s="226" t="s">
        <v>185</v>
      </c>
      <c r="BV60" s="227">
        <f>VLOOKUP(BU60,DATA!$B$13:$C$19,2,0)</f>
        <v>100</v>
      </c>
      <c r="BW60" s="4">
        <f>VLOOKUP($BU$1,DATA!$B$24:$C$45,2,0)</f>
        <v>0.15</v>
      </c>
      <c r="BX60" s="4">
        <f t="shared" si="66"/>
        <v>0.15</v>
      </c>
      <c r="BY60" s="79">
        <f t="shared" si="67"/>
        <v>2.1</v>
      </c>
      <c r="BZ60" s="226" t="s">
        <v>185</v>
      </c>
      <c r="CA60" s="227">
        <f>VLOOKUP(BZ60,DATA!$B$13:$C$19,2,0)</f>
        <v>100</v>
      </c>
      <c r="CB60" s="4">
        <f>VLOOKUP($BZ$1,DATA!$B$24:$C$45,2,0)</f>
        <v>0.16</v>
      </c>
      <c r="CC60" s="4">
        <f t="shared" si="68"/>
        <v>0.16</v>
      </c>
      <c r="CD60" s="79">
        <f t="shared" si="69"/>
        <v>2.2400000000000002</v>
      </c>
      <c r="CE60" s="226" t="s">
        <v>185</v>
      </c>
      <c r="CF60" s="227">
        <f>VLOOKUP(CE60,DATA!$B$13:$C$19,2,0)</f>
        <v>100</v>
      </c>
      <c r="CG60" s="4">
        <f>VLOOKUP($CE$1,DATA!$B$24:$C$45,2,0)</f>
        <v>0.13</v>
      </c>
      <c r="CH60" s="4">
        <f t="shared" si="70"/>
        <v>0.13</v>
      </c>
      <c r="CI60" s="79">
        <f t="shared" si="71"/>
        <v>1.82</v>
      </c>
      <c r="CJ60" s="226" t="s">
        <v>185</v>
      </c>
      <c r="CK60" s="227">
        <f>VLOOKUP(CJ60,DATA!$B$13:$C$19,2,0)</f>
        <v>100</v>
      </c>
      <c r="CL60" s="4">
        <f>VLOOKUP($CJ$1,DATA!$B$24:$C$45,2,0)</f>
        <v>0.01</v>
      </c>
      <c r="CM60" s="4">
        <f t="shared" si="72"/>
        <v>0.01</v>
      </c>
      <c r="CN60" s="79">
        <f t="shared" si="73"/>
        <v>0.14000000000000001</v>
      </c>
      <c r="CO60" s="83">
        <f t="shared" si="74"/>
        <v>1</v>
      </c>
      <c r="CP60" s="4">
        <f>VLOOKUP($CO$1,DATA!$B$24:$C$45,2,0)</f>
        <v>0.54</v>
      </c>
      <c r="CQ60" s="81">
        <f t="shared" si="75"/>
        <v>0.54</v>
      </c>
      <c r="CR60" s="80">
        <f t="shared" si="76"/>
        <v>7.5600000000000005</v>
      </c>
      <c r="CS60" s="129">
        <f t="shared" si="77"/>
        <v>7.5600000000000005</v>
      </c>
      <c r="CT60" s="242">
        <f t="shared" si="78"/>
        <v>0</v>
      </c>
      <c r="CU60" s="226" t="s">
        <v>185</v>
      </c>
      <c r="CV60" s="227">
        <f>VLOOKUP(CU60,DATA!$B$13:$C$19,2,0)</f>
        <v>100</v>
      </c>
      <c r="CW60" s="4">
        <f>VLOOKUP($CU$1,DATA!$B$24:$C$45,2,0)</f>
        <v>0.02</v>
      </c>
      <c r="CX60" s="4">
        <f t="shared" si="79"/>
        <v>0.02</v>
      </c>
      <c r="CY60" s="69">
        <f t="shared" si="80"/>
        <v>0.28000000000000003</v>
      </c>
      <c r="CZ60" s="87">
        <v>45908</v>
      </c>
      <c r="DA60" s="86">
        <v>45919</v>
      </c>
      <c r="DB60" s="226" t="s">
        <v>185</v>
      </c>
      <c r="DC60" s="227">
        <f>VLOOKUP(DB60,DATA!$B$13:$C$19,2,0)</f>
        <v>100</v>
      </c>
      <c r="DD60" s="4">
        <f>VLOOKUP($DB$1,DATA!$B$24:$C$45,2,0)</f>
        <v>0.01</v>
      </c>
      <c r="DE60" s="4">
        <f t="shared" si="81"/>
        <v>0.01</v>
      </c>
      <c r="DF60" s="69">
        <f t="shared" si="82"/>
        <v>0.14000000000000001</v>
      </c>
      <c r="DG60" s="87">
        <v>45940</v>
      </c>
      <c r="DH60" s="86">
        <v>45923</v>
      </c>
      <c r="DI60" s="226" t="s">
        <v>185</v>
      </c>
      <c r="DJ60" s="227">
        <f>VLOOKUP(DI60,DATA!$B$13:$C$19,2,0)</f>
        <v>100</v>
      </c>
      <c r="DK60" s="4">
        <f>VLOOKUP($DI$1,DATA!$B$24:$C$45,2,0)</f>
        <v>0.03</v>
      </c>
      <c r="DL60" s="4">
        <f t="shared" si="83"/>
        <v>0.03</v>
      </c>
      <c r="DM60" s="79">
        <f t="shared" si="84"/>
        <v>0.42</v>
      </c>
      <c r="DN60" s="226" t="s">
        <v>185</v>
      </c>
      <c r="DO60" s="227">
        <f>VLOOKUP(DN60,DATA!$B$13:$C$19,2,0)</f>
        <v>100</v>
      </c>
      <c r="DP60" s="4">
        <f>VLOOKUP($DN$1,DATA!$B$24:$C$45,2,0)</f>
        <v>7.0000000000000007E-2</v>
      </c>
      <c r="DQ60" s="4">
        <f t="shared" si="85"/>
        <v>7.0000000000000007E-2</v>
      </c>
      <c r="DR60" s="69">
        <f t="shared" si="86"/>
        <v>0.98000000000000009</v>
      </c>
      <c r="DS60" s="87">
        <v>45926</v>
      </c>
      <c r="DT60" s="86">
        <v>45924</v>
      </c>
      <c r="DU60" s="226" t="s">
        <v>185</v>
      </c>
      <c r="DV60" s="227">
        <f>VLOOKUP(DU60,DATA!$B$13:$C$19,2,0)</f>
        <v>100</v>
      </c>
      <c r="DW60" s="4">
        <f>VLOOKUP($DU$1,DATA!$B$24:$C$45,2,0)</f>
        <v>0.04</v>
      </c>
      <c r="DX60" s="4">
        <f t="shared" si="87"/>
        <v>0.04</v>
      </c>
      <c r="DY60" s="69">
        <f t="shared" si="88"/>
        <v>0.56000000000000005</v>
      </c>
      <c r="DZ60" s="87">
        <v>45944</v>
      </c>
      <c r="EA60" s="86">
        <v>45938</v>
      </c>
      <c r="EB60" s="226" t="s">
        <v>220</v>
      </c>
      <c r="EC60" s="227">
        <f>VLOOKUP(EB60,DATA!$B$13:$C$19,2,0)</f>
        <v>50</v>
      </c>
      <c r="ED60" s="4">
        <f>VLOOKUP($EB$1,DATA!$B$24:$C$45,2,0)</f>
        <v>0.05</v>
      </c>
      <c r="EE60" s="4">
        <f t="shared" si="89"/>
        <v>2.5000000000000001E-2</v>
      </c>
      <c r="EF60" s="69">
        <f t="shared" si="90"/>
        <v>0.70000000000000007</v>
      </c>
      <c r="EG60" s="87">
        <v>45950</v>
      </c>
      <c r="EH60" s="86"/>
      <c r="EI60" s="226" t="s">
        <v>185</v>
      </c>
      <c r="EJ60" s="227">
        <f>VLOOKUP(EI60,DATA!$B$13:$C$19,2,0)</f>
        <v>100</v>
      </c>
      <c r="EK60" s="4">
        <f>VLOOKUP($EI$1,DATA!$B$24:$C$45,2,0)</f>
        <v>0.1</v>
      </c>
      <c r="EL60" s="4">
        <f t="shared" si="91"/>
        <v>0.1</v>
      </c>
      <c r="EM60" s="69">
        <f t="shared" si="92"/>
        <v>1.4000000000000001</v>
      </c>
      <c r="EN60" s="87">
        <v>45947</v>
      </c>
      <c r="EO60" s="86">
        <v>46003</v>
      </c>
      <c r="EP60" s="226" t="s">
        <v>220</v>
      </c>
      <c r="EQ60" s="227">
        <f>VLOOKUP(EP60,DATA!$B$13:$C$19,2,0)</f>
        <v>50</v>
      </c>
      <c r="ER60" s="4">
        <f>VLOOKUP($EP$1,DATA!$B$24:$C$45,2,0)</f>
        <v>0.03</v>
      </c>
      <c r="ES60" s="4">
        <f t="shared" si="93"/>
        <v>1.4999999999999999E-2</v>
      </c>
      <c r="ET60" s="79">
        <f t="shared" si="94"/>
        <v>0.42</v>
      </c>
      <c r="EU60" s="244">
        <f t="shared" si="95"/>
        <v>1.1200000000000001</v>
      </c>
      <c r="EV60" s="85" t="s">
        <v>187</v>
      </c>
      <c r="EW60" s="134" t="s">
        <v>187</v>
      </c>
      <c r="EX60" s="6"/>
    </row>
    <row r="61" spans="1:154" x14ac:dyDescent="0.3">
      <c r="A61" s="3" t="s">
        <v>180</v>
      </c>
      <c r="B61" s="3" t="s">
        <v>189</v>
      </c>
      <c r="C61" s="3" t="s">
        <v>304</v>
      </c>
      <c r="D61" s="85" t="s">
        <v>328</v>
      </c>
      <c r="E61" s="85" t="s">
        <v>306</v>
      </c>
      <c r="F61" s="3">
        <v>3336</v>
      </c>
      <c r="G61" s="3" t="s">
        <v>329</v>
      </c>
      <c r="H61" s="3">
        <v>14</v>
      </c>
      <c r="I61" s="3"/>
      <c r="J61" s="229">
        <f>BaseDeDatos[[#This Row],[Budget CS]]+BaseDeDatos[[#This Row],[Change Orders Budget]]</f>
        <v>14</v>
      </c>
      <c r="K61" s="92">
        <f>IFERROR(VLOOKUP(G61, DATA!H:I, 2, FALSE), 0)+BaseDeDatos[[#This Row],[Labor Spend on Design errors]]+BaseDeDatos[[#This Row],[Labor
Spent Customer changes]]</f>
        <v>13</v>
      </c>
      <c r="L61" s="92">
        <v>3.5</v>
      </c>
      <c r="M61" s="92"/>
      <c r="N61" s="232">
        <f t="shared" si="48"/>
        <v>0.96000000000000008</v>
      </c>
      <c r="O61" s="238">
        <f t="shared" si="49"/>
        <v>13</v>
      </c>
      <c r="P61" s="39">
        <v>26.73</v>
      </c>
      <c r="Q61" s="89">
        <f>BaseDeDatos[[#This Row],[Budget]]*BaseDeDatos[[#This Row],[Labor Rate from CS]]</f>
        <v>374.22</v>
      </c>
      <c r="R61" s="89">
        <f>BaseDeDatos[[#This Row],[Labor
Spent]]*BaseDeDatos[[#This Row],[Labor Rate from CS]]</f>
        <v>347.49</v>
      </c>
      <c r="S61" s="93">
        <f t="shared" si="50"/>
        <v>0.9285714285714286</v>
      </c>
      <c r="T61" s="98">
        <v>46078</v>
      </c>
      <c r="U61" s="98">
        <v>2142.63</v>
      </c>
      <c r="V61" s="98">
        <v>2234.61</v>
      </c>
      <c r="W61" s="98">
        <v>15145.91</v>
      </c>
      <c r="X61" s="98">
        <v>15145.91</v>
      </c>
      <c r="Y61" s="98"/>
      <c r="Z61" s="98"/>
      <c r="AA61" s="98">
        <v>38321.26</v>
      </c>
      <c r="AB61" s="89">
        <f t="shared" si="51"/>
        <v>22801.13</v>
      </c>
      <c r="AC61" s="120">
        <f>SUM(AB61,X61,R61,BaseDeDatos[[#This Row],[Additionals cost]])</f>
        <v>40529.14</v>
      </c>
      <c r="AD61" s="117">
        <v>0.16833933764486317</v>
      </c>
      <c r="AE61" s="117">
        <v>0.1678</v>
      </c>
      <c r="AF61" s="240">
        <f t="shared" si="52"/>
        <v>0.16891944094795783</v>
      </c>
      <c r="AG61" s="226">
        <v>45867</v>
      </c>
      <c r="AH61" s="226" t="s">
        <v>185</v>
      </c>
      <c r="AI61" s="227">
        <f>VLOOKUP(AH61,DATA!$B$13:$C$19,2,0)</f>
        <v>100</v>
      </c>
      <c r="AJ61" s="4">
        <f>VLOOKUP($AH$1,DATA!$B$24:$C$45,2,0)</f>
        <v>0.05</v>
      </c>
      <c r="AK61" s="69">
        <f>BaseDeDatos[[#This Row],[Read info
Status]]*(AJ61)/100</f>
        <v>0.05</v>
      </c>
      <c r="AL61" s="79">
        <f t="shared" si="53"/>
        <v>0.70000000000000007</v>
      </c>
      <c r="AM61" s="226" t="s">
        <v>185</v>
      </c>
      <c r="AN61" s="227">
        <f>VLOOKUP(AM61,DATA!$B$13:$C$19,2,0)</f>
        <v>100</v>
      </c>
      <c r="AO61" s="4">
        <f>VLOOKUP($AM$1,DATA!$B$24:$C$45,2,0)</f>
        <v>0.05</v>
      </c>
      <c r="AP61" s="4">
        <f t="shared" si="54"/>
        <v>0.05</v>
      </c>
      <c r="AQ61" s="69">
        <f t="shared" si="55"/>
        <v>0.70000000000000007</v>
      </c>
      <c r="AR61" s="5">
        <v>45873</v>
      </c>
      <c r="AS61" s="95">
        <v>45882</v>
      </c>
      <c r="AT61" s="226" t="s">
        <v>185</v>
      </c>
      <c r="AU61" s="227">
        <f>VLOOKUP(AT61,DATA!$B$13:$C$19,2,0)</f>
        <v>100</v>
      </c>
      <c r="AV61" s="4">
        <f>VLOOKUP($AT$1,DATA!$B$24:$C$45,2,0)</f>
        <v>0.01</v>
      </c>
      <c r="AW61" s="4">
        <f t="shared" si="56"/>
        <v>0.01</v>
      </c>
      <c r="AX61" s="69">
        <f t="shared" si="57"/>
        <v>0.14000000000000001</v>
      </c>
      <c r="AY61" s="5">
        <v>45905</v>
      </c>
      <c r="AZ61" s="95">
        <v>45912</v>
      </c>
      <c r="BA61" s="226" t="s">
        <v>185</v>
      </c>
      <c r="BB61" s="227">
        <f>VLOOKUP(BA61,DATA!$B$13:$C$19,2,0)</f>
        <v>100</v>
      </c>
      <c r="BC61" s="4">
        <f>VLOOKUP($BA$1,DATA!$B$24:$C$45,2,0)</f>
        <v>0.01</v>
      </c>
      <c r="BD61" s="4">
        <f t="shared" si="58"/>
        <v>0.01</v>
      </c>
      <c r="BE61" s="79">
        <f t="shared" si="59"/>
        <v>0.14000000000000001</v>
      </c>
      <c r="BF61" s="226" t="s">
        <v>185</v>
      </c>
      <c r="BG61" s="227">
        <f>VLOOKUP(BF61,DATA!$B$13:$C$19,2,0)</f>
        <v>100</v>
      </c>
      <c r="BH61" s="4">
        <f>VLOOKUP($BF$1,DATA!$B$24:$C$45,2,0)</f>
        <v>0.08</v>
      </c>
      <c r="BI61" s="4">
        <f t="shared" si="60"/>
        <v>0.08</v>
      </c>
      <c r="BJ61" s="79">
        <f t="shared" si="61"/>
        <v>1.1200000000000001</v>
      </c>
      <c r="BK61" s="226" t="s">
        <v>185</v>
      </c>
      <c r="BL61" s="227">
        <f>VLOOKUP(BK61,DATA!$B$13:$C$19,2,0)</f>
        <v>100</v>
      </c>
      <c r="BM61" s="4">
        <f>VLOOKUP($BK$1,DATA!$B$24:$C$45,2,0)</f>
        <v>0.18</v>
      </c>
      <c r="BN61" s="4">
        <f t="shared" si="62"/>
        <v>0.18</v>
      </c>
      <c r="BO61" s="79">
        <f t="shared" si="63"/>
        <v>2.52</v>
      </c>
      <c r="BP61" s="226" t="s">
        <v>185</v>
      </c>
      <c r="BQ61" s="227">
        <f>VLOOKUP(BP61,DATA!$B$13:$C$19,2,0)</f>
        <v>100</v>
      </c>
      <c r="BR61" s="4">
        <f>VLOOKUP($BP$1,DATA!$B$24:$C$45,2,0)</f>
        <v>0.28000000000000003</v>
      </c>
      <c r="BS61" s="4">
        <f t="shared" si="64"/>
        <v>0.28000000000000003</v>
      </c>
      <c r="BT61" s="79">
        <f t="shared" si="65"/>
        <v>3.9200000000000004</v>
      </c>
      <c r="BU61" s="226" t="s">
        <v>185</v>
      </c>
      <c r="BV61" s="227">
        <f>VLOOKUP(BU61,DATA!$B$13:$C$19,2,0)</f>
        <v>100</v>
      </c>
      <c r="BW61" s="4">
        <f>VLOOKUP($BU$1,DATA!$B$24:$C$45,2,0)</f>
        <v>0.15</v>
      </c>
      <c r="BX61" s="4">
        <f t="shared" si="66"/>
        <v>0.15</v>
      </c>
      <c r="BY61" s="79">
        <f t="shared" si="67"/>
        <v>2.1</v>
      </c>
      <c r="BZ61" s="226" t="s">
        <v>185</v>
      </c>
      <c r="CA61" s="227">
        <f>VLOOKUP(BZ61,DATA!$B$13:$C$19,2,0)</f>
        <v>100</v>
      </c>
      <c r="CB61" s="4">
        <f>VLOOKUP($BZ$1,DATA!$B$24:$C$45,2,0)</f>
        <v>0.16</v>
      </c>
      <c r="CC61" s="4">
        <f t="shared" si="68"/>
        <v>0.16</v>
      </c>
      <c r="CD61" s="79">
        <f t="shared" si="69"/>
        <v>2.2400000000000002</v>
      </c>
      <c r="CE61" s="226" t="s">
        <v>185</v>
      </c>
      <c r="CF61" s="227">
        <f>VLOOKUP(CE61,DATA!$B$13:$C$19,2,0)</f>
        <v>100</v>
      </c>
      <c r="CG61" s="4">
        <f>VLOOKUP($CE$1,DATA!$B$24:$C$45,2,0)</f>
        <v>0.13</v>
      </c>
      <c r="CH61" s="4">
        <f t="shared" si="70"/>
        <v>0.13</v>
      </c>
      <c r="CI61" s="79">
        <f t="shared" si="71"/>
        <v>1.82</v>
      </c>
      <c r="CJ61" s="226" t="s">
        <v>185</v>
      </c>
      <c r="CK61" s="227">
        <f>VLOOKUP(CJ61,DATA!$B$13:$C$19,2,0)</f>
        <v>100</v>
      </c>
      <c r="CL61" s="4">
        <f>VLOOKUP($CJ$1,DATA!$B$24:$C$45,2,0)</f>
        <v>0.01</v>
      </c>
      <c r="CM61" s="4">
        <f t="shared" si="72"/>
        <v>0.01</v>
      </c>
      <c r="CN61" s="79">
        <f t="shared" si="73"/>
        <v>0.14000000000000001</v>
      </c>
      <c r="CO61" s="83">
        <f t="shared" si="74"/>
        <v>1</v>
      </c>
      <c r="CP61" s="4">
        <f>VLOOKUP($CO$1,DATA!$B$24:$C$45,2,0)</f>
        <v>0.54</v>
      </c>
      <c r="CQ61" s="81">
        <f t="shared" si="75"/>
        <v>0.54</v>
      </c>
      <c r="CR61" s="80">
        <f t="shared" si="76"/>
        <v>7.5600000000000005</v>
      </c>
      <c r="CS61" s="129">
        <f t="shared" si="77"/>
        <v>7.5600000000000005</v>
      </c>
      <c r="CT61" s="242">
        <f t="shared" si="78"/>
        <v>0</v>
      </c>
      <c r="CU61" s="226" t="s">
        <v>185</v>
      </c>
      <c r="CV61" s="227">
        <f>VLOOKUP(CU61,DATA!$B$13:$C$19,2,0)</f>
        <v>100</v>
      </c>
      <c r="CW61" s="4">
        <f>VLOOKUP($CU$1,DATA!$B$24:$C$45,2,0)</f>
        <v>0.02</v>
      </c>
      <c r="CX61" s="4">
        <f t="shared" si="79"/>
        <v>0.02</v>
      </c>
      <c r="CY61" s="69">
        <f t="shared" si="80"/>
        <v>0.28000000000000003</v>
      </c>
      <c r="CZ61" s="87">
        <v>45908</v>
      </c>
      <c r="DA61" s="86">
        <v>45919</v>
      </c>
      <c r="DB61" s="226" t="s">
        <v>185</v>
      </c>
      <c r="DC61" s="227">
        <f>VLOOKUP(DB61,DATA!$B$13:$C$19,2,0)</f>
        <v>100</v>
      </c>
      <c r="DD61" s="4">
        <f>VLOOKUP($DB$1,DATA!$B$24:$C$45,2,0)</f>
        <v>0.01</v>
      </c>
      <c r="DE61" s="4">
        <f t="shared" si="81"/>
        <v>0.01</v>
      </c>
      <c r="DF61" s="69">
        <f t="shared" si="82"/>
        <v>0.14000000000000001</v>
      </c>
      <c r="DG61" s="87">
        <v>45940</v>
      </c>
      <c r="DH61" s="86">
        <v>45923</v>
      </c>
      <c r="DI61" s="226" t="s">
        <v>185</v>
      </c>
      <c r="DJ61" s="227">
        <f>VLOOKUP(DI61,DATA!$B$13:$C$19,2,0)</f>
        <v>100</v>
      </c>
      <c r="DK61" s="4">
        <f>VLOOKUP($DI$1,DATA!$B$24:$C$45,2,0)</f>
        <v>0.03</v>
      </c>
      <c r="DL61" s="4">
        <f t="shared" si="83"/>
        <v>0.03</v>
      </c>
      <c r="DM61" s="79">
        <f t="shared" si="84"/>
        <v>0.42</v>
      </c>
      <c r="DN61" s="226" t="s">
        <v>185</v>
      </c>
      <c r="DO61" s="227">
        <f>VLOOKUP(DN61,DATA!$B$13:$C$19,2,0)</f>
        <v>100</v>
      </c>
      <c r="DP61" s="4">
        <f>VLOOKUP($DN$1,DATA!$B$24:$C$45,2,0)</f>
        <v>7.0000000000000007E-2</v>
      </c>
      <c r="DQ61" s="4">
        <f t="shared" si="85"/>
        <v>7.0000000000000007E-2</v>
      </c>
      <c r="DR61" s="69">
        <f t="shared" si="86"/>
        <v>0.98000000000000009</v>
      </c>
      <c r="DS61" s="87">
        <v>45926</v>
      </c>
      <c r="DT61" s="86">
        <v>45924</v>
      </c>
      <c r="DU61" s="226" t="s">
        <v>185</v>
      </c>
      <c r="DV61" s="227">
        <f>VLOOKUP(DU61,DATA!$B$13:$C$19,2,0)</f>
        <v>100</v>
      </c>
      <c r="DW61" s="4">
        <f>VLOOKUP($DU$1,DATA!$B$24:$C$45,2,0)</f>
        <v>0.04</v>
      </c>
      <c r="DX61" s="4">
        <f t="shared" si="87"/>
        <v>0.04</v>
      </c>
      <c r="DY61" s="69">
        <f t="shared" si="88"/>
        <v>0.56000000000000005</v>
      </c>
      <c r="DZ61" s="87">
        <v>45944</v>
      </c>
      <c r="EA61" s="86">
        <v>45938</v>
      </c>
      <c r="EB61" s="226" t="s">
        <v>220</v>
      </c>
      <c r="EC61" s="227">
        <f>VLOOKUP(EB61,DATA!$B$13:$C$19,2,0)</f>
        <v>50</v>
      </c>
      <c r="ED61" s="4">
        <f>VLOOKUP($EB$1,DATA!$B$24:$C$45,2,0)</f>
        <v>0.05</v>
      </c>
      <c r="EE61" s="4">
        <f t="shared" si="89"/>
        <v>2.5000000000000001E-2</v>
      </c>
      <c r="EF61" s="69">
        <f t="shared" si="90"/>
        <v>0.70000000000000007</v>
      </c>
      <c r="EG61" s="87">
        <v>45950</v>
      </c>
      <c r="EH61" s="86"/>
      <c r="EI61" s="226" t="s">
        <v>185</v>
      </c>
      <c r="EJ61" s="227">
        <f>VLOOKUP(EI61,DATA!$B$13:$C$19,2,0)</f>
        <v>100</v>
      </c>
      <c r="EK61" s="4">
        <f>VLOOKUP($EI$1,DATA!$B$24:$C$45,2,0)</f>
        <v>0.1</v>
      </c>
      <c r="EL61" s="4">
        <f t="shared" si="91"/>
        <v>0.1</v>
      </c>
      <c r="EM61" s="69">
        <f t="shared" si="92"/>
        <v>1.4000000000000001</v>
      </c>
      <c r="EN61" s="87">
        <v>45947</v>
      </c>
      <c r="EO61" s="86">
        <v>46003</v>
      </c>
      <c r="EP61" s="226" t="s">
        <v>220</v>
      </c>
      <c r="EQ61" s="227">
        <f>VLOOKUP(EP61,DATA!$B$13:$C$19,2,0)</f>
        <v>50</v>
      </c>
      <c r="ER61" s="4">
        <f>VLOOKUP($EP$1,DATA!$B$24:$C$45,2,0)</f>
        <v>0.03</v>
      </c>
      <c r="ES61" s="4">
        <f t="shared" si="93"/>
        <v>1.4999999999999999E-2</v>
      </c>
      <c r="ET61" s="79">
        <f t="shared" si="94"/>
        <v>0.42</v>
      </c>
      <c r="EU61" s="244">
        <f t="shared" si="95"/>
        <v>1.1200000000000001</v>
      </c>
      <c r="EV61" s="85" t="s">
        <v>187</v>
      </c>
      <c r="EW61" s="134" t="s">
        <v>197</v>
      </c>
      <c r="EX61" s="6"/>
    </row>
    <row r="62" spans="1:154" x14ac:dyDescent="0.3">
      <c r="A62" s="3" t="s">
        <v>180</v>
      </c>
      <c r="B62" s="3" t="s">
        <v>189</v>
      </c>
      <c r="C62" s="3" t="s">
        <v>304</v>
      </c>
      <c r="D62" s="85" t="s">
        <v>330</v>
      </c>
      <c r="E62" s="85" t="s">
        <v>306</v>
      </c>
      <c r="F62" s="3">
        <v>3336</v>
      </c>
      <c r="G62" s="3" t="s">
        <v>331</v>
      </c>
      <c r="H62" s="3">
        <v>14</v>
      </c>
      <c r="I62" s="3"/>
      <c r="J62" s="229">
        <f>BaseDeDatos[[#This Row],[Budget CS]]+BaseDeDatos[[#This Row],[Change Orders Budget]]</f>
        <v>14</v>
      </c>
      <c r="K62" s="92">
        <f>IFERROR(VLOOKUP(G62, DATA!H:I, 2, FALSE), 0)+BaseDeDatos[[#This Row],[Labor Spend on Design errors]]+BaseDeDatos[[#This Row],[Labor
Spent Customer changes]]</f>
        <v>12.5</v>
      </c>
      <c r="L62" s="92">
        <v>1</v>
      </c>
      <c r="M62" s="92">
        <v>1</v>
      </c>
      <c r="N62" s="232">
        <f t="shared" si="48"/>
        <v>0.96000000000000008</v>
      </c>
      <c r="O62" s="238">
        <f t="shared" si="49"/>
        <v>12.5</v>
      </c>
      <c r="P62" s="39">
        <v>26.73</v>
      </c>
      <c r="Q62" s="89">
        <f>BaseDeDatos[[#This Row],[Budget]]*BaseDeDatos[[#This Row],[Labor Rate from CS]]</f>
        <v>374.22</v>
      </c>
      <c r="R62" s="89">
        <f>BaseDeDatos[[#This Row],[Labor
Spent]]*BaseDeDatos[[#This Row],[Labor Rate from CS]]</f>
        <v>334.125</v>
      </c>
      <c r="S62" s="93">
        <f t="shared" si="50"/>
        <v>0.8928571428571429</v>
      </c>
      <c r="T62" s="98">
        <v>58946</v>
      </c>
      <c r="U62" s="98">
        <v>2142.63</v>
      </c>
      <c r="V62" s="98">
        <v>2234.61</v>
      </c>
      <c r="W62" s="98">
        <v>21365.91</v>
      </c>
      <c r="X62" s="98">
        <v>21365.91</v>
      </c>
      <c r="Y62" s="98"/>
      <c r="Z62" s="98"/>
      <c r="AA62" s="98">
        <v>49024.24</v>
      </c>
      <c r="AB62" s="89">
        <f t="shared" si="51"/>
        <v>27284.109999999997</v>
      </c>
      <c r="AC62" s="120">
        <f>SUM(AB62,X62,R62,BaseDeDatos[[#This Row],[Additionals cost]])</f>
        <v>51218.754999999997</v>
      </c>
      <c r="AD62" s="117">
        <v>0.16831947884504464</v>
      </c>
      <c r="AE62" s="117">
        <v>0.1678</v>
      </c>
      <c r="AF62" s="240">
        <f t="shared" si="52"/>
        <v>0.16899967767108884</v>
      </c>
      <c r="AG62" s="226">
        <v>45867</v>
      </c>
      <c r="AH62" s="226" t="s">
        <v>185</v>
      </c>
      <c r="AI62" s="227">
        <f>VLOOKUP(AH62,DATA!$B$13:$C$19,2,0)</f>
        <v>100</v>
      </c>
      <c r="AJ62" s="4">
        <f>VLOOKUP($AH$1,DATA!$B$24:$C$45,2,0)</f>
        <v>0.05</v>
      </c>
      <c r="AK62" s="69">
        <f>BaseDeDatos[[#This Row],[Read info
Status]]*(AJ62)/100</f>
        <v>0.05</v>
      </c>
      <c r="AL62" s="79">
        <f t="shared" si="53"/>
        <v>0.70000000000000007</v>
      </c>
      <c r="AM62" s="226" t="s">
        <v>185</v>
      </c>
      <c r="AN62" s="227">
        <f>VLOOKUP(AM62,DATA!$B$13:$C$19,2,0)</f>
        <v>100</v>
      </c>
      <c r="AO62" s="4">
        <f>VLOOKUP($AM$1,DATA!$B$24:$C$45,2,0)</f>
        <v>0.05</v>
      </c>
      <c r="AP62" s="4">
        <f t="shared" si="54"/>
        <v>0.05</v>
      </c>
      <c r="AQ62" s="69">
        <f t="shared" si="55"/>
        <v>0.70000000000000007</v>
      </c>
      <c r="AR62" s="5">
        <v>45873</v>
      </c>
      <c r="AS62" s="95">
        <v>45882</v>
      </c>
      <c r="AT62" s="226" t="s">
        <v>185</v>
      </c>
      <c r="AU62" s="227">
        <f>VLOOKUP(AT62,DATA!$B$13:$C$19,2,0)</f>
        <v>100</v>
      </c>
      <c r="AV62" s="4">
        <f>VLOOKUP($AT$1,DATA!$B$24:$C$45,2,0)</f>
        <v>0.01</v>
      </c>
      <c r="AW62" s="4">
        <f t="shared" si="56"/>
        <v>0.01</v>
      </c>
      <c r="AX62" s="69">
        <f t="shared" si="57"/>
        <v>0.14000000000000001</v>
      </c>
      <c r="AY62" s="5">
        <v>45905</v>
      </c>
      <c r="AZ62" s="95">
        <v>45912</v>
      </c>
      <c r="BA62" s="226" t="s">
        <v>185</v>
      </c>
      <c r="BB62" s="227">
        <f>VLOOKUP(BA62,DATA!$B$13:$C$19,2,0)</f>
        <v>100</v>
      </c>
      <c r="BC62" s="4">
        <f>VLOOKUP($BA$1,DATA!$B$24:$C$45,2,0)</f>
        <v>0.01</v>
      </c>
      <c r="BD62" s="4">
        <f t="shared" si="58"/>
        <v>0.01</v>
      </c>
      <c r="BE62" s="79">
        <f t="shared" si="59"/>
        <v>0.14000000000000001</v>
      </c>
      <c r="BF62" s="226" t="s">
        <v>185</v>
      </c>
      <c r="BG62" s="227">
        <f>VLOOKUP(BF62,DATA!$B$13:$C$19,2,0)</f>
        <v>100</v>
      </c>
      <c r="BH62" s="4">
        <f>VLOOKUP($BF$1,DATA!$B$24:$C$45,2,0)</f>
        <v>0.08</v>
      </c>
      <c r="BI62" s="4">
        <f t="shared" si="60"/>
        <v>0.08</v>
      </c>
      <c r="BJ62" s="79">
        <f t="shared" si="61"/>
        <v>1.1200000000000001</v>
      </c>
      <c r="BK62" s="226" t="s">
        <v>185</v>
      </c>
      <c r="BL62" s="227">
        <f>VLOOKUP(BK62,DATA!$B$13:$C$19,2,0)</f>
        <v>100</v>
      </c>
      <c r="BM62" s="4">
        <f>VLOOKUP($BK$1,DATA!$B$24:$C$45,2,0)</f>
        <v>0.18</v>
      </c>
      <c r="BN62" s="4">
        <f t="shared" si="62"/>
        <v>0.18</v>
      </c>
      <c r="BO62" s="79">
        <f t="shared" si="63"/>
        <v>2.52</v>
      </c>
      <c r="BP62" s="226" t="s">
        <v>185</v>
      </c>
      <c r="BQ62" s="227">
        <f>VLOOKUP(BP62,DATA!$B$13:$C$19,2,0)</f>
        <v>100</v>
      </c>
      <c r="BR62" s="4">
        <f>VLOOKUP($BP$1,DATA!$B$24:$C$45,2,0)</f>
        <v>0.28000000000000003</v>
      </c>
      <c r="BS62" s="4">
        <f t="shared" si="64"/>
        <v>0.28000000000000003</v>
      </c>
      <c r="BT62" s="79">
        <f t="shared" si="65"/>
        <v>3.9200000000000004</v>
      </c>
      <c r="BU62" s="226" t="s">
        <v>185</v>
      </c>
      <c r="BV62" s="227">
        <f>VLOOKUP(BU62,DATA!$B$13:$C$19,2,0)</f>
        <v>100</v>
      </c>
      <c r="BW62" s="4">
        <f>VLOOKUP($BU$1,DATA!$B$24:$C$45,2,0)</f>
        <v>0.15</v>
      </c>
      <c r="BX62" s="4">
        <f t="shared" si="66"/>
        <v>0.15</v>
      </c>
      <c r="BY62" s="79">
        <f t="shared" si="67"/>
        <v>2.1</v>
      </c>
      <c r="BZ62" s="226" t="s">
        <v>185</v>
      </c>
      <c r="CA62" s="227">
        <f>VLOOKUP(BZ62,DATA!$B$13:$C$19,2,0)</f>
        <v>100</v>
      </c>
      <c r="CB62" s="4">
        <f>VLOOKUP($BZ$1,DATA!$B$24:$C$45,2,0)</f>
        <v>0.16</v>
      </c>
      <c r="CC62" s="4">
        <f t="shared" si="68"/>
        <v>0.16</v>
      </c>
      <c r="CD62" s="79">
        <f t="shared" si="69"/>
        <v>2.2400000000000002</v>
      </c>
      <c r="CE62" s="226" t="s">
        <v>185</v>
      </c>
      <c r="CF62" s="227">
        <f>VLOOKUP(CE62,DATA!$B$13:$C$19,2,0)</f>
        <v>100</v>
      </c>
      <c r="CG62" s="4">
        <f>VLOOKUP($CE$1,DATA!$B$24:$C$45,2,0)</f>
        <v>0.13</v>
      </c>
      <c r="CH62" s="4">
        <f t="shared" si="70"/>
        <v>0.13</v>
      </c>
      <c r="CI62" s="79">
        <f t="shared" si="71"/>
        <v>1.82</v>
      </c>
      <c r="CJ62" s="226" t="s">
        <v>185</v>
      </c>
      <c r="CK62" s="227">
        <f>VLOOKUP(CJ62,DATA!$B$13:$C$19,2,0)</f>
        <v>100</v>
      </c>
      <c r="CL62" s="4">
        <f>VLOOKUP($CJ$1,DATA!$B$24:$C$45,2,0)</f>
        <v>0.01</v>
      </c>
      <c r="CM62" s="4">
        <f t="shared" si="72"/>
        <v>0.01</v>
      </c>
      <c r="CN62" s="79">
        <f t="shared" si="73"/>
        <v>0.14000000000000001</v>
      </c>
      <c r="CO62" s="83">
        <f t="shared" si="74"/>
        <v>1</v>
      </c>
      <c r="CP62" s="4">
        <f>VLOOKUP($CO$1,DATA!$B$24:$C$45,2,0)</f>
        <v>0.54</v>
      </c>
      <c r="CQ62" s="81">
        <f t="shared" si="75"/>
        <v>0.54</v>
      </c>
      <c r="CR62" s="80">
        <f t="shared" si="76"/>
        <v>7.5600000000000005</v>
      </c>
      <c r="CS62" s="129">
        <f t="shared" si="77"/>
        <v>7.5600000000000005</v>
      </c>
      <c r="CT62" s="242">
        <f t="shared" si="78"/>
        <v>0</v>
      </c>
      <c r="CU62" s="226" t="s">
        <v>185</v>
      </c>
      <c r="CV62" s="227">
        <f>VLOOKUP(CU62,DATA!$B$13:$C$19,2,0)</f>
        <v>100</v>
      </c>
      <c r="CW62" s="4">
        <f>VLOOKUP($CU$1,DATA!$B$24:$C$45,2,0)</f>
        <v>0.02</v>
      </c>
      <c r="CX62" s="4">
        <f t="shared" si="79"/>
        <v>0.02</v>
      </c>
      <c r="CY62" s="69">
        <f t="shared" si="80"/>
        <v>0.28000000000000003</v>
      </c>
      <c r="CZ62" s="87">
        <v>45908</v>
      </c>
      <c r="DA62" s="86">
        <v>45919</v>
      </c>
      <c r="DB62" s="226" t="s">
        <v>185</v>
      </c>
      <c r="DC62" s="227">
        <f>VLOOKUP(DB62,DATA!$B$13:$C$19,2,0)</f>
        <v>100</v>
      </c>
      <c r="DD62" s="4">
        <f>VLOOKUP($DB$1,DATA!$B$24:$C$45,2,0)</f>
        <v>0.01</v>
      </c>
      <c r="DE62" s="4">
        <f t="shared" si="81"/>
        <v>0.01</v>
      </c>
      <c r="DF62" s="69">
        <f t="shared" si="82"/>
        <v>0.14000000000000001</v>
      </c>
      <c r="DG62" s="87">
        <v>45940</v>
      </c>
      <c r="DH62" s="86">
        <v>45923</v>
      </c>
      <c r="DI62" s="226" t="s">
        <v>185</v>
      </c>
      <c r="DJ62" s="227">
        <f>VLOOKUP(DI62,DATA!$B$13:$C$19,2,0)</f>
        <v>100</v>
      </c>
      <c r="DK62" s="4">
        <f>VLOOKUP($DI$1,DATA!$B$24:$C$45,2,0)</f>
        <v>0.03</v>
      </c>
      <c r="DL62" s="4">
        <f t="shared" si="83"/>
        <v>0.03</v>
      </c>
      <c r="DM62" s="79">
        <f t="shared" si="84"/>
        <v>0.42</v>
      </c>
      <c r="DN62" s="226" t="s">
        <v>185</v>
      </c>
      <c r="DO62" s="227">
        <f>VLOOKUP(DN62,DATA!$B$13:$C$19,2,0)</f>
        <v>100</v>
      </c>
      <c r="DP62" s="4">
        <f>VLOOKUP($DN$1,DATA!$B$24:$C$45,2,0)</f>
        <v>7.0000000000000007E-2</v>
      </c>
      <c r="DQ62" s="4">
        <f t="shared" si="85"/>
        <v>7.0000000000000007E-2</v>
      </c>
      <c r="DR62" s="69">
        <f t="shared" si="86"/>
        <v>0.98000000000000009</v>
      </c>
      <c r="DS62" s="87">
        <v>45926</v>
      </c>
      <c r="DT62" s="86">
        <v>45924</v>
      </c>
      <c r="DU62" s="226" t="s">
        <v>185</v>
      </c>
      <c r="DV62" s="227">
        <f>VLOOKUP(DU62,DATA!$B$13:$C$19,2,0)</f>
        <v>100</v>
      </c>
      <c r="DW62" s="4">
        <f>VLOOKUP($DU$1,DATA!$B$24:$C$45,2,0)</f>
        <v>0.04</v>
      </c>
      <c r="DX62" s="4">
        <f t="shared" si="87"/>
        <v>0.04</v>
      </c>
      <c r="DY62" s="69">
        <f t="shared" si="88"/>
        <v>0.56000000000000005</v>
      </c>
      <c r="DZ62" s="87">
        <v>45944</v>
      </c>
      <c r="EA62" s="86">
        <v>45938</v>
      </c>
      <c r="EB62" s="226" t="s">
        <v>220</v>
      </c>
      <c r="EC62" s="227">
        <f>VLOOKUP(EB62,DATA!$B$13:$C$19,2,0)</f>
        <v>50</v>
      </c>
      <c r="ED62" s="4">
        <f>VLOOKUP($EB$1,DATA!$B$24:$C$45,2,0)</f>
        <v>0.05</v>
      </c>
      <c r="EE62" s="4">
        <f t="shared" si="89"/>
        <v>2.5000000000000001E-2</v>
      </c>
      <c r="EF62" s="69">
        <f t="shared" si="90"/>
        <v>0.70000000000000007</v>
      </c>
      <c r="EG62" s="87">
        <v>45950</v>
      </c>
      <c r="EH62" s="86"/>
      <c r="EI62" s="226" t="s">
        <v>185</v>
      </c>
      <c r="EJ62" s="227">
        <f>VLOOKUP(EI62,DATA!$B$13:$C$19,2,0)</f>
        <v>100</v>
      </c>
      <c r="EK62" s="4">
        <f>VLOOKUP($EI$1,DATA!$B$24:$C$45,2,0)</f>
        <v>0.1</v>
      </c>
      <c r="EL62" s="4">
        <f t="shared" si="91"/>
        <v>0.1</v>
      </c>
      <c r="EM62" s="69">
        <f t="shared" si="92"/>
        <v>1.4000000000000001</v>
      </c>
      <c r="EN62" s="87">
        <v>45947</v>
      </c>
      <c r="EO62" s="86">
        <v>46003</v>
      </c>
      <c r="EP62" s="226" t="s">
        <v>220</v>
      </c>
      <c r="EQ62" s="227">
        <f>VLOOKUP(EP62,DATA!$B$13:$C$19,2,0)</f>
        <v>50</v>
      </c>
      <c r="ER62" s="4">
        <f>VLOOKUP($EP$1,DATA!$B$24:$C$45,2,0)</f>
        <v>0.03</v>
      </c>
      <c r="ES62" s="4">
        <f t="shared" si="93"/>
        <v>1.4999999999999999E-2</v>
      </c>
      <c r="ET62" s="79">
        <f t="shared" si="94"/>
        <v>0.42</v>
      </c>
      <c r="EU62" s="244">
        <f t="shared" si="95"/>
        <v>1.1200000000000001</v>
      </c>
      <c r="EV62" s="85" t="s">
        <v>187</v>
      </c>
      <c r="EW62" s="134" t="s">
        <v>197</v>
      </c>
      <c r="EX62" s="6"/>
    </row>
    <row r="63" spans="1:154" x14ac:dyDescent="0.3">
      <c r="A63" s="3" t="s">
        <v>180</v>
      </c>
      <c r="B63" s="3" t="s">
        <v>189</v>
      </c>
      <c r="C63" s="3" t="s">
        <v>304</v>
      </c>
      <c r="D63" s="85" t="s">
        <v>332</v>
      </c>
      <c r="E63" s="85" t="s">
        <v>306</v>
      </c>
      <c r="F63" s="3">
        <v>3336</v>
      </c>
      <c r="G63" s="3" t="s">
        <v>333</v>
      </c>
      <c r="H63" s="3">
        <v>15</v>
      </c>
      <c r="I63" s="3"/>
      <c r="J63" s="229">
        <f>BaseDeDatos[[#This Row],[Budget CS]]+BaseDeDatos[[#This Row],[Change Orders Budget]]</f>
        <v>15</v>
      </c>
      <c r="K63" s="92">
        <f>IFERROR(VLOOKUP(G63, DATA!H:I, 2, FALSE), 0)+BaseDeDatos[[#This Row],[Labor Spend on Design errors]]+BaseDeDatos[[#This Row],[Labor
Spent Customer changes]]</f>
        <v>13</v>
      </c>
      <c r="L63" s="92"/>
      <c r="M63" s="92"/>
      <c r="N63" s="232">
        <f t="shared" si="48"/>
        <v>0.96000000000000008</v>
      </c>
      <c r="O63" s="238">
        <f t="shared" si="49"/>
        <v>13</v>
      </c>
      <c r="P63" s="39">
        <v>26.73</v>
      </c>
      <c r="Q63" s="89">
        <f>BaseDeDatos[[#This Row],[Budget]]*BaseDeDatos[[#This Row],[Labor Rate from CS]]</f>
        <v>400.95</v>
      </c>
      <c r="R63" s="89">
        <f>BaseDeDatos[[#This Row],[Labor
Spent]]*BaseDeDatos[[#This Row],[Labor Rate from CS]]</f>
        <v>347.49</v>
      </c>
      <c r="S63" s="93">
        <f t="shared" si="50"/>
        <v>0.8666666666666667</v>
      </c>
      <c r="T63" s="98">
        <v>79357</v>
      </c>
      <c r="U63" s="98">
        <v>2142.63</v>
      </c>
      <c r="V63" s="98">
        <v>2234.61</v>
      </c>
      <c r="W63" s="98">
        <v>30345.91</v>
      </c>
      <c r="X63" s="98">
        <v>30345.91</v>
      </c>
      <c r="Y63" s="98"/>
      <c r="Z63" s="98"/>
      <c r="AA63" s="98">
        <v>65999.259999999995</v>
      </c>
      <c r="AB63" s="89">
        <f t="shared" si="51"/>
        <v>35252.399999999994</v>
      </c>
      <c r="AC63" s="120">
        <f>SUM(AB63,X63,R63,BaseDeDatos[[#This Row],[Additionals cost]])</f>
        <v>68180.41</v>
      </c>
      <c r="AD63" s="117">
        <v>0.16832465945033193</v>
      </c>
      <c r="AE63" s="117">
        <v>0.1678</v>
      </c>
      <c r="AF63" s="240">
        <f t="shared" si="52"/>
        <v>0.16899832402938617</v>
      </c>
      <c r="AG63" s="226">
        <v>45867</v>
      </c>
      <c r="AH63" s="226" t="s">
        <v>185</v>
      </c>
      <c r="AI63" s="227">
        <f>VLOOKUP(AH63,DATA!$B$13:$C$19,2,0)</f>
        <v>100</v>
      </c>
      <c r="AJ63" s="4">
        <f>VLOOKUP($AH$1,DATA!$B$24:$C$45,2,0)</f>
        <v>0.05</v>
      </c>
      <c r="AK63" s="69">
        <f>BaseDeDatos[[#This Row],[Read info
Status]]*(AJ63)/100</f>
        <v>0.05</v>
      </c>
      <c r="AL63" s="79">
        <f t="shared" si="53"/>
        <v>0.75</v>
      </c>
      <c r="AM63" s="226" t="s">
        <v>185</v>
      </c>
      <c r="AN63" s="227">
        <f>VLOOKUP(AM63,DATA!$B$13:$C$19,2,0)</f>
        <v>100</v>
      </c>
      <c r="AO63" s="4">
        <f>VLOOKUP($AM$1,DATA!$B$24:$C$45,2,0)</f>
        <v>0.05</v>
      </c>
      <c r="AP63" s="4">
        <f t="shared" si="54"/>
        <v>0.05</v>
      </c>
      <c r="AQ63" s="69">
        <f t="shared" si="55"/>
        <v>0.75</v>
      </c>
      <c r="AR63" s="5">
        <v>45873</v>
      </c>
      <c r="AS63" s="95">
        <v>45882</v>
      </c>
      <c r="AT63" s="226" t="s">
        <v>185</v>
      </c>
      <c r="AU63" s="227">
        <f>VLOOKUP(AT63,DATA!$B$13:$C$19,2,0)</f>
        <v>100</v>
      </c>
      <c r="AV63" s="4">
        <f>VLOOKUP($AT$1,DATA!$B$24:$C$45,2,0)</f>
        <v>0.01</v>
      </c>
      <c r="AW63" s="4">
        <f t="shared" si="56"/>
        <v>0.01</v>
      </c>
      <c r="AX63" s="69">
        <f t="shared" si="57"/>
        <v>0.15</v>
      </c>
      <c r="AY63" s="5">
        <v>45905</v>
      </c>
      <c r="AZ63" s="95">
        <v>45912</v>
      </c>
      <c r="BA63" s="226" t="s">
        <v>185</v>
      </c>
      <c r="BB63" s="227">
        <f>VLOOKUP(BA63,DATA!$B$13:$C$19,2,0)</f>
        <v>100</v>
      </c>
      <c r="BC63" s="4">
        <f>VLOOKUP($BA$1,DATA!$B$24:$C$45,2,0)</f>
        <v>0.01</v>
      </c>
      <c r="BD63" s="4">
        <f t="shared" si="58"/>
        <v>0.01</v>
      </c>
      <c r="BE63" s="79">
        <f t="shared" si="59"/>
        <v>0.15</v>
      </c>
      <c r="BF63" s="226" t="s">
        <v>185</v>
      </c>
      <c r="BG63" s="227">
        <f>VLOOKUP(BF63,DATA!$B$13:$C$19,2,0)</f>
        <v>100</v>
      </c>
      <c r="BH63" s="4">
        <f>VLOOKUP($BF$1,DATA!$B$24:$C$45,2,0)</f>
        <v>0.08</v>
      </c>
      <c r="BI63" s="4">
        <f t="shared" si="60"/>
        <v>0.08</v>
      </c>
      <c r="BJ63" s="79">
        <f t="shared" si="61"/>
        <v>1.2</v>
      </c>
      <c r="BK63" s="226" t="s">
        <v>185</v>
      </c>
      <c r="BL63" s="227">
        <f>VLOOKUP(BK63,DATA!$B$13:$C$19,2,0)</f>
        <v>100</v>
      </c>
      <c r="BM63" s="4">
        <f>VLOOKUP($BK$1,DATA!$B$24:$C$45,2,0)</f>
        <v>0.18</v>
      </c>
      <c r="BN63" s="4">
        <f t="shared" si="62"/>
        <v>0.18</v>
      </c>
      <c r="BO63" s="79">
        <f t="shared" si="63"/>
        <v>2.6999999999999997</v>
      </c>
      <c r="BP63" s="226" t="s">
        <v>185</v>
      </c>
      <c r="BQ63" s="227">
        <f>VLOOKUP(BP63,DATA!$B$13:$C$19,2,0)</f>
        <v>100</v>
      </c>
      <c r="BR63" s="4">
        <f>VLOOKUP($BP$1,DATA!$B$24:$C$45,2,0)</f>
        <v>0.28000000000000003</v>
      </c>
      <c r="BS63" s="4">
        <f t="shared" si="64"/>
        <v>0.28000000000000003</v>
      </c>
      <c r="BT63" s="79">
        <f t="shared" si="65"/>
        <v>4.2</v>
      </c>
      <c r="BU63" s="226" t="s">
        <v>185</v>
      </c>
      <c r="BV63" s="227">
        <f>VLOOKUP(BU63,DATA!$B$13:$C$19,2,0)</f>
        <v>100</v>
      </c>
      <c r="BW63" s="4">
        <f>VLOOKUP($BU$1,DATA!$B$24:$C$45,2,0)</f>
        <v>0.15</v>
      </c>
      <c r="BX63" s="4">
        <f t="shared" si="66"/>
        <v>0.15</v>
      </c>
      <c r="BY63" s="79">
        <f t="shared" si="67"/>
        <v>2.25</v>
      </c>
      <c r="BZ63" s="226" t="s">
        <v>185</v>
      </c>
      <c r="CA63" s="227">
        <f>VLOOKUP(BZ63,DATA!$B$13:$C$19,2,0)</f>
        <v>100</v>
      </c>
      <c r="CB63" s="4">
        <f>VLOOKUP($BZ$1,DATA!$B$24:$C$45,2,0)</f>
        <v>0.16</v>
      </c>
      <c r="CC63" s="4">
        <f t="shared" si="68"/>
        <v>0.16</v>
      </c>
      <c r="CD63" s="79">
        <f t="shared" si="69"/>
        <v>2.4</v>
      </c>
      <c r="CE63" s="226" t="s">
        <v>185</v>
      </c>
      <c r="CF63" s="227">
        <f>VLOOKUP(CE63,DATA!$B$13:$C$19,2,0)</f>
        <v>100</v>
      </c>
      <c r="CG63" s="4">
        <f>VLOOKUP($CE$1,DATA!$B$24:$C$45,2,0)</f>
        <v>0.13</v>
      </c>
      <c r="CH63" s="4">
        <f t="shared" si="70"/>
        <v>0.13</v>
      </c>
      <c r="CI63" s="79">
        <f t="shared" si="71"/>
        <v>1.9500000000000002</v>
      </c>
      <c r="CJ63" s="226" t="s">
        <v>185</v>
      </c>
      <c r="CK63" s="227">
        <f>VLOOKUP(CJ63,DATA!$B$13:$C$19,2,0)</f>
        <v>100</v>
      </c>
      <c r="CL63" s="4">
        <f>VLOOKUP($CJ$1,DATA!$B$24:$C$45,2,0)</f>
        <v>0.01</v>
      </c>
      <c r="CM63" s="4">
        <f t="shared" si="72"/>
        <v>0.01</v>
      </c>
      <c r="CN63" s="79">
        <f t="shared" si="73"/>
        <v>0.15</v>
      </c>
      <c r="CO63" s="83">
        <f t="shared" si="74"/>
        <v>1</v>
      </c>
      <c r="CP63" s="4">
        <f>VLOOKUP($CO$1,DATA!$B$24:$C$45,2,0)</f>
        <v>0.54</v>
      </c>
      <c r="CQ63" s="81">
        <f t="shared" si="75"/>
        <v>0.54</v>
      </c>
      <c r="CR63" s="80">
        <f t="shared" si="76"/>
        <v>8.1000000000000014</v>
      </c>
      <c r="CS63" s="129">
        <f t="shared" si="77"/>
        <v>8.1000000000000014</v>
      </c>
      <c r="CT63" s="242">
        <f t="shared" si="78"/>
        <v>0</v>
      </c>
      <c r="CU63" s="226" t="s">
        <v>185</v>
      </c>
      <c r="CV63" s="227">
        <f>VLOOKUP(CU63,DATA!$B$13:$C$19,2,0)</f>
        <v>100</v>
      </c>
      <c r="CW63" s="4">
        <f>VLOOKUP($CU$1,DATA!$B$24:$C$45,2,0)</f>
        <v>0.02</v>
      </c>
      <c r="CX63" s="4">
        <f t="shared" si="79"/>
        <v>0.02</v>
      </c>
      <c r="CY63" s="69">
        <f t="shared" si="80"/>
        <v>0.3</v>
      </c>
      <c r="CZ63" s="87">
        <v>45908</v>
      </c>
      <c r="DA63" s="86">
        <v>45919</v>
      </c>
      <c r="DB63" s="226" t="s">
        <v>185</v>
      </c>
      <c r="DC63" s="227">
        <f>VLOOKUP(DB63,DATA!$B$13:$C$19,2,0)</f>
        <v>100</v>
      </c>
      <c r="DD63" s="4">
        <f>VLOOKUP($DB$1,DATA!$B$24:$C$45,2,0)</f>
        <v>0.01</v>
      </c>
      <c r="DE63" s="4">
        <f t="shared" si="81"/>
        <v>0.01</v>
      </c>
      <c r="DF63" s="69">
        <f t="shared" si="82"/>
        <v>0.15</v>
      </c>
      <c r="DG63" s="87">
        <v>45940</v>
      </c>
      <c r="DH63" s="86">
        <v>45923</v>
      </c>
      <c r="DI63" s="226" t="s">
        <v>185</v>
      </c>
      <c r="DJ63" s="227">
        <f>VLOOKUP(DI63,DATA!$B$13:$C$19,2,0)</f>
        <v>100</v>
      </c>
      <c r="DK63" s="4">
        <f>VLOOKUP($DI$1,DATA!$B$24:$C$45,2,0)</f>
        <v>0.03</v>
      </c>
      <c r="DL63" s="4">
        <f t="shared" si="83"/>
        <v>0.03</v>
      </c>
      <c r="DM63" s="79">
        <f t="shared" si="84"/>
        <v>0.44999999999999996</v>
      </c>
      <c r="DN63" s="226" t="s">
        <v>185</v>
      </c>
      <c r="DO63" s="227">
        <f>VLOOKUP(DN63,DATA!$B$13:$C$19,2,0)</f>
        <v>100</v>
      </c>
      <c r="DP63" s="4">
        <f>VLOOKUP($DN$1,DATA!$B$24:$C$45,2,0)</f>
        <v>7.0000000000000007E-2</v>
      </c>
      <c r="DQ63" s="4">
        <f t="shared" si="85"/>
        <v>7.0000000000000007E-2</v>
      </c>
      <c r="DR63" s="69">
        <f t="shared" si="86"/>
        <v>1.05</v>
      </c>
      <c r="DS63" s="87">
        <v>45926</v>
      </c>
      <c r="DT63" s="86">
        <v>45924</v>
      </c>
      <c r="DU63" s="226" t="s">
        <v>185</v>
      </c>
      <c r="DV63" s="227">
        <f>VLOOKUP(DU63,DATA!$B$13:$C$19,2,0)</f>
        <v>100</v>
      </c>
      <c r="DW63" s="4">
        <f>VLOOKUP($DU$1,DATA!$B$24:$C$45,2,0)</f>
        <v>0.04</v>
      </c>
      <c r="DX63" s="4">
        <f t="shared" si="87"/>
        <v>0.04</v>
      </c>
      <c r="DY63" s="69">
        <f t="shared" si="88"/>
        <v>0.6</v>
      </c>
      <c r="DZ63" s="87">
        <v>45944</v>
      </c>
      <c r="EA63" s="86">
        <v>45938</v>
      </c>
      <c r="EB63" s="226" t="s">
        <v>220</v>
      </c>
      <c r="EC63" s="227">
        <f>VLOOKUP(EB63,DATA!$B$13:$C$19,2,0)</f>
        <v>50</v>
      </c>
      <c r="ED63" s="4">
        <f>VLOOKUP($EB$1,DATA!$B$24:$C$45,2,0)</f>
        <v>0.05</v>
      </c>
      <c r="EE63" s="4">
        <f t="shared" si="89"/>
        <v>2.5000000000000001E-2</v>
      </c>
      <c r="EF63" s="69">
        <f t="shared" si="90"/>
        <v>0.75</v>
      </c>
      <c r="EG63" s="87">
        <v>45950</v>
      </c>
      <c r="EH63" s="86"/>
      <c r="EI63" s="226" t="s">
        <v>185</v>
      </c>
      <c r="EJ63" s="227">
        <f>VLOOKUP(EI63,DATA!$B$13:$C$19,2,0)</f>
        <v>100</v>
      </c>
      <c r="EK63" s="4">
        <f>VLOOKUP($EI$1,DATA!$B$24:$C$45,2,0)</f>
        <v>0.1</v>
      </c>
      <c r="EL63" s="4">
        <f t="shared" si="91"/>
        <v>0.1</v>
      </c>
      <c r="EM63" s="69">
        <f t="shared" si="92"/>
        <v>1.5</v>
      </c>
      <c r="EN63" s="87">
        <v>45947</v>
      </c>
      <c r="EO63" s="86">
        <v>46003</v>
      </c>
      <c r="EP63" s="226" t="s">
        <v>220</v>
      </c>
      <c r="EQ63" s="227">
        <f>VLOOKUP(EP63,DATA!$B$13:$C$19,2,0)</f>
        <v>50</v>
      </c>
      <c r="ER63" s="4">
        <f>VLOOKUP($EP$1,DATA!$B$24:$C$45,2,0)</f>
        <v>0.03</v>
      </c>
      <c r="ES63" s="4">
        <f t="shared" si="93"/>
        <v>1.4999999999999999E-2</v>
      </c>
      <c r="ET63" s="79">
        <f t="shared" si="94"/>
        <v>0.44999999999999996</v>
      </c>
      <c r="EU63" s="244">
        <f t="shared" si="95"/>
        <v>1.2</v>
      </c>
      <c r="EV63" s="85" t="s">
        <v>187</v>
      </c>
      <c r="EW63" s="134" t="s">
        <v>197</v>
      </c>
      <c r="EX63" s="6"/>
    </row>
    <row r="64" spans="1:154" x14ac:dyDescent="0.3">
      <c r="A64" s="3" t="s">
        <v>180</v>
      </c>
      <c r="B64" s="3" t="s">
        <v>189</v>
      </c>
      <c r="C64" s="3" t="s">
        <v>304</v>
      </c>
      <c r="D64" s="85" t="s">
        <v>334</v>
      </c>
      <c r="E64" s="85" t="s">
        <v>306</v>
      </c>
      <c r="F64" s="3">
        <v>3336</v>
      </c>
      <c r="G64" s="3" t="s">
        <v>335</v>
      </c>
      <c r="H64" s="3">
        <v>15</v>
      </c>
      <c r="I64" s="3"/>
      <c r="J64" s="229">
        <f>BaseDeDatos[[#This Row],[Budget CS]]+BaseDeDatos[[#This Row],[Change Orders Budget]]</f>
        <v>15</v>
      </c>
      <c r="K64" s="92">
        <f>IFERROR(VLOOKUP(G64, DATA!H:I, 2, FALSE), 0)+BaseDeDatos[[#This Row],[Labor Spend on Design errors]]+BaseDeDatos[[#This Row],[Labor
Spent Customer changes]]</f>
        <v>13.5</v>
      </c>
      <c r="L64" s="92"/>
      <c r="M64" s="92">
        <v>1</v>
      </c>
      <c r="N64" s="232">
        <f t="shared" si="48"/>
        <v>0.96000000000000008</v>
      </c>
      <c r="O64" s="238">
        <f t="shared" si="49"/>
        <v>13.5</v>
      </c>
      <c r="P64" s="39">
        <v>26.73</v>
      </c>
      <c r="Q64" s="89">
        <f>BaseDeDatos[[#This Row],[Budget]]*BaseDeDatos[[#This Row],[Labor Rate from CS]]</f>
        <v>400.95</v>
      </c>
      <c r="R64" s="89">
        <f>BaseDeDatos[[#This Row],[Labor
Spent]]*BaseDeDatos[[#This Row],[Labor Rate from CS]]</f>
        <v>360.85500000000002</v>
      </c>
      <c r="S64" s="93">
        <f t="shared" si="50"/>
        <v>0.9</v>
      </c>
      <c r="T64" s="98">
        <v>33412</v>
      </c>
      <c r="U64" s="98">
        <v>2142.63</v>
      </c>
      <c r="V64" s="98">
        <v>2234.61</v>
      </c>
      <c r="W64" s="98">
        <v>8880.91</v>
      </c>
      <c r="X64" s="98">
        <v>8880.91</v>
      </c>
      <c r="Y64" s="98"/>
      <c r="Z64" s="98"/>
      <c r="AA64" s="98">
        <v>27787.69</v>
      </c>
      <c r="AB64" s="89">
        <f t="shared" si="51"/>
        <v>18505.829999999998</v>
      </c>
      <c r="AC64" s="120">
        <f>SUM(AB64,X64,R64,BaseDeDatos[[#This Row],[Additionals cost]])</f>
        <v>29982.204999999998</v>
      </c>
      <c r="AD64" s="117">
        <v>0.16833203639410982</v>
      </c>
      <c r="AE64" s="117">
        <v>0.1678</v>
      </c>
      <c r="AF64" s="240">
        <f t="shared" si="52"/>
        <v>0.16953205435172999</v>
      </c>
      <c r="AG64" s="226">
        <v>45867</v>
      </c>
      <c r="AH64" s="226" t="s">
        <v>185</v>
      </c>
      <c r="AI64" s="227">
        <f>VLOOKUP(AH64,DATA!$B$13:$C$19,2,0)</f>
        <v>100</v>
      </c>
      <c r="AJ64" s="4">
        <f>VLOOKUP($AH$1,DATA!$B$24:$C$45,2,0)</f>
        <v>0.05</v>
      </c>
      <c r="AK64" s="69">
        <f>BaseDeDatos[[#This Row],[Read info
Status]]*(AJ64)/100</f>
        <v>0.05</v>
      </c>
      <c r="AL64" s="79">
        <f t="shared" si="53"/>
        <v>0.75</v>
      </c>
      <c r="AM64" s="226" t="s">
        <v>185</v>
      </c>
      <c r="AN64" s="227">
        <f>VLOOKUP(AM64,DATA!$B$13:$C$19,2,0)</f>
        <v>100</v>
      </c>
      <c r="AO64" s="4">
        <f>VLOOKUP($AM$1,DATA!$B$24:$C$45,2,0)</f>
        <v>0.05</v>
      </c>
      <c r="AP64" s="4">
        <f t="shared" si="54"/>
        <v>0.05</v>
      </c>
      <c r="AQ64" s="69">
        <f t="shared" si="55"/>
        <v>0.75</v>
      </c>
      <c r="AR64" s="5">
        <v>45873</v>
      </c>
      <c r="AS64" s="95">
        <v>45882</v>
      </c>
      <c r="AT64" s="226" t="s">
        <v>185</v>
      </c>
      <c r="AU64" s="227">
        <f>VLOOKUP(AT64,DATA!$B$13:$C$19,2,0)</f>
        <v>100</v>
      </c>
      <c r="AV64" s="4">
        <f>VLOOKUP($AT$1,DATA!$B$24:$C$45,2,0)</f>
        <v>0.01</v>
      </c>
      <c r="AW64" s="4">
        <f t="shared" si="56"/>
        <v>0.01</v>
      </c>
      <c r="AX64" s="69">
        <f t="shared" si="57"/>
        <v>0.15</v>
      </c>
      <c r="AY64" s="5">
        <v>45905</v>
      </c>
      <c r="AZ64" s="95">
        <v>45912</v>
      </c>
      <c r="BA64" s="226" t="s">
        <v>185</v>
      </c>
      <c r="BB64" s="227">
        <f>VLOOKUP(BA64,DATA!$B$13:$C$19,2,0)</f>
        <v>100</v>
      </c>
      <c r="BC64" s="4">
        <f>VLOOKUP($BA$1,DATA!$B$24:$C$45,2,0)</f>
        <v>0.01</v>
      </c>
      <c r="BD64" s="4">
        <f t="shared" si="58"/>
        <v>0.01</v>
      </c>
      <c r="BE64" s="79">
        <f t="shared" si="59"/>
        <v>0.15</v>
      </c>
      <c r="BF64" s="226" t="s">
        <v>185</v>
      </c>
      <c r="BG64" s="227">
        <f>VLOOKUP(BF64,DATA!$B$13:$C$19,2,0)</f>
        <v>100</v>
      </c>
      <c r="BH64" s="4">
        <f>VLOOKUP($BF$1,DATA!$B$24:$C$45,2,0)</f>
        <v>0.08</v>
      </c>
      <c r="BI64" s="4">
        <f t="shared" si="60"/>
        <v>0.08</v>
      </c>
      <c r="BJ64" s="79">
        <f t="shared" si="61"/>
        <v>1.2</v>
      </c>
      <c r="BK64" s="226" t="s">
        <v>185</v>
      </c>
      <c r="BL64" s="227">
        <f>VLOOKUP(BK64,DATA!$B$13:$C$19,2,0)</f>
        <v>100</v>
      </c>
      <c r="BM64" s="4">
        <f>VLOOKUP($BK$1,DATA!$B$24:$C$45,2,0)</f>
        <v>0.18</v>
      </c>
      <c r="BN64" s="4">
        <f t="shared" si="62"/>
        <v>0.18</v>
      </c>
      <c r="BO64" s="79">
        <f t="shared" si="63"/>
        <v>2.6999999999999997</v>
      </c>
      <c r="BP64" s="226" t="s">
        <v>185</v>
      </c>
      <c r="BQ64" s="227">
        <f>VLOOKUP(BP64,DATA!$B$13:$C$19,2,0)</f>
        <v>100</v>
      </c>
      <c r="BR64" s="4">
        <f>VLOOKUP($BP$1,DATA!$B$24:$C$45,2,0)</f>
        <v>0.28000000000000003</v>
      </c>
      <c r="BS64" s="4">
        <f t="shared" si="64"/>
        <v>0.28000000000000003</v>
      </c>
      <c r="BT64" s="79">
        <f t="shared" si="65"/>
        <v>4.2</v>
      </c>
      <c r="BU64" s="226" t="s">
        <v>185</v>
      </c>
      <c r="BV64" s="227">
        <f>VLOOKUP(BU64,DATA!$B$13:$C$19,2,0)</f>
        <v>100</v>
      </c>
      <c r="BW64" s="4">
        <f>VLOOKUP($BU$1,DATA!$B$24:$C$45,2,0)</f>
        <v>0.15</v>
      </c>
      <c r="BX64" s="4">
        <f t="shared" si="66"/>
        <v>0.15</v>
      </c>
      <c r="BY64" s="79">
        <f t="shared" si="67"/>
        <v>2.25</v>
      </c>
      <c r="BZ64" s="226" t="s">
        <v>185</v>
      </c>
      <c r="CA64" s="227">
        <f>VLOOKUP(BZ64,DATA!$B$13:$C$19,2,0)</f>
        <v>100</v>
      </c>
      <c r="CB64" s="4">
        <f>VLOOKUP($BZ$1,DATA!$B$24:$C$45,2,0)</f>
        <v>0.16</v>
      </c>
      <c r="CC64" s="4">
        <f t="shared" si="68"/>
        <v>0.16</v>
      </c>
      <c r="CD64" s="79">
        <f t="shared" si="69"/>
        <v>2.4</v>
      </c>
      <c r="CE64" s="226" t="s">
        <v>185</v>
      </c>
      <c r="CF64" s="227">
        <f>VLOOKUP(CE64,DATA!$B$13:$C$19,2,0)</f>
        <v>100</v>
      </c>
      <c r="CG64" s="4">
        <f>VLOOKUP($CE$1,DATA!$B$24:$C$45,2,0)</f>
        <v>0.13</v>
      </c>
      <c r="CH64" s="4">
        <f t="shared" si="70"/>
        <v>0.13</v>
      </c>
      <c r="CI64" s="79">
        <f t="shared" si="71"/>
        <v>1.9500000000000002</v>
      </c>
      <c r="CJ64" s="226" t="s">
        <v>185</v>
      </c>
      <c r="CK64" s="227">
        <f>VLOOKUP(CJ64,DATA!$B$13:$C$19,2,0)</f>
        <v>100</v>
      </c>
      <c r="CL64" s="4">
        <f>VLOOKUP($CJ$1,DATA!$B$24:$C$45,2,0)</f>
        <v>0.01</v>
      </c>
      <c r="CM64" s="4">
        <f t="shared" si="72"/>
        <v>0.01</v>
      </c>
      <c r="CN64" s="79">
        <f t="shared" si="73"/>
        <v>0.15</v>
      </c>
      <c r="CO64" s="83">
        <f t="shared" si="74"/>
        <v>1</v>
      </c>
      <c r="CP64" s="4">
        <f>VLOOKUP($CO$1,DATA!$B$24:$C$45,2,0)</f>
        <v>0.54</v>
      </c>
      <c r="CQ64" s="81">
        <f t="shared" si="75"/>
        <v>0.54</v>
      </c>
      <c r="CR64" s="80">
        <f t="shared" si="76"/>
        <v>8.1000000000000014</v>
      </c>
      <c r="CS64" s="129">
        <f t="shared" si="77"/>
        <v>8.1000000000000014</v>
      </c>
      <c r="CT64" s="242">
        <f t="shared" si="78"/>
        <v>0</v>
      </c>
      <c r="CU64" s="226" t="s">
        <v>185</v>
      </c>
      <c r="CV64" s="227">
        <f>VLOOKUP(CU64,DATA!$B$13:$C$19,2,0)</f>
        <v>100</v>
      </c>
      <c r="CW64" s="4">
        <f>VLOOKUP($CU$1,DATA!$B$24:$C$45,2,0)</f>
        <v>0.02</v>
      </c>
      <c r="CX64" s="4">
        <f t="shared" si="79"/>
        <v>0.02</v>
      </c>
      <c r="CY64" s="69">
        <f t="shared" si="80"/>
        <v>0.3</v>
      </c>
      <c r="CZ64" s="87">
        <v>45908</v>
      </c>
      <c r="DA64" s="86">
        <v>45919</v>
      </c>
      <c r="DB64" s="226" t="s">
        <v>185</v>
      </c>
      <c r="DC64" s="227">
        <f>VLOOKUP(DB64,DATA!$B$13:$C$19,2,0)</f>
        <v>100</v>
      </c>
      <c r="DD64" s="4">
        <f>VLOOKUP($DB$1,DATA!$B$24:$C$45,2,0)</f>
        <v>0.01</v>
      </c>
      <c r="DE64" s="4">
        <f t="shared" si="81"/>
        <v>0.01</v>
      </c>
      <c r="DF64" s="69">
        <f t="shared" si="82"/>
        <v>0.15</v>
      </c>
      <c r="DG64" s="87">
        <v>45940</v>
      </c>
      <c r="DH64" s="86">
        <v>45923</v>
      </c>
      <c r="DI64" s="226" t="s">
        <v>185</v>
      </c>
      <c r="DJ64" s="227">
        <f>VLOOKUP(DI64,DATA!$B$13:$C$19,2,0)</f>
        <v>100</v>
      </c>
      <c r="DK64" s="4">
        <f>VLOOKUP($DI$1,DATA!$B$24:$C$45,2,0)</f>
        <v>0.03</v>
      </c>
      <c r="DL64" s="4">
        <f t="shared" si="83"/>
        <v>0.03</v>
      </c>
      <c r="DM64" s="79">
        <f t="shared" si="84"/>
        <v>0.44999999999999996</v>
      </c>
      <c r="DN64" s="226" t="s">
        <v>185</v>
      </c>
      <c r="DO64" s="227">
        <f>VLOOKUP(DN64,DATA!$B$13:$C$19,2,0)</f>
        <v>100</v>
      </c>
      <c r="DP64" s="4">
        <f>VLOOKUP($DN$1,DATA!$B$24:$C$45,2,0)</f>
        <v>7.0000000000000007E-2</v>
      </c>
      <c r="DQ64" s="4">
        <f t="shared" si="85"/>
        <v>7.0000000000000007E-2</v>
      </c>
      <c r="DR64" s="69">
        <f t="shared" si="86"/>
        <v>1.05</v>
      </c>
      <c r="DS64" s="87">
        <v>45926</v>
      </c>
      <c r="DT64" s="86">
        <v>45924</v>
      </c>
      <c r="DU64" s="226" t="s">
        <v>185</v>
      </c>
      <c r="DV64" s="227">
        <f>VLOOKUP(DU64,DATA!$B$13:$C$19,2,0)</f>
        <v>100</v>
      </c>
      <c r="DW64" s="4">
        <f>VLOOKUP($DU$1,DATA!$B$24:$C$45,2,0)</f>
        <v>0.04</v>
      </c>
      <c r="DX64" s="4">
        <f t="shared" si="87"/>
        <v>0.04</v>
      </c>
      <c r="DY64" s="69">
        <f t="shared" si="88"/>
        <v>0.6</v>
      </c>
      <c r="DZ64" s="87">
        <v>45944</v>
      </c>
      <c r="EA64" s="86">
        <v>45938</v>
      </c>
      <c r="EB64" s="226" t="s">
        <v>220</v>
      </c>
      <c r="EC64" s="227">
        <f>VLOOKUP(EB64,DATA!$B$13:$C$19,2,0)</f>
        <v>50</v>
      </c>
      <c r="ED64" s="4">
        <f>VLOOKUP($EB$1,DATA!$B$24:$C$45,2,0)</f>
        <v>0.05</v>
      </c>
      <c r="EE64" s="4">
        <f t="shared" si="89"/>
        <v>2.5000000000000001E-2</v>
      </c>
      <c r="EF64" s="69">
        <f t="shared" si="90"/>
        <v>0.75</v>
      </c>
      <c r="EG64" s="87">
        <v>45950</v>
      </c>
      <c r="EH64" s="86"/>
      <c r="EI64" s="226" t="s">
        <v>185</v>
      </c>
      <c r="EJ64" s="227">
        <f>VLOOKUP(EI64,DATA!$B$13:$C$19,2,0)</f>
        <v>100</v>
      </c>
      <c r="EK64" s="4">
        <f>VLOOKUP($EI$1,DATA!$B$24:$C$45,2,0)</f>
        <v>0.1</v>
      </c>
      <c r="EL64" s="4">
        <f t="shared" si="91"/>
        <v>0.1</v>
      </c>
      <c r="EM64" s="69">
        <f t="shared" si="92"/>
        <v>1.5</v>
      </c>
      <c r="EN64" s="87">
        <v>45947</v>
      </c>
      <c r="EO64" s="86">
        <v>46003</v>
      </c>
      <c r="EP64" s="226" t="s">
        <v>220</v>
      </c>
      <c r="EQ64" s="227">
        <f>VLOOKUP(EP64,DATA!$B$13:$C$19,2,0)</f>
        <v>50</v>
      </c>
      <c r="ER64" s="4">
        <f>VLOOKUP($EP$1,DATA!$B$24:$C$45,2,0)</f>
        <v>0.03</v>
      </c>
      <c r="ES64" s="4">
        <f t="shared" si="93"/>
        <v>1.4999999999999999E-2</v>
      </c>
      <c r="ET64" s="79">
        <f t="shared" si="94"/>
        <v>0.44999999999999996</v>
      </c>
      <c r="EU64" s="244">
        <f t="shared" si="95"/>
        <v>1.2</v>
      </c>
      <c r="EV64" s="85" t="s">
        <v>187</v>
      </c>
      <c r="EW64" s="134" t="s">
        <v>187</v>
      </c>
      <c r="EX64" s="6"/>
    </row>
    <row r="65" spans="1:154" x14ac:dyDescent="0.3">
      <c r="A65" s="3" t="s">
        <v>180</v>
      </c>
      <c r="B65" s="3" t="s">
        <v>189</v>
      </c>
      <c r="C65" s="3" t="s">
        <v>304</v>
      </c>
      <c r="D65" s="85" t="s">
        <v>336</v>
      </c>
      <c r="E65" s="85" t="s">
        <v>306</v>
      </c>
      <c r="F65" s="3">
        <v>3336</v>
      </c>
      <c r="G65" s="3" t="s">
        <v>337</v>
      </c>
      <c r="H65" s="3">
        <v>15</v>
      </c>
      <c r="I65" s="3"/>
      <c r="J65" s="229">
        <f>BaseDeDatos[[#This Row],[Budget CS]]+BaseDeDatos[[#This Row],[Change Orders Budget]]</f>
        <v>15</v>
      </c>
      <c r="K65" s="92">
        <f>IFERROR(VLOOKUP(G65, DATA!H:I, 2, FALSE), 0)+BaseDeDatos[[#This Row],[Labor Spend on Design errors]]+BaseDeDatos[[#This Row],[Labor
Spent Customer changes]]</f>
        <v>12.5</v>
      </c>
      <c r="L65" s="92">
        <v>1</v>
      </c>
      <c r="M65" s="92"/>
      <c r="N65" s="232">
        <f t="shared" si="48"/>
        <v>0.96000000000000008</v>
      </c>
      <c r="O65" s="238">
        <f t="shared" si="49"/>
        <v>12.5</v>
      </c>
      <c r="P65" s="39">
        <v>26.73</v>
      </c>
      <c r="Q65" s="89">
        <f>BaseDeDatos[[#This Row],[Budget]]*BaseDeDatos[[#This Row],[Labor Rate from CS]]</f>
        <v>400.95</v>
      </c>
      <c r="R65" s="89">
        <f>BaseDeDatos[[#This Row],[Labor
Spent]]*BaseDeDatos[[#This Row],[Labor Rate from CS]]</f>
        <v>334.125</v>
      </c>
      <c r="S65" s="93">
        <f t="shared" si="50"/>
        <v>0.83333333333333337</v>
      </c>
      <c r="T65" s="98">
        <v>118698</v>
      </c>
      <c r="U65" s="98">
        <v>2142.63</v>
      </c>
      <c r="V65" s="98">
        <v>2234.61</v>
      </c>
      <c r="W65" s="98">
        <v>19030.91</v>
      </c>
      <c r="X65" s="98">
        <v>19030.91</v>
      </c>
      <c r="Y65" s="98"/>
      <c r="Z65" s="98"/>
      <c r="AA65" s="98">
        <v>98717.19</v>
      </c>
      <c r="AB65" s="89">
        <f t="shared" si="51"/>
        <v>79285.33</v>
      </c>
      <c r="AC65" s="120">
        <f>SUM(AB65,X65,R65,BaseDeDatos[[#This Row],[Additionals cost]])</f>
        <v>100884.97500000001</v>
      </c>
      <c r="AD65" s="117">
        <v>0.16833316483849781</v>
      </c>
      <c r="AE65" s="117">
        <v>0.1678</v>
      </c>
      <c r="AF65" s="240">
        <f t="shared" si="52"/>
        <v>0.16889614820805737</v>
      </c>
      <c r="AG65" s="226">
        <v>45867</v>
      </c>
      <c r="AH65" s="226" t="s">
        <v>185</v>
      </c>
      <c r="AI65" s="227">
        <f>VLOOKUP(AH65,DATA!$B$13:$C$19,2,0)</f>
        <v>100</v>
      </c>
      <c r="AJ65" s="4">
        <f>VLOOKUP($AH$1,DATA!$B$24:$C$45,2,0)</f>
        <v>0.05</v>
      </c>
      <c r="AK65" s="69">
        <f>BaseDeDatos[[#This Row],[Read info
Status]]*(AJ65)/100</f>
        <v>0.05</v>
      </c>
      <c r="AL65" s="79">
        <f t="shared" si="53"/>
        <v>0.75</v>
      </c>
      <c r="AM65" s="226" t="s">
        <v>185</v>
      </c>
      <c r="AN65" s="227">
        <f>VLOOKUP(AM65,DATA!$B$13:$C$19,2,0)</f>
        <v>100</v>
      </c>
      <c r="AO65" s="4">
        <f>VLOOKUP($AM$1,DATA!$B$24:$C$45,2,0)</f>
        <v>0.05</v>
      </c>
      <c r="AP65" s="4">
        <f t="shared" si="54"/>
        <v>0.05</v>
      </c>
      <c r="AQ65" s="69">
        <f t="shared" si="55"/>
        <v>0.75</v>
      </c>
      <c r="AR65" s="5">
        <v>45873</v>
      </c>
      <c r="AS65" s="95">
        <v>45882</v>
      </c>
      <c r="AT65" s="226" t="s">
        <v>185</v>
      </c>
      <c r="AU65" s="227">
        <f>VLOOKUP(AT65,DATA!$B$13:$C$19,2,0)</f>
        <v>100</v>
      </c>
      <c r="AV65" s="4">
        <f>VLOOKUP($AT$1,DATA!$B$24:$C$45,2,0)</f>
        <v>0.01</v>
      </c>
      <c r="AW65" s="4">
        <f t="shared" si="56"/>
        <v>0.01</v>
      </c>
      <c r="AX65" s="69">
        <f t="shared" si="57"/>
        <v>0.15</v>
      </c>
      <c r="AY65" s="5">
        <v>45905</v>
      </c>
      <c r="AZ65" s="95">
        <v>45912</v>
      </c>
      <c r="BA65" s="226" t="s">
        <v>185</v>
      </c>
      <c r="BB65" s="227">
        <f>VLOOKUP(BA65,DATA!$B$13:$C$19,2,0)</f>
        <v>100</v>
      </c>
      <c r="BC65" s="4">
        <f>VLOOKUP($BA$1,DATA!$B$24:$C$45,2,0)</f>
        <v>0.01</v>
      </c>
      <c r="BD65" s="4">
        <f t="shared" si="58"/>
        <v>0.01</v>
      </c>
      <c r="BE65" s="79">
        <f t="shared" si="59"/>
        <v>0.15</v>
      </c>
      <c r="BF65" s="226" t="s">
        <v>185</v>
      </c>
      <c r="BG65" s="227">
        <f>VLOOKUP(BF65,DATA!$B$13:$C$19,2,0)</f>
        <v>100</v>
      </c>
      <c r="BH65" s="4">
        <f>VLOOKUP($BF$1,DATA!$B$24:$C$45,2,0)</f>
        <v>0.08</v>
      </c>
      <c r="BI65" s="4">
        <f t="shared" si="60"/>
        <v>0.08</v>
      </c>
      <c r="BJ65" s="79">
        <f t="shared" si="61"/>
        <v>1.2</v>
      </c>
      <c r="BK65" s="226" t="s">
        <v>185</v>
      </c>
      <c r="BL65" s="227">
        <f>VLOOKUP(BK65,DATA!$B$13:$C$19,2,0)</f>
        <v>100</v>
      </c>
      <c r="BM65" s="4">
        <f>VLOOKUP($BK$1,DATA!$B$24:$C$45,2,0)</f>
        <v>0.18</v>
      </c>
      <c r="BN65" s="4">
        <f t="shared" si="62"/>
        <v>0.18</v>
      </c>
      <c r="BO65" s="79">
        <f t="shared" si="63"/>
        <v>2.6999999999999997</v>
      </c>
      <c r="BP65" s="226" t="s">
        <v>185</v>
      </c>
      <c r="BQ65" s="227">
        <f>VLOOKUP(BP65,DATA!$B$13:$C$19,2,0)</f>
        <v>100</v>
      </c>
      <c r="BR65" s="4">
        <f>VLOOKUP($BP$1,DATA!$B$24:$C$45,2,0)</f>
        <v>0.28000000000000003</v>
      </c>
      <c r="BS65" s="4">
        <f t="shared" si="64"/>
        <v>0.28000000000000003</v>
      </c>
      <c r="BT65" s="79">
        <f t="shared" si="65"/>
        <v>4.2</v>
      </c>
      <c r="BU65" s="226" t="s">
        <v>185</v>
      </c>
      <c r="BV65" s="227">
        <f>VLOOKUP(BU65,DATA!$B$13:$C$19,2,0)</f>
        <v>100</v>
      </c>
      <c r="BW65" s="4">
        <f>VLOOKUP($BU$1,DATA!$B$24:$C$45,2,0)</f>
        <v>0.15</v>
      </c>
      <c r="BX65" s="4">
        <f t="shared" si="66"/>
        <v>0.15</v>
      </c>
      <c r="BY65" s="79">
        <f t="shared" si="67"/>
        <v>2.25</v>
      </c>
      <c r="BZ65" s="226" t="s">
        <v>185</v>
      </c>
      <c r="CA65" s="227">
        <f>VLOOKUP(BZ65,DATA!$B$13:$C$19,2,0)</f>
        <v>100</v>
      </c>
      <c r="CB65" s="4">
        <f>VLOOKUP($BZ$1,DATA!$B$24:$C$45,2,0)</f>
        <v>0.16</v>
      </c>
      <c r="CC65" s="4">
        <f t="shared" si="68"/>
        <v>0.16</v>
      </c>
      <c r="CD65" s="79">
        <f t="shared" si="69"/>
        <v>2.4</v>
      </c>
      <c r="CE65" s="226" t="s">
        <v>185</v>
      </c>
      <c r="CF65" s="227">
        <f>VLOOKUP(CE65,DATA!$B$13:$C$19,2,0)</f>
        <v>100</v>
      </c>
      <c r="CG65" s="4">
        <f>VLOOKUP($CE$1,DATA!$B$24:$C$45,2,0)</f>
        <v>0.13</v>
      </c>
      <c r="CH65" s="4">
        <f t="shared" si="70"/>
        <v>0.13</v>
      </c>
      <c r="CI65" s="79">
        <f t="shared" si="71"/>
        <v>1.9500000000000002</v>
      </c>
      <c r="CJ65" s="226" t="s">
        <v>185</v>
      </c>
      <c r="CK65" s="227">
        <f>VLOOKUP(CJ65,DATA!$B$13:$C$19,2,0)</f>
        <v>100</v>
      </c>
      <c r="CL65" s="4">
        <f>VLOOKUP($CJ$1,DATA!$B$24:$C$45,2,0)</f>
        <v>0.01</v>
      </c>
      <c r="CM65" s="4">
        <f t="shared" si="72"/>
        <v>0.01</v>
      </c>
      <c r="CN65" s="79">
        <f t="shared" si="73"/>
        <v>0.15</v>
      </c>
      <c r="CO65" s="83">
        <f t="shared" si="74"/>
        <v>1</v>
      </c>
      <c r="CP65" s="4">
        <f>VLOOKUP($CO$1,DATA!$B$24:$C$45,2,0)</f>
        <v>0.54</v>
      </c>
      <c r="CQ65" s="81">
        <f t="shared" si="75"/>
        <v>0.54</v>
      </c>
      <c r="CR65" s="80">
        <f t="shared" si="76"/>
        <v>8.1000000000000014</v>
      </c>
      <c r="CS65" s="129">
        <f t="shared" si="77"/>
        <v>8.1000000000000014</v>
      </c>
      <c r="CT65" s="242">
        <f t="shared" si="78"/>
        <v>0</v>
      </c>
      <c r="CU65" s="226" t="s">
        <v>185</v>
      </c>
      <c r="CV65" s="227">
        <f>VLOOKUP(CU65,DATA!$B$13:$C$19,2,0)</f>
        <v>100</v>
      </c>
      <c r="CW65" s="4">
        <f>VLOOKUP($CU$1,DATA!$B$24:$C$45,2,0)</f>
        <v>0.02</v>
      </c>
      <c r="CX65" s="4">
        <f t="shared" si="79"/>
        <v>0.02</v>
      </c>
      <c r="CY65" s="69">
        <f t="shared" si="80"/>
        <v>0.3</v>
      </c>
      <c r="CZ65" s="87">
        <v>45908</v>
      </c>
      <c r="DA65" s="86">
        <v>45919</v>
      </c>
      <c r="DB65" s="226" t="s">
        <v>185</v>
      </c>
      <c r="DC65" s="227">
        <f>VLOOKUP(DB65,DATA!$B$13:$C$19,2,0)</f>
        <v>100</v>
      </c>
      <c r="DD65" s="4">
        <f>VLOOKUP($DB$1,DATA!$B$24:$C$45,2,0)</f>
        <v>0.01</v>
      </c>
      <c r="DE65" s="4">
        <f t="shared" si="81"/>
        <v>0.01</v>
      </c>
      <c r="DF65" s="69">
        <f t="shared" si="82"/>
        <v>0.15</v>
      </c>
      <c r="DG65" s="87">
        <v>45940</v>
      </c>
      <c r="DH65" s="86">
        <v>45904</v>
      </c>
      <c r="DI65" s="226" t="s">
        <v>185</v>
      </c>
      <c r="DJ65" s="227">
        <f>VLOOKUP(DI65,DATA!$B$13:$C$19,2,0)</f>
        <v>100</v>
      </c>
      <c r="DK65" s="4">
        <f>VLOOKUP($DI$1,DATA!$B$24:$C$45,2,0)</f>
        <v>0.03</v>
      </c>
      <c r="DL65" s="4">
        <f t="shared" si="83"/>
        <v>0.03</v>
      </c>
      <c r="DM65" s="79">
        <f t="shared" si="84"/>
        <v>0.44999999999999996</v>
      </c>
      <c r="DN65" s="226" t="s">
        <v>185</v>
      </c>
      <c r="DO65" s="227">
        <f>VLOOKUP(DN65,DATA!$B$13:$C$19,2,0)</f>
        <v>100</v>
      </c>
      <c r="DP65" s="4">
        <f>VLOOKUP($DN$1,DATA!$B$24:$C$45,2,0)</f>
        <v>7.0000000000000007E-2</v>
      </c>
      <c r="DQ65" s="4">
        <f t="shared" si="85"/>
        <v>7.0000000000000007E-2</v>
      </c>
      <c r="DR65" s="69">
        <f t="shared" si="86"/>
        <v>1.05</v>
      </c>
      <c r="DS65" s="87">
        <v>45926</v>
      </c>
      <c r="DT65" s="86">
        <v>45924</v>
      </c>
      <c r="DU65" s="226" t="s">
        <v>185</v>
      </c>
      <c r="DV65" s="227">
        <f>VLOOKUP(DU65,DATA!$B$13:$C$19,2,0)</f>
        <v>100</v>
      </c>
      <c r="DW65" s="4">
        <f>VLOOKUP($DU$1,DATA!$B$24:$C$45,2,0)</f>
        <v>0.04</v>
      </c>
      <c r="DX65" s="4">
        <f t="shared" si="87"/>
        <v>0.04</v>
      </c>
      <c r="DY65" s="69">
        <f t="shared" si="88"/>
        <v>0.6</v>
      </c>
      <c r="DZ65" s="87">
        <v>45944</v>
      </c>
      <c r="EA65" s="86">
        <v>45938</v>
      </c>
      <c r="EB65" s="226" t="s">
        <v>220</v>
      </c>
      <c r="EC65" s="227">
        <f>VLOOKUP(EB65,DATA!$B$13:$C$19,2,0)</f>
        <v>50</v>
      </c>
      <c r="ED65" s="4">
        <f>VLOOKUP($EB$1,DATA!$B$24:$C$45,2,0)</f>
        <v>0.05</v>
      </c>
      <c r="EE65" s="4">
        <f t="shared" si="89"/>
        <v>2.5000000000000001E-2</v>
      </c>
      <c r="EF65" s="69">
        <f t="shared" si="90"/>
        <v>0.75</v>
      </c>
      <c r="EG65" s="87">
        <v>45950</v>
      </c>
      <c r="EH65" s="86"/>
      <c r="EI65" s="226" t="s">
        <v>185</v>
      </c>
      <c r="EJ65" s="227">
        <f>VLOOKUP(EI65,DATA!$B$13:$C$19,2,0)</f>
        <v>100</v>
      </c>
      <c r="EK65" s="4">
        <f>VLOOKUP($EI$1,DATA!$B$24:$C$45,2,0)</f>
        <v>0.1</v>
      </c>
      <c r="EL65" s="4">
        <f t="shared" si="91"/>
        <v>0.1</v>
      </c>
      <c r="EM65" s="69">
        <f t="shared" si="92"/>
        <v>1.5</v>
      </c>
      <c r="EN65" s="87">
        <v>45947</v>
      </c>
      <c r="EO65" s="86">
        <v>46003</v>
      </c>
      <c r="EP65" s="226" t="s">
        <v>220</v>
      </c>
      <c r="EQ65" s="227">
        <f>VLOOKUP(EP65,DATA!$B$13:$C$19,2,0)</f>
        <v>50</v>
      </c>
      <c r="ER65" s="4">
        <f>VLOOKUP($EP$1,DATA!$B$24:$C$45,2,0)</f>
        <v>0.03</v>
      </c>
      <c r="ES65" s="4">
        <f t="shared" si="93"/>
        <v>1.4999999999999999E-2</v>
      </c>
      <c r="ET65" s="79">
        <f t="shared" si="94"/>
        <v>0.44999999999999996</v>
      </c>
      <c r="EU65" s="244">
        <f t="shared" si="95"/>
        <v>1.2</v>
      </c>
      <c r="EV65" s="85" t="s">
        <v>187</v>
      </c>
      <c r="EW65" s="134" t="s">
        <v>187</v>
      </c>
      <c r="EX65" s="6"/>
    </row>
    <row r="66" spans="1:154" x14ac:dyDescent="0.3">
      <c r="A66" s="3" t="s">
        <v>180</v>
      </c>
      <c r="B66" s="3" t="s">
        <v>189</v>
      </c>
      <c r="C66" s="3" t="s">
        <v>304</v>
      </c>
      <c r="D66" s="85" t="s">
        <v>338</v>
      </c>
      <c r="E66" s="85" t="s">
        <v>306</v>
      </c>
      <c r="F66" s="3">
        <v>3336</v>
      </c>
      <c r="G66" s="3" t="s">
        <v>339</v>
      </c>
      <c r="H66" s="3">
        <v>15</v>
      </c>
      <c r="I66" s="3"/>
      <c r="J66" s="229">
        <f>BaseDeDatos[[#This Row],[Budget CS]]+BaseDeDatos[[#This Row],[Change Orders Budget]]</f>
        <v>15</v>
      </c>
      <c r="K66" s="92">
        <f>IFERROR(VLOOKUP(G66, DATA!H:I, 2, FALSE), 0)+BaseDeDatos[[#This Row],[Labor Spend on Design errors]]+BaseDeDatos[[#This Row],[Labor
Spent Customer changes]]</f>
        <v>12.5</v>
      </c>
      <c r="L66" s="92"/>
      <c r="M66" s="92"/>
      <c r="N66" s="232">
        <f t="shared" ref="N66:N81" si="96">AK66+AP66+AW66+CQ66+CX66+DE66+DL66+DQ66+DX66+EE66+EL66+ES66</f>
        <v>0.96000000000000008</v>
      </c>
      <c r="O66" s="238">
        <f t="shared" ref="O66:O81" si="97">J66*S66</f>
        <v>12.5</v>
      </c>
      <c r="P66" s="39">
        <v>26.73</v>
      </c>
      <c r="Q66" s="89">
        <f>BaseDeDatos[[#This Row],[Budget]]*BaseDeDatos[[#This Row],[Labor Rate from CS]]</f>
        <v>400.95</v>
      </c>
      <c r="R66" s="89">
        <f>BaseDeDatos[[#This Row],[Labor
Spent]]*BaseDeDatos[[#This Row],[Labor Rate from CS]]</f>
        <v>334.125</v>
      </c>
      <c r="S66" s="93">
        <f t="shared" ref="S66:S81" si="98">K66/J66</f>
        <v>0.83333333333333337</v>
      </c>
      <c r="T66" s="98">
        <v>45851</v>
      </c>
      <c r="U66" s="98">
        <v>2142.63</v>
      </c>
      <c r="V66" s="98">
        <v>2234.61</v>
      </c>
      <c r="W66" s="98">
        <v>14965.91</v>
      </c>
      <c r="X66" s="98">
        <v>14965.91</v>
      </c>
      <c r="Y66" s="98"/>
      <c r="Z66" s="98"/>
      <c r="AA66" s="98">
        <v>38133.79</v>
      </c>
      <c r="AB66" s="89">
        <f t="shared" ref="AB66:AB81" si="99">AA66-X66-Q66</f>
        <v>22766.93</v>
      </c>
      <c r="AC66" s="120">
        <f>SUM(AB66,X66,R66,BaseDeDatos[[#This Row],[Additionals cost]])</f>
        <v>40301.574999999997</v>
      </c>
      <c r="AD66" s="117">
        <v>0.16831061481756121</v>
      </c>
      <c r="AE66" s="117">
        <v>0.1678</v>
      </c>
      <c r="AF66" s="240">
        <f t="shared" ref="AF66:AF81" si="100">(T66-SUM(X66,AB66,R66))/T66</f>
        <v>0.16976805304137321</v>
      </c>
      <c r="AG66" s="226">
        <v>45867</v>
      </c>
      <c r="AH66" s="226" t="s">
        <v>185</v>
      </c>
      <c r="AI66" s="227">
        <f>VLOOKUP(AH66,DATA!$B$13:$C$19,2,0)</f>
        <v>100</v>
      </c>
      <c r="AJ66" s="4">
        <f>VLOOKUP($AH$1,DATA!$B$24:$C$45,2,0)</f>
        <v>0.05</v>
      </c>
      <c r="AK66" s="69">
        <f>BaseDeDatos[[#This Row],[Read info
Status]]*(AJ66)/100</f>
        <v>0.05</v>
      </c>
      <c r="AL66" s="79">
        <f t="shared" ref="AL66:AL81" si="101">AJ66*$J66</f>
        <v>0.75</v>
      </c>
      <c r="AM66" s="226" t="s">
        <v>185</v>
      </c>
      <c r="AN66" s="227">
        <f>VLOOKUP(AM66,DATA!$B$13:$C$19,2,0)</f>
        <v>100</v>
      </c>
      <c r="AO66" s="4">
        <f>VLOOKUP($AM$1,DATA!$B$24:$C$45,2,0)</f>
        <v>0.05</v>
      </c>
      <c r="AP66" s="4">
        <f t="shared" ref="AP66:AP81" si="102">AN66*AO66/100</f>
        <v>0.05</v>
      </c>
      <c r="AQ66" s="69">
        <f t="shared" ref="AQ66:AQ81" si="103">AO66*$J66</f>
        <v>0.75</v>
      </c>
      <c r="AR66" s="5">
        <v>45873</v>
      </c>
      <c r="AS66" s="95">
        <v>45882</v>
      </c>
      <c r="AT66" s="226" t="s">
        <v>185</v>
      </c>
      <c r="AU66" s="227">
        <f>VLOOKUP(AT66,DATA!$B$13:$C$19,2,0)</f>
        <v>100</v>
      </c>
      <c r="AV66" s="4">
        <f>VLOOKUP($AT$1,DATA!$B$24:$C$45,2,0)</f>
        <v>0.01</v>
      </c>
      <c r="AW66" s="4">
        <f t="shared" ref="AW66:AW81" si="104">AU66*AV66/100</f>
        <v>0.01</v>
      </c>
      <c r="AX66" s="69">
        <f t="shared" ref="AX66:AX81" si="105">AV66*$J66</f>
        <v>0.15</v>
      </c>
      <c r="AY66" s="5">
        <v>45905</v>
      </c>
      <c r="AZ66" s="95">
        <v>45912</v>
      </c>
      <c r="BA66" s="226" t="s">
        <v>185</v>
      </c>
      <c r="BB66" s="227">
        <f>VLOOKUP(BA66,DATA!$B$13:$C$19,2,0)</f>
        <v>100</v>
      </c>
      <c r="BC66" s="4">
        <f>VLOOKUP($BA$1,DATA!$B$24:$C$45,2,0)</f>
        <v>0.01</v>
      </c>
      <c r="BD66" s="4">
        <f t="shared" ref="BD66:BD81" si="106">BB66*BC66/100</f>
        <v>0.01</v>
      </c>
      <c r="BE66" s="79">
        <f t="shared" ref="BE66:BE81" si="107">BC66*$J66</f>
        <v>0.15</v>
      </c>
      <c r="BF66" s="226" t="s">
        <v>185</v>
      </c>
      <c r="BG66" s="227">
        <f>VLOOKUP(BF66,DATA!$B$13:$C$19,2,0)</f>
        <v>100</v>
      </c>
      <c r="BH66" s="4">
        <f>VLOOKUP($BF$1,DATA!$B$24:$C$45,2,0)</f>
        <v>0.08</v>
      </c>
      <c r="BI66" s="4">
        <f t="shared" ref="BI66:BI81" si="108">BG66*BH66/100</f>
        <v>0.08</v>
      </c>
      <c r="BJ66" s="79">
        <f t="shared" ref="BJ66:BJ81" si="109">BH66*$J66</f>
        <v>1.2</v>
      </c>
      <c r="BK66" s="226" t="s">
        <v>185</v>
      </c>
      <c r="BL66" s="227">
        <f>VLOOKUP(BK66,DATA!$B$13:$C$19,2,0)</f>
        <v>100</v>
      </c>
      <c r="BM66" s="4">
        <f>VLOOKUP($BK$1,DATA!$B$24:$C$45,2,0)</f>
        <v>0.18</v>
      </c>
      <c r="BN66" s="4">
        <f t="shared" ref="BN66:BN81" si="110">BL66*BM66/100</f>
        <v>0.18</v>
      </c>
      <c r="BO66" s="79">
        <f t="shared" ref="BO66:BO81" si="111">BM66*$J66</f>
        <v>2.6999999999999997</v>
      </c>
      <c r="BP66" s="226" t="s">
        <v>185</v>
      </c>
      <c r="BQ66" s="227">
        <f>VLOOKUP(BP66,DATA!$B$13:$C$19,2,0)</f>
        <v>100</v>
      </c>
      <c r="BR66" s="4">
        <f>VLOOKUP($BP$1,DATA!$B$24:$C$45,2,0)</f>
        <v>0.28000000000000003</v>
      </c>
      <c r="BS66" s="4">
        <f t="shared" ref="BS66:BS81" si="112">BQ66*BR66/100</f>
        <v>0.28000000000000003</v>
      </c>
      <c r="BT66" s="79">
        <f t="shared" ref="BT66:BT81" si="113">BR66*$J66</f>
        <v>4.2</v>
      </c>
      <c r="BU66" s="226" t="s">
        <v>185</v>
      </c>
      <c r="BV66" s="227">
        <f>VLOOKUP(BU66,DATA!$B$13:$C$19,2,0)</f>
        <v>100</v>
      </c>
      <c r="BW66" s="4">
        <f>VLOOKUP($BU$1,DATA!$B$24:$C$45,2,0)</f>
        <v>0.15</v>
      </c>
      <c r="BX66" s="4">
        <f t="shared" ref="BX66:BX81" si="114">BV66*BW66/100</f>
        <v>0.15</v>
      </c>
      <c r="BY66" s="79">
        <f t="shared" ref="BY66:BY81" si="115">BW66*$J66</f>
        <v>2.25</v>
      </c>
      <c r="BZ66" s="226" t="s">
        <v>185</v>
      </c>
      <c r="CA66" s="227">
        <f>VLOOKUP(BZ66,DATA!$B$13:$C$19,2,0)</f>
        <v>100</v>
      </c>
      <c r="CB66" s="4">
        <f>VLOOKUP($BZ$1,DATA!$B$24:$C$45,2,0)</f>
        <v>0.16</v>
      </c>
      <c r="CC66" s="4">
        <f t="shared" ref="CC66:CC81" si="116">CA66*CB66/100</f>
        <v>0.16</v>
      </c>
      <c r="CD66" s="79">
        <f t="shared" ref="CD66:CD81" si="117">CB66*$J66</f>
        <v>2.4</v>
      </c>
      <c r="CE66" s="226" t="s">
        <v>185</v>
      </c>
      <c r="CF66" s="227">
        <f>VLOOKUP(CE66,DATA!$B$13:$C$19,2,0)</f>
        <v>100</v>
      </c>
      <c r="CG66" s="4">
        <f>VLOOKUP($CE$1,DATA!$B$24:$C$45,2,0)</f>
        <v>0.13</v>
      </c>
      <c r="CH66" s="4">
        <f t="shared" ref="CH66:CH81" si="118">CF66*CG66/100</f>
        <v>0.13</v>
      </c>
      <c r="CI66" s="79">
        <f t="shared" ref="CI66:CI81" si="119">CG66*$J66</f>
        <v>1.9500000000000002</v>
      </c>
      <c r="CJ66" s="226" t="s">
        <v>185</v>
      </c>
      <c r="CK66" s="227">
        <f>VLOOKUP(CJ66,DATA!$B$13:$C$19,2,0)</f>
        <v>100</v>
      </c>
      <c r="CL66" s="4">
        <f>VLOOKUP($CJ$1,DATA!$B$24:$C$45,2,0)</f>
        <v>0.01</v>
      </c>
      <c r="CM66" s="4">
        <f t="shared" ref="CM66:CM81" si="120">CK66*CL66/100</f>
        <v>0.01</v>
      </c>
      <c r="CN66" s="79">
        <f t="shared" ref="CN66:CN81" si="121">CL66*$J66</f>
        <v>0.15</v>
      </c>
      <c r="CO66" s="83">
        <f t="shared" ref="CO66:CO81" si="122">CM66+CH66+CC66+BX66+BS66+BN66+BI66+BD66</f>
        <v>1</v>
      </c>
      <c r="CP66" s="4">
        <f>VLOOKUP($CO$1,DATA!$B$24:$C$45,2,0)</f>
        <v>0.54</v>
      </c>
      <c r="CQ66" s="81">
        <f t="shared" ref="CQ66:CQ81" si="123">CP66*CO66</f>
        <v>0.54</v>
      </c>
      <c r="CR66" s="80">
        <f t="shared" ref="CR66:CR81" si="124">CP66*$J66</f>
        <v>8.1000000000000014</v>
      </c>
      <c r="CS66" s="129">
        <f t="shared" ref="CS66:CS81" si="125">CQ66*$J66</f>
        <v>8.1000000000000014</v>
      </c>
      <c r="CT66" s="242">
        <f t="shared" ref="CT66:CT81" si="126">CR66-CS66</f>
        <v>0</v>
      </c>
      <c r="CU66" s="226" t="s">
        <v>185</v>
      </c>
      <c r="CV66" s="227">
        <f>VLOOKUP(CU66,DATA!$B$13:$C$19,2,0)</f>
        <v>100</v>
      </c>
      <c r="CW66" s="4">
        <f>VLOOKUP($CU$1,DATA!$B$24:$C$45,2,0)</f>
        <v>0.02</v>
      </c>
      <c r="CX66" s="4">
        <f t="shared" ref="CX66:CX81" si="127">CV66*CW66/100</f>
        <v>0.02</v>
      </c>
      <c r="CY66" s="69">
        <f t="shared" ref="CY66:CY81" si="128">CW66*$J66</f>
        <v>0.3</v>
      </c>
      <c r="CZ66" s="87">
        <v>45908</v>
      </c>
      <c r="DA66" s="86">
        <v>45919</v>
      </c>
      <c r="DB66" s="226" t="s">
        <v>185</v>
      </c>
      <c r="DC66" s="227">
        <f>VLOOKUP(DB66,DATA!$B$13:$C$19,2,0)</f>
        <v>100</v>
      </c>
      <c r="DD66" s="4">
        <f>VLOOKUP($DB$1,DATA!$B$24:$C$45,2,0)</f>
        <v>0.01</v>
      </c>
      <c r="DE66" s="4">
        <f t="shared" ref="DE66:DE81" si="129">DC66*DD66/100</f>
        <v>0.01</v>
      </c>
      <c r="DF66" s="69">
        <f t="shared" ref="DF66:DF81" si="130">DD66*$J66</f>
        <v>0.15</v>
      </c>
      <c r="DG66" s="87">
        <v>45940</v>
      </c>
      <c r="DH66" s="86">
        <v>45923</v>
      </c>
      <c r="DI66" s="226" t="s">
        <v>185</v>
      </c>
      <c r="DJ66" s="227">
        <f>VLOOKUP(DI66,DATA!$B$13:$C$19,2,0)</f>
        <v>100</v>
      </c>
      <c r="DK66" s="4">
        <f>VLOOKUP($DI$1,DATA!$B$24:$C$45,2,0)</f>
        <v>0.03</v>
      </c>
      <c r="DL66" s="4">
        <f t="shared" ref="DL66:DL81" si="131">DJ66*DK66/100</f>
        <v>0.03</v>
      </c>
      <c r="DM66" s="79">
        <f t="shared" ref="DM66:DM81" si="132">DK66*$J66</f>
        <v>0.44999999999999996</v>
      </c>
      <c r="DN66" s="226" t="s">
        <v>185</v>
      </c>
      <c r="DO66" s="227">
        <f>VLOOKUP(DN66,DATA!$B$13:$C$19,2,0)</f>
        <v>100</v>
      </c>
      <c r="DP66" s="4">
        <f>VLOOKUP($DN$1,DATA!$B$24:$C$45,2,0)</f>
        <v>7.0000000000000007E-2</v>
      </c>
      <c r="DQ66" s="4">
        <f t="shared" ref="DQ66:DQ81" si="133">DO66*DP66/100</f>
        <v>7.0000000000000007E-2</v>
      </c>
      <c r="DR66" s="69">
        <f t="shared" ref="DR66:DR81" si="134">DP66*$J66</f>
        <v>1.05</v>
      </c>
      <c r="DS66" s="87">
        <v>45926</v>
      </c>
      <c r="DT66" s="86">
        <v>45924</v>
      </c>
      <c r="DU66" s="226" t="s">
        <v>185</v>
      </c>
      <c r="DV66" s="227">
        <f>VLOOKUP(DU66,DATA!$B$13:$C$19,2,0)</f>
        <v>100</v>
      </c>
      <c r="DW66" s="4">
        <f>VLOOKUP($DU$1,DATA!$B$24:$C$45,2,0)</f>
        <v>0.04</v>
      </c>
      <c r="DX66" s="4">
        <f t="shared" ref="DX66:DX81" si="135">DV66*DW66/100</f>
        <v>0.04</v>
      </c>
      <c r="DY66" s="69">
        <f t="shared" ref="DY66:DY81" si="136">DW66*$J66</f>
        <v>0.6</v>
      </c>
      <c r="DZ66" s="87">
        <v>45944</v>
      </c>
      <c r="EA66" s="86">
        <v>45938</v>
      </c>
      <c r="EB66" s="226" t="s">
        <v>220</v>
      </c>
      <c r="EC66" s="227">
        <f>VLOOKUP(EB66,DATA!$B$13:$C$19,2,0)</f>
        <v>50</v>
      </c>
      <c r="ED66" s="4">
        <f>VLOOKUP($EB$1,DATA!$B$24:$C$45,2,0)</f>
        <v>0.05</v>
      </c>
      <c r="EE66" s="4">
        <f t="shared" ref="EE66:EE81" si="137">EC66*ED66/100</f>
        <v>2.5000000000000001E-2</v>
      </c>
      <c r="EF66" s="69">
        <f t="shared" ref="EF66:EF81" si="138">ED66*$J66</f>
        <v>0.75</v>
      </c>
      <c r="EG66" s="87">
        <v>45950</v>
      </c>
      <c r="EH66" s="86"/>
      <c r="EI66" s="226" t="s">
        <v>185</v>
      </c>
      <c r="EJ66" s="227">
        <f>VLOOKUP(EI66,DATA!$B$13:$C$19,2,0)</f>
        <v>100</v>
      </c>
      <c r="EK66" s="4">
        <f>VLOOKUP($EI$1,DATA!$B$24:$C$45,2,0)</f>
        <v>0.1</v>
      </c>
      <c r="EL66" s="4">
        <f t="shared" ref="EL66:EL81" si="139">EJ66*EK66/100</f>
        <v>0.1</v>
      </c>
      <c r="EM66" s="69">
        <f t="shared" ref="EM66:EM81" si="140">EK66*$J66</f>
        <v>1.5</v>
      </c>
      <c r="EN66" s="87">
        <v>45947</v>
      </c>
      <c r="EO66" s="86">
        <v>46003</v>
      </c>
      <c r="EP66" s="226" t="s">
        <v>220</v>
      </c>
      <c r="EQ66" s="227">
        <f>VLOOKUP(EP66,DATA!$B$13:$C$19,2,0)</f>
        <v>50</v>
      </c>
      <c r="ER66" s="4">
        <f>VLOOKUP($EP$1,DATA!$B$24:$C$45,2,0)</f>
        <v>0.03</v>
      </c>
      <c r="ES66" s="4">
        <f t="shared" ref="ES66:ES81" si="141">EQ66*ER66/100</f>
        <v>1.4999999999999999E-2</v>
      </c>
      <c r="ET66" s="79">
        <f t="shared" ref="ET66:ET81" si="142">ER66*$J66</f>
        <v>0.44999999999999996</v>
      </c>
      <c r="EU66" s="244">
        <f t="shared" ref="EU66:EU81" si="143">SUM(
    IF(AH66&lt;&gt;"Finished",AL66,0) + N("READ INFO"),
    IF(AM66&lt;&gt;"Finished",AQ66,0) + N("LONG LEAD"),
    IF(AT66&lt;&gt;"Finished",AX66,0) + N("SWITCH LAYOUT"),
    IF(CJ66&lt;&gt;"Finished",CT66,0) + N("DESIGN"),
    IF(CU66&lt;&gt;"Finished",CY66,0) + N("REVISION"),
    IF(DB66&lt;&gt;"Finished",DF66,0) + N("CUST APRVL"),
    IF(DI66&lt;&gt;"Finished",DM66,0) + N("MEETINGS"),
    IF(DN66&lt;&gt;"Finished",DR66,0) + N("PURCHASING"),
    IF(DU66&lt;&gt;"Finished",DY66,0) + N("HANDOFF"),
    IF(EB66&lt;&gt;"Finished",EF66,0) + N("SUPPORT"),
    IF(EI66&lt;&gt;"Finished",EM66,0) + N("DOCUMENTATTION"),
    IF(EP66&lt;&gt;"Finished",ET66,0) + N("REDLINES"),
)</f>
        <v>1.2</v>
      </c>
      <c r="EV66" s="85" t="s">
        <v>187</v>
      </c>
      <c r="EW66" s="134" t="s">
        <v>197</v>
      </c>
      <c r="EX66" s="6"/>
    </row>
    <row r="67" spans="1:154" x14ac:dyDescent="0.3">
      <c r="A67" s="3" t="s">
        <v>180</v>
      </c>
      <c r="B67" s="3" t="s">
        <v>189</v>
      </c>
      <c r="C67" s="3" t="s">
        <v>304</v>
      </c>
      <c r="D67" s="85" t="s">
        <v>340</v>
      </c>
      <c r="E67" s="85" t="s">
        <v>306</v>
      </c>
      <c r="F67" s="3">
        <v>3336</v>
      </c>
      <c r="G67" s="3" t="s">
        <v>341</v>
      </c>
      <c r="H67" s="3">
        <v>15</v>
      </c>
      <c r="I67" s="3"/>
      <c r="J67" s="229">
        <f>BaseDeDatos[[#This Row],[Budget CS]]+BaseDeDatos[[#This Row],[Change Orders Budget]]</f>
        <v>15</v>
      </c>
      <c r="K67" s="92">
        <f>IFERROR(VLOOKUP(G67, DATA!H:I, 2, FALSE), 0)+BaseDeDatos[[#This Row],[Labor Spend on Design errors]]+BaseDeDatos[[#This Row],[Labor
Spent Customer changes]]</f>
        <v>12.5</v>
      </c>
      <c r="L67" s="92"/>
      <c r="M67" s="92">
        <v>1</v>
      </c>
      <c r="N67" s="232">
        <f t="shared" si="96"/>
        <v>0.96000000000000008</v>
      </c>
      <c r="O67" s="238">
        <f t="shared" si="97"/>
        <v>12.5</v>
      </c>
      <c r="P67" s="39">
        <v>26.73</v>
      </c>
      <c r="Q67" s="89">
        <f>BaseDeDatos[[#This Row],[Budget]]*BaseDeDatos[[#This Row],[Labor Rate from CS]]</f>
        <v>400.95</v>
      </c>
      <c r="R67" s="89">
        <f>BaseDeDatos[[#This Row],[Labor
Spent]]*BaseDeDatos[[#This Row],[Labor Rate from CS]]</f>
        <v>334.125</v>
      </c>
      <c r="S67" s="93">
        <f t="shared" si="98"/>
        <v>0.83333333333333337</v>
      </c>
      <c r="T67" s="98">
        <v>49241</v>
      </c>
      <c r="U67" s="98">
        <v>2142.63</v>
      </c>
      <c r="V67" s="98">
        <v>2234.61</v>
      </c>
      <c r="W67" s="98">
        <v>16505.91</v>
      </c>
      <c r="X67" s="98">
        <v>16505.91</v>
      </c>
      <c r="Y67" s="98"/>
      <c r="Z67" s="98"/>
      <c r="AA67" s="98">
        <v>40951.83</v>
      </c>
      <c r="AB67" s="89">
        <f t="shared" si="99"/>
        <v>24044.97</v>
      </c>
      <c r="AC67" s="120">
        <f>SUM(AB67,X67,R67,BaseDeDatos[[#This Row],[Additionals cost]])</f>
        <v>43119.615000000005</v>
      </c>
      <c r="AD67" s="117">
        <v>0.1683387827217156</v>
      </c>
      <c r="AE67" s="117">
        <v>0.1678</v>
      </c>
      <c r="AF67" s="240">
        <f t="shared" si="100"/>
        <v>0.16969588351170764</v>
      </c>
      <c r="AG67" s="226">
        <v>45867</v>
      </c>
      <c r="AH67" s="226" t="s">
        <v>185</v>
      </c>
      <c r="AI67" s="227">
        <f>VLOOKUP(AH67,DATA!$B$13:$C$19,2,0)</f>
        <v>100</v>
      </c>
      <c r="AJ67" s="4">
        <f>VLOOKUP($AH$1,DATA!$B$24:$C$45,2,0)</f>
        <v>0.05</v>
      </c>
      <c r="AK67" s="69">
        <f>BaseDeDatos[[#This Row],[Read info
Status]]*(AJ67)/100</f>
        <v>0.05</v>
      </c>
      <c r="AL67" s="79">
        <f t="shared" si="101"/>
        <v>0.75</v>
      </c>
      <c r="AM67" s="226" t="s">
        <v>185</v>
      </c>
      <c r="AN67" s="227">
        <f>VLOOKUP(AM67,DATA!$B$13:$C$19,2,0)</f>
        <v>100</v>
      </c>
      <c r="AO67" s="4">
        <f>VLOOKUP($AM$1,DATA!$B$24:$C$45,2,0)</f>
        <v>0.05</v>
      </c>
      <c r="AP67" s="4">
        <f t="shared" si="102"/>
        <v>0.05</v>
      </c>
      <c r="AQ67" s="69">
        <f t="shared" si="103"/>
        <v>0.75</v>
      </c>
      <c r="AR67" s="5">
        <v>45873</v>
      </c>
      <c r="AS67" s="95">
        <v>45882</v>
      </c>
      <c r="AT67" s="226" t="s">
        <v>185</v>
      </c>
      <c r="AU67" s="227">
        <f>VLOOKUP(AT67,DATA!$B$13:$C$19,2,0)</f>
        <v>100</v>
      </c>
      <c r="AV67" s="4">
        <f>VLOOKUP($AT$1,DATA!$B$24:$C$45,2,0)</f>
        <v>0.01</v>
      </c>
      <c r="AW67" s="4">
        <f t="shared" si="104"/>
        <v>0.01</v>
      </c>
      <c r="AX67" s="69">
        <f t="shared" si="105"/>
        <v>0.15</v>
      </c>
      <c r="AY67" s="5">
        <v>45905</v>
      </c>
      <c r="AZ67" s="95">
        <v>45912</v>
      </c>
      <c r="BA67" s="226" t="s">
        <v>185</v>
      </c>
      <c r="BB67" s="227">
        <f>VLOOKUP(BA67,DATA!$B$13:$C$19,2,0)</f>
        <v>100</v>
      </c>
      <c r="BC67" s="4">
        <f>VLOOKUP($BA$1,DATA!$B$24:$C$45,2,0)</f>
        <v>0.01</v>
      </c>
      <c r="BD67" s="4">
        <f t="shared" si="106"/>
        <v>0.01</v>
      </c>
      <c r="BE67" s="79">
        <f t="shared" si="107"/>
        <v>0.15</v>
      </c>
      <c r="BF67" s="226" t="s">
        <v>185</v>
      </c>
      <c r="BG67" s="227">
        <f>VLOOKUP(BF67,DATA!$B$13:$C$19,2,0)</f>
        <v>100</v>
      </c>
      <c r="BH67" s="4">
        <f>VLOOKUP($BF$1,DATA!$B$24:$C$45,2,0)</f>
        <v>0.08</v>
      </c>
      <c r="BI67" s="4">
        <f t="shared" si="108"/>
        <v>0.08</v>
      </c>
      <c r="BJ67" s="79">
        <f t="shared" si="109"/>
        <v>1.2</v>
      </c>
      <c r="BK67" s="226" t="s">
        <v>185</v>
      </c>
      <c r="BL67" s="227">
        <f>VLOOKUP(BK67,DATA!$B$13:$C$19,2,0)</f>
        <v>100</v>
      </c>
      <c r="BM67" s="4">
        <f>VLOOKUP($BK$1,DATA!$B$24:$C$45,2,0)</f>
        <v>0.18</v>
      </c>
      <c r="BN67" s="4">
        <f t="shared" si="110"/>
        <v>0.18</v>
      </c>
      <c r="BO67" s="79">
        <f t="shared" si="111"/>
        <v>2.6999999999999997</v>
      </c>
      <c r="BP67" s="226" t="s">
        <v>185</v>
      </c>
      <c r="BQ67" s="227">
        <f>VLOOKUP(BP67,DATA!$B$13:$C$19,2,0)</f>
        <v>100</v>
      </c>
      <c r="BR67" s="4">
        <f>VLOOKUP($BP$1,DATA!$B$24:$C$45,2,0)</f>
        <v>0.28000000000000003</v>
      </c>
      <c r="BS67" s="4">
        <f t="shared" si="112"/>
        <v>0.28000000000000003</v>
      </c>
      <c r="BT67" s="79">
        <f t="shared" si="113"/>
        <v>4.2</v>
      </c>
      <c r="BU67" s="226" t="s">
        <v>185</v>
      </c>
      <c r="BV67" s="227">
        <f>VLOOKUP(BU67,DATA!$B$13:$C$19,2,0)</f>
        <v>100</v>
      </c>
      <c r="BW67" s="4">
        <f>VLOOKUP($BU$1,DATA!$B$24:$C$45,2,0)</f>
        <v>0.15</v>
      </c>
      <c r="BX67" s="4">
        <f t="shared" si="114"/>
        <v>0.15</v>
      </c>
      <c r="BY67" s="79">
        <f t="shared" si="115"/>
        <v>2.25</v>
      </c>
      <c r="BZ67" s="226" t="s">
        <v>185</v>
      </c>
      <c r="CA67" s="227">
        <f>VLOOKUP(BZ67,DATA!$B$13:$C$19,2,0)</f>
        <v>100</v>
      </c>
      <c r="CB67" s="4">
        <f>VLOOKUP($BZ$1,DATA!$B$24:$C$45,2,0)</f>
        <v>0.16</v>
      </c>
      <c r="CC67" s="4">
        <f t="shared" si="116"/>
        <v>0.16</v>
      </c>
      <c r="CD67" s="79">
        <f t="shared" si="117"/>
        <v>2.4</v>
      </c>
      <c r="CE67" s="226" t="s">
        <v>185</v>
      </c>
      <c r="CF67" s="227">
        <f>VLOOKUP(CE67,DATA!$B$13:$C$19,2,0)</f>
        <v>100</v>
      </c>
      <c r="CG67" s="4">
        <f>VLOOKUP($CE$1,DATA!$B$24:$C$45,2,0)</f>
        <v>0.13</v>
      </c>
      <c r="CH67" s="4">
        <f t="shared" si="118"/>
        <v>0.13</v>
      </c>
      <c r="CI67" s="79">
        <f t="shared" si="119"/>
        <v>1.9500000000000002</v>
      </c>
      <c r="CJ67" s="226" t="s">
        <v>185</v>
      </c>
      <c r="CK67" s="227">
        <f>VLOOKUP(CJ67,DATA!$B$13:$C$19,2,0)</f>
        <v>100</v>
      </c>
      <c r="CL67" s="4">
        <f>VLOOKUP($CJ$1,DATA!$B$24:$C$45,2,0)</f>
        <v>0.01</v>
      </c>
      <c r="CM67" s="4">
        <f t="shared" si="120"/>
        <v>0.01</v>
      </c>
      <c r="CN67" s="79">
        <f t="shared" si="121"/>
        <v>0.15</v>
      </c>
      <c r="CO67" s="83">
        <f t="shared" si="122"/>
        <v>1</v>
      </c>
      <c r="CP67" s="4">
        <f>VLOOKUP($CO$1,DATA!$B$24:$C$45,2,0)</f>
        <v>0.54</v>
      </c>
      <c r="CQ67" s="81">
        <f t="shared" si="123"/>
        <v>0.54</v>
      </c>
      <c r="CR67" s="80">
        <f t="shared" si="124"/>
        <v>8.1000000000000014</v>
      </c>
      <c r="CS67" s="129">
        <f t="shared" si="125"/>
        <v>8.1000000000000014</v>
      </c>
      <c r="CT67" s="242">
        <f t="shared" si="126"/>
        <v>0</v>
      </c>
      <c r="CU67" s="226" t="s">
        <v>185</v>
      </c>
      <c r="CV67" s="227">
        <f>VLOOKUP(CU67,DATA!$B$13:$C$19,2,0)</f>
        <v>100</v>
      </c>
      <c r="CW67" s="4">
        <f>VLOOKUP($CU$1,DATA!$B$24:$C$45,2,0)</f>
        <v>0.02</v>
      </c>
      <c r="CX67" s="4">
        <f t="shared" si="127"/>
        <v>0.02</v>
      </c>
      <c r="CY67" s="69">
        <f t="shared" si="128"/>
        <v>0.3</v>
      </c>
      <c r="CZ67" s="87">
        <v>45908</v>
      </c>
      <c r="DA67" s="86">
        <v>45919</v>
      </c>
      <c r="DB67" s="226" t="s">
        <v>185</v>
      </c>
      <c r="DC67" s="227">
        <f>VLOOKUP(DB67,DATA!$B$13:$C$19,2,0)</f>
        <v>100</v>
      </c>
      <c r="DD67" s="4">
        <f>VLOOKUP($DB$1,DATA!$B$24:$C$45,2,0)</f>
        <v>0.01</v>
      </c>
      <c r="DE67" s="4">
        <f t="shared" si="129"/>
        <v>0.01</v>
      </c>
      <c r="DF67" s="69">
        <f t="shared" si="130"/>
        <v>0.15</v>
      </c>
      <c r="DG67" s="87">
        <v>45940</v>
      </c>
      <c r="DH67" s="86">
        <v>45923</v>
      </c>
      <c r="DI67" s="226" t="s">
        <v>185</v>
      </c>
      <c r="DJ67" s="227">
        <f>VLOOKUP(DI67,DATA!$B$13:$C$19,2,0)</f>
        <v>100</v>
      </c>
      <c r="DK67" s="4">
        <f>VLOOKUP($DI$1,DATA!$B$24:$C$45,2,0)</f>
        <v>0.03</v>
      </c>
      <c r="DL67" s="4">
        <f t="shared" si="131"/>
        <v>0.03</v>
      </c>
      <c r="DM67" s="79">
        <f t="shared" si="132"/>
        <v>0.44999999999999996</v>
      </c>
      <c r="DN67" s="226" t="s">
        <v>185</v>
      </c>
      <c r="DO67" s="227">
        <f>VLOOKUP(DN67,DATA!$B$13:$C$19,2,0)</f>
        <v>100</v>
      </c>
      <c r="DP67" s="4">
        <f>VLOOKUP($DN$1,DATA!$B$24:$C$45,2,0)</f>
        <v>7.0000000000000007E-2</v>
      </c>
      <c r="DQ67" s="4">
        <f t="shared" si="133"/>
        <v>7.0000000000000007E-2</v>
      </c>
      <c r="DR67" s="69">
        <f t="shared" si="134"/>
        <v>1.05</v>
      </c>
      <c r="DS67" s="87">
        <v>45926</v>
      </c>
      <c r="DT67" s="86">
        <v>45924</v>
      </c>
      <c r="DU67" s="226" t="s">
        <v>185</v>
      </c>
      <c r="DV67" s="227">
        <f>VLOOKUP(DU67,DATA!$B$13:$C$19,2,0)</f>
        <v>100</v>
      </c>
      <c r="DW67" s="4">
        <f>VLOOKUP($DU$1,DATA!$B$24:$C$45,2,0)</f>
        <v>0.04</v>
      </c>
      <c r="DX67" s="4">
        <f t="shared" si="135"/>
        <v>0.04</v>
      </c>
      <c r="DY67" s="69">
        <f t="shared" si="136"/>
        <v>0.6</v>
      </c>
      <c r="DZ67" s="87">
        <v>45944</v>
      </c>
      <c r="EA67" s="86">
        <v>45938</v>
      </c>
      <c r="EB67" s="226" t="s">
        <v>220</v>
      </c>
      <c r="EC67" s="227">
        <f>VLOOKUP(EB67,DATA!$B$13:$C$19,2,0)</f>
        <v>50</v>
      </c>
      <c r="ED67" s="4">
        <f>VLOOKUP($EB$1,DATA!$B$24:$C$45,2,0)</f>
        <v>0.05</v>
      </c>
      <c r="EE67" s="4">
        <f t="shared" si="137"/>
        <v>2.5000000000000001E-2</v>
      </c>
      <c r="EF67" s="69">
        <f t="shared" si="138"/>
        <v>0.75</v>
      </c>
      <c r="EG67" s="87">
        <v>45950</v>
      </c>
      <c r="EH67" s="86"/>
      <c r="EI67" s="226" t="s">
        <v>185</v>
      </c>
      <c r="EJ67" s="227">
        <f>VLOOKUP(EI67,DATA!$B$13:$C$19,2,0)</f>
        <v>100</v>
      </c>
      <c r="EK67" s="4">
        <f>VLOOKUP($EI$1,DATA!$B$24:$C$45,2,0)</f>
        <v>0.1</v>
      </c>
      <c r="EL67" s="4">
        <f t="shared" si="139"/>
        <v>0.1</v>
      </c>
      <c r="EM67" s="69">
        <f t="shared" si="140"/>
        <v>1.5</v>
      </c>
      <c r="EN67" s="87">
        <v>45947</v>
      </c>
      <c r="EO67" s="86">
        <v>46003</v>
      </c>
      <c r="EP67" s="226" t="s">
        <v>220</v>
      </c>
      <c r="EQ67" s="227">
        <f>VLOOKUP(EP67,DATA!$B$13:$C$19,2,0)</f>
        <v>50</v>
      </c>
      <c r="ER67" s="4">
        <f>VLOOKUP($EP$1,DATA!$B$24:$C$45,2,0)</f>
        <v>0.03</v>
      </c>
      <c r="ES67" s="4">
        <f t="shared" si="141"/>
        <v>1.4999999999999999E-2</v>
      </c>
      <c r="ET67" s="79">
        <f t="shared" si="142"/>
        <v>0.44999999999999996</v>
      </c>
      <c r="EU67" s="244">
        <f t="shared" si="143"/>
        <v>1.2</v>
      </c>
      <c r="EV67" s="85" t="s">
        <v>187</v>
      </c>
      <c r="EW67" s="134" t="s">
        <v>197</v>
      </c>
      <c r="EX67" s="6"/>
    </row>
    <row r="68" spans="1:154" x14ac:dyDescent="0.3">
      <c r="A68" s="3" t="s">
        <v>180</v>
      </c>
      <c r="B68" s="3" t="s">
        <v>189</v>
      </c>
      <c r="C68" s="3" t="s">
        <v>304</v>
      </c>
      <c r="D68" s="85" t="s">
        <v>342</v>
      </c>
      <c r="E68" s="85" t="s">
        <v>306</v>
      </c>
      <c r="F68" s="3">
        <v>3336</v>
      </c>
      <c r="G68" s="3" t="s">
        <v>343</v>
      </c>
      <c r="H68" s="3">
        <v>15</v>
      </c>
      <c r="I68" s="3"/>
      <c r="J68" s="229">
        <f>BaseDeDatos[[#This Row],[Budget CS]]+BaseDeDatos[[#This Row],[Change Orders Budget]]</f>
        <v>15</v>
      </c>
      <c r="K68" s="92">
        <f>IFERROR(VLOOKUP(G68, DATA!H:I, 2, FALSE), 0)+BaseDeDatos[[#This Row],[Labor Spend on Design errors]]+BaseDeDatos[[#This Row],[Labor
Spent Customer changes]]</f>
        <v>13</v>
      </c>
      <c r="L68" s="92">
        <v>1</v>
      </c>
      <c r="M68" s="92"/>
      <c r="N68" s="232">
        <f t="shared" si="96"/>
        <v>0.96000000000000008</v>
      </c>
      <c r="O68" s="238">
        <f t="shared" si="97"/>
        <v>13</v>
      </c>
      <c r="P68" s="39">
        <v>26.73</v>
      </c>
      <c r="Q68" s="89">
        <f>BaseDeDatos[[#This Row],[Budget]]*BaseDeDatos[[#This Row],[Labor Rate from CS]]</f>
        <v>400.95</v>
      </c>
      <c r="R68" s="89">
        <f>BaseDeDatos[[#This Row],[Labor
Spent]]*BaseDeDatos[[#This Row],[Labor Rate from CS]]</f>
        <v>347.49</v>
      </c>
      <c r="S68" s="93">
        <f t="shared" si="98"/>
        <v>0.8666666666666667</v>
      </c>
      <c r="T68" s="98">
        <v>32841</v>
      </c>
      <c r="U68" s="98">
        <v>3683.83</v>
      </c>
      <c r="V68" s="98">
        <v>2234.61</v>
      </c>
      <c r="W68" s="98">
        <v>8553.91</v>
      </c>
      <c r="X68" s="98">
        <v>8553.91</v>
      </c>
      <c r="Y68" s="98"/>
      <c r="Z68" s="98"/>
      <c r="AA68" s="98">
        <v>27313.57</v>
      </c>
      <c r="AB68" s="89">
        <f t="shared" si="99"/>
        <v>18358.71</v>
      </c>
      <c r="AC68" s="120">
        <f>SUM(AB68,X68,R68,BaseDeDatos[[#This Row],[Additionals cost]])</f>
        <v>29494.720000000001</v>
      </c>
      <c r="AD68" s="117">
        <v>0.16830882129046021</v>
      </c>
      <c r="AE68" s="117">
        <v>0.1678</v>
      </c>
      <c r="AF68" s="240">
        <f t="shared" si="100"/>
        <v>0.16993666453518466</v>
      </c>
      <c r="AG68" s="226">
        <v>45867</v>
      </c>
      <c r="AH68" s="226" t="s">
        <v>185</v>
      </c>
      <c r="AI68" s="227">
        <f>VLOOKUP(AH68,DATA!$B$13:$C$19,2,0)</f>
        <v>100</v>
      </c>
      <c r="AJ68" s="4">
        <f>VLOOKUP($AH$1,DATA!$B$24:$C$45,2,0)</f>
        <v>0.05</v>
      </c>
      <c r="AK68" s="69">
        <f>BaseDeDatos[[#This Row],[Read info
Status]]*(AJ68)/100</f>
        <v>0.05</v>
      </c>
      <c r="AL68" s="79">
        <f t="shared" si="101"/>
        <v>0.75</v>
      </c>
      <c r="AM68" s="226" t="s">
        <v>185</v>
      </c>
      <c r="AN68" s="227">
        <f>VLOOKUP(AM68,DATA!$B$13:$C$19,2,0)</f>
        <v>100</v>
      </c>
      <c r="AO68" s="4">
        <f>VLOOKUP($AM$1,DATA!$B$24:$C$45,2,0)</f>
        <v>0.05</v>
      </c>
      <c r="AP68" s="4">
        <f t="shared" si="102"/>
        <v>0.05</v>
      </c>
      <c r="AQ68" s="69">
        <f t="shared" si="103"/>
        <v>0.75</v>
      </c>
      <c r="AR68" s="5">
        <v>45873</v>
      </c>
      <c r="AS68" s="95">
        <v>45882</v>
      </c>
      <c r="AT68" s="226" t="s">
        <v>185</v>
      </c>
      <c r="AU68" s="227">
        <f>VLOOKUP(AT68,DATA!$B$13:$C$19,2,0)</f>
        <v>100</v>
      </c>
      <c r="AV68" s="4">
        <f>VLOOKUP($AT$1,DATA!$B$24:$C$45,2,0)</f>
        <v>0.01</v>
      </c>
      <c r="AW68" s="4">
        <f t="shared" si="104"/>
        <v>0.01</v>
      </c>
      <c r="AX68" s="69">
        <f t="shared" si="105"/>
        <v>0.15</v>
      </c>
      <c r="AY68" s="5">
        <v>45905</v>
      </c>
      <c r="AZ68" s="95">
        <v>45912</v>
      </c>
      <c r="BA68" s="226" t="s">
        <v>185</v>
      </c>
      <c r="BB68" s="227">
        <f>VLOOKUP(BA68,DATA!$B$13:$C$19,2,0)</f>
        <v>100</v>
      </c>
      <c r="BC68" s="4">
        <f>VLOOKUP($BA$1,DATA!$B$24:$C$45,2,0)</f>
        <v>0.01</v>
      </c>
      <c r="BD68" s="4">
        <f t="shared" si="106"/>
        <v>0.01</v>
      </c>
      <c r="BE68" s="79">
        <f t="shared" si="107"/>
        <v>0.15</v>
      </c>
      <c r="BF68" s="226" t="s">
        <v>185</v>
      </c>
      <c r="BG68" s="227">
        <f>VLOOKUP(BF68,DATA!$B$13:$C$19,2,0)</f>
        <v>100</v>
      </c>
      <c r="BH68" s="4">
        <f>VLOOKUP($BF$1,DATA!$B$24:$C$45,2,0)</f>
        <v>0.08</v>
      </c>
      <c r="BI68" s="4">
        <f t="shared" si="108"/>
        <v>0.08</v>
      </c>
      <c r="BJ68" s="79">
        <f t="shared" si="109"/>
        <v>1.2</v>
      </c>
      <c r="BK68" s="226" t="s">
        <v>185</v>
      </c>
      <c r="BL68" s="227">
        <f>VLOOKUP(BK68,DATA!$B$13:$C$19,2,0)</f>
        <v>100</v>
      </c>
      <c r="BM68" s="4">
        <f>VLOOKUP($BK$1,DATA!$B$24:$C$45,2,0)</f>
        <v>0.18</v>
      </c>
      <c r="BN68" s="4">
        <f t="shared" si="110"/>
        <v>0.18</v>
      </c>
      <c r="BO68" s="79">
        <f t="shared" si="111"/>
        <v>2.6999999999999997</v>
      </c>
      <c r="BP68" s="226" t="s">
        <v>185</v>
      </c>
      <c r="BQ68" s="227">
        <f>VLOOKUP(BP68,DATA!$B$13:$C$19,2,0)</f>
        <v>100</v>
      </c>
      <c r="BR68" s="4">
        <f>VLOOKUP($BP$1,DATA!$B$24:$C$45,2,0)</f>
        <v>0.28000000000000003</v>
      </c>
      <c r="BS68" s="4">
        <f t="shared" si="112"/>
        <v>0.28000000000000003</v>
      </c>
      <c r="BT68" s="79">
        <f t="shared" si="113"/>
        <v>4.2</v>
      </c>
      <c r="BU68" s="226" t="s">
        <v>185</v>
      </c>
      <c r="BV68" s="227">
        <f>VLOOKUP(BU68,DATA!$B$13:$C$19,2,0)</f>
        <v>100</v>
      </c>
      <c r="BW68" s="4">
        <f>VLOOKUP($BU$1,DATA!$B$24:$C$45,2,0)</f>
        <v>0.15</v>
      </c>
      <c r="BX68" s="4">
        <f t="shared" si="114"/>
        <v>0.15</v>
      </c>
      <c r="BY68" s="79">
        <f t="shared" si="115"/>
        <v>2.25</v>
      </c>
      <c r="BZ68" s="226" t="s">
        <v>185</v>
      </c>
      <c r="CA68" s="227">
        <f>VLOOKUP(BZ68,DATA!$B$13:$C$19,2,0)</f>
        <v>100</v>
      </c>
      <c r="CB68" s="4">
        <f>VLOOKUP($BZ$1,DATA!$B$24:$C$45,2,0)</f>
        <v>0.16</v>
      </c>
      <c r="CC68" s="4">
        <f t="shared" si="116"/>
        <v>0.16</v>
      </c>
      <c r="CD68" s="79">
        <f t="shared" si="117"/>
        <v>2.4</v>
      </c>
      <c r="CE68" s="226" t="s">
        <v>185</v>
      </c>
      <c r="CF68" s="227">
        <f>VLOOKUP(CE68,DATA!$B$13:$C$19,2,0)</f>
        <v>100</v>
      </c>
      <c r="CG68" s="4">
        <f>VLOOKUP($CE$1,DATA!$B$24:$C$45,2,0)</f>
        <v>0.13</v>
      </c>
      <c r="CH68" s="4">
        <f t="shared" si="118"/>
        <v>0.13</v>
      </c>
      <c r="CI68" s="79">
        <f t="shared" si="119"/>
        <v>1.9500000000000002</v>
      </c>
      <c r="CJ68" s="226" t="s">
        <v>185</v>
      </c>
      <c r="CK68" s="227">
        <f>VLOOKUP(CJ68,DATA!$B$13:$C$19,2,0)</f>
        <v>100</v>
      </c>
      <c r="CL68" s="4">
        <f>VLOOKUP($CJ$1,DATA!$B$24:$C$45,2,0)</f>
        <v>0.01</v>
      </c>
      <c r="CM68" s="4">
        <f t="shared" si="120"/>
        <v>0.01</v>
      </c>
      <c r="CN68" s="79">
        <f t="shared" si="121"/>
        <v>0.15</v>
      </c>
      <c r="CO68" s="83">
        <f t="shared" si="122"/>
        <v>1</v>
      </c>
      <c r="CP68" s="4">
        <f>VLOOKUP($CO$1,DATA!$B$24:$C$45,2,0)</f>
        <v>0.54</v>
      </c>
      <c r="CQ68" s="81">
        <f t="shared" si="123"/>
        <v>0.54</v>
      </c>
      <c r="CR68" s="80">
        <f t="shared" si="124"/>
        <v>8.1000000000000014</v>
      </c>
      <c r="CS68" s="129">
        <f t="shared" si="125"/>
        <v>8.1000000000000014</v>
      </c>
      <c r="CT68" s="242">
        <f t="shared" si="126"/>
        <v>0</v>
      </c>
      <c r="CU68" s="226" t="s">
        <v>185</v>
      </c>
      <c r="CV68" s="227">
        <f>VLOOKUP(CU68,DATA!$B$13:$C$19,2,0)</f>
        <v>100</v>
      </c>
      <c r="CW68" s="4">
        <f>VLOOKUP($CU$1,DATA!$B$24:$C$45,2,0)</f>
        <v>0.02</v>
      </c>
      <c r="CX68" s="4">
        <f t="shared" si="127"/>
        <v>0.02</v>
      </c>
      <c r="CY68" s="69">
        <f t="shared" si="128"/>
        <v>0.3</v>
      </c>
      <c r="CZ68" s="87">
        <v>45908</v>
      </c>
      <c r="DA68" s="86">
        <v>45919</v>
      </c>
      <c r="DB68" s="226" t="s">
        <v>185</v>
      </c>
      <c r="DC68" s="227">
        <f>VLOOKUP(DB68,DATA!$B$13:$C$19,2,0)</f>
        <v>100</v>
      </c>
      <c r="DD68" s="4">
        <f>VLOOKUP($DB$1,DATA!$B$24:$C$45,2,0)</f>
        <v>0.01</v>
      </c>
      <c r="DE68" s="4">
        <f t="shared" si="129"/>
        <v>0.01</v>
      </c>
      <c r="DF68" s="69">
        <f t="shared" si="130"/>
        <v>0.15</v>
      </c>
      <c r="DG68" s="87">
        <v>45940</v>
      </c>
      <c r="DH68" s="86">
        <v>45923</v>
      </c>
      <c r="DI68" s="226" t="s">
        <v>185</v>
      </c>
      <c r="DJ68" s="227">
        <f>VLOOKUP(DI68,DATA!$B$13:$C$19,2,0)</f>
        <v>100</v>
      </c>
      <c r="DK68" s="4">
        <f>VLOOKUP($DI$1,DATA!$B$24:$C$45,2,0)</f>
        <v>0.03</v>
      </c>
      <c r="DL68" s="4">
        <f t="shared" si="131"/>
        <v>0.03</v>
      </c>
      <c r="DM68" s="79">
        <f t="shared" si="132"/>
        <v>0.44999999999999996</v>
      </c>
      <c r="DN68" s="226" t="s">
        <v>185</v>
      </c>
      <c r="DO68" s="227">
        <f>VLOOKUP(DN68,DATA!$B$13:$C$19,2,0)</f>
        <v>100</v>
      </c>
      <c r="DP68" s="4">
        <f>VLOOKUP($DN$1,DATA!$B$24:$C$45,2,0)</f>
        <v>7.0000000000000007E-2</v>
      </c>
      <c r="DQ68" s="4">
        <f t="shared" si="133"/>
        <v>7.0000000000000007E-2</v>
      </c>
      <c r="DR68" s="69">
        <f t="shared" si="134"/>
        <v>1.05</v>
      </c>
      <c r="DS68" s="87">
        <v>45926</v>
      </c>
      <c r="DT68" s="86">
        <v>45924</v>
      </c>
      <c r="DU68" s="226" t="s">
        <v>185</v>
      </c>
      <c r="DV68" s="227">
        <f>VLOOKUP(DU68,DATA!$B$13:$C$19,2,0)</f>
        <v>100</v>
      </c>
      <c r="DW68" s="4">
        <f>VLOOKUP($DU$1,DATA!$B$24:$C$45,2,0)</f>
        <v>0.04</v>
      </c>
      <c r="DX68" s="4">
        <f t="shared" si="135"/>
        <v>0.04</v>
      </c>
      <c r="DY68" s="69">
        <f t="shared" si="136"/>
        <v>0.6</v>
      </c>
      <c r="DZ68" s="87">
        <v>45944</v>
      </c>
      <c r="EA68" s="86">
        <v>45938</v>
      </c>
      <c r="EB68" s="226" t="s">
        <v>220</v>
      </c>
      <c r="EC68" s="227">
        <f>VLOOKUP(EB68,DATA!$B$13:$C$19,2,0)</f>
        <v>50</v>
      </c>
      <c r="ED68" s="4">
        <f>VLOOKUP($EB$1,DATA!$B$24:$C$45,2,0)</f>
        <v>0.05</v>
      </c>
      <c r="EE68" s="4">
        <f t="shared" si="137"/>
        <v>2.5000000000000001E-2</v>
      </c>
      <c r="EF68" s="69">
        <f t="shared" si="138"/>
        <v>0.75</v>
      </c>
      <c r="EG68" s="87">
        <v>45950</v>
      </c>
      <c r="EH68" s="86"/>
      <c r="EI68" s="226" t="s">
        <v>185</v>
      </c>
      <c r="EJ68" s="227">
        <f>VLOOKUP(EI68,DATA!$B$13:$C$19,2,0)</f>
        <v>100</v>
      </c>
      <c r="EK68" s="4">
        <f>VLOOKUP($EI$1,DATA!$B$24:$C$45,2,0)</f>
        <v>0.1</v>
      </c>
      <c r="EL68" s="4">
        <f t="shared" si="139"/>
        <v>0.1</v>
      </c>
      <c r="EM68" s="69">
        <f t="shared" si="140"/>
        <v>1.5</v>
      </c>
      <c r="EN68" s="87">
        <v>45947</v>
      </c>
      <c r="EO68" s="86">
        <v>46003</v>
      </c>
      <c r="EP68" s="226" t="s">
        <v>220</v>
      </c>
      <c r="EQ68" s="227">
        <f>VLOOKUP(EP68,DATA!$B$13:$C$19,2,0)</f>
        <v>50</v>
      </c>
      <c r="ER68" s="4">
        <f>VLOOKUP($EP$1,DATA!$B$24:$C$45,2,0)</f>
        <v>0.03</v>
      </c>
      <c r="ES68" s="4">
        <f t="shared" si="141"/>
        <v>1.4999999999999999E-2</v>
      </c>
      <c r="ET68" s="79">
        <f t="shared" si="142"/>
        <v>0.44999999999999996</v>
      </c>
      <c r="EU68" s="244">
        <f t="shared" si="143"/>
        <v>1.2</v>
      </c>
      <c r="EV68" s="85" t="s">
        <v>187</v>
      </c>
      <c r="EW68" s="134" t="s">
        <v>187</v>
      </c>
      <c r="EX68" s="6"/>
    </row>
    <row r="69" spans="1:154" x14ac:dyDescent="0.3">
      <c r="A69" s="3" t="s">
        <v>180</v>
      </c>
      <c r="B69" s="3" t="s">
        <v>189</v>
      </c>
      <c r="C69" s="3" t="s">
        <v>304</v>
      </c>
      <c r="D69" s="85" t="s">
        <v>344</v>
      </c>
      <c r="E69" s="85" t="s">
        <v>306</v>
      </c>
      <c r="F69" s="3">
        <v>3336</v>
      </c>
      <c r="G69" s="3" t="s">
        <v>345</v>
      </c>
      <c r="H69" s="3">
        <v>15</v>
      </c>
      <c r="I69" s="3"/>
      <c r="J69" s="229">
        <f>BaseDeDatos[[#This Row],[Budget CS]]+BaseDeDatos[[#This Row],[Change Orders Budget]]</f>
        <v>15</v>
      </c>
      <c r="K69" s="92">
        <f>IFERROR(VLOOKUP(G69, DATA!H:I, 2, FALSE), 0)+BaseDeDatos[[#This Row],[Labor Spend on Design errors]]+BaseDeDatos[[#This Row],[Labor
Spent Customer changes]]</f>
        <v>12.5</v>
      </c>
      <c r="L69" s="92">
        <v>1</v>
      </c>
      <c r="M69" s="92"/>
      <c r="N69" s="232">
        <f t="shared" si="96"/>
        <v>0.96000000000000008</v>
      </c>
      <c r="O69" s="238">
        <f t="shared" si="97"/>
        <v>12.5</v>
      </c>
      <c r="P69" s="39">
        <v>26.73</v>
      </c>
      <c r="Q69" s="89">
        <f>BaseDeDatos[[#This Row],[Budget]]*BaseDeDatos[[#This Row],[Labor Rate from CS]]</f>
        <v>400.95</v>
      </c>
      <c r="R69" s="89">
        <f>BaseDeDatos[[#This Row],[Labor
Spent]]*BaseDeDatos[[#This Row],[Labor Rate from CS]]</f>
        <v>334.125</v>
      </c>
      <c r="S69" s="93">
        <f t="shared" si="98"/>
        <v>0.83333333333333337</v>
      </c>
      <c r="T69" s="98">
        <v>114616</v>
      </c>
      <c r="U69" s="98">
        <v>3683.83</v>
      </c>
      <c r="V69" s="98">
        <v>2234.61</v>
      </c>
      <c r="W69" s="98">
        <v>19030.91</v>
      </c>
      <c r="X69" s="98">
        <v>19030.91</v>
      </c>
      <c r="Y69" s="98"/>
      <c r="Z69" s="98"/>
      <c r="AA69" s="98">
        <v>95320.31</v>
      </c>
      <c r="AB69" s="89">
        <f t="shared" si="99"/>
        <v>75888.45</v>
      </c>
      <c r="AC69" s="120">
        <f>SUM(AB69,X69,R69,BaseDeDatos[[#This Row],[Additionals cost]])</f>
        <v>97488.095000000001</v>
      </c>
      <c r="AD69" s="117">
        <v>0.1683507538214559</v>
      </c>
      <c r="AE69" s="117">
        <v>0.1678</v>
      </c>
      <c r="AF69" s="240">
        <f t="shared" si="100"/>
        <v>0.16893378760382494</v>
      </c>
      <c r="AG69" s="226">
        <v>45867</v>
      </c>
      <c r="AH69" s="226" t="s">
        <v>185</v>
      </c>
      <c r="AI69" s="227">
        <f>VLOOKUP(AH69,DATA!$B$13:$C$19,2,0)</f>
        <v>100</v>
      </c>
      <c r="AJ69" s="4">
        <f>VLOOKUP($AH$1,DATA!$B$24:$C$45,2,0)</f>
        <v>0.05</v>
      </c>
      <c r="AK69" s="69">
        <f>BaseDeDatos[[#This Row],[Read info
Status]]*(AJ69)/100</f>
        <v>0.05</v>
      </c>
      <c r="AL69" s="79">
        <f t="shared" si="101"/>
        <v>0.75</v>
      </c>
      <c r="AM69" s="226" t="s">
        <v>185</v>
      </c>
      <c r="AN69" s="227">
        <f>VLOOKUP(AM69,DATA!$B$13:$C$19,2,0)</f>
        <v>100</v>
      </c>
      <c r="AO69" s="4">
        <f>VLOOKUP($AM$1,DATA!$B$24:$C$45,2,0)</f>
        <v>0.05</v>
      </c>
      <c r="AP69" s="4">
        <f t="shared" si="102"/>
        <v>0.05</v>
      </c>
      <c r="AQ69" s="69">
        <f t="shared" si="103"/>
        <v>0.75</v>
      </c>
      <c r="AR69" s="5">
        <v>45873</v>
      </c>
      <c r="AS69" s="95">
        <v>45882</v>
      </c>
      <c r="AT69" s="226" t="s">
        <v>185</v>
      </c>
      <c r="AU69" s="227">
        <f>VLOOKUP(AT69,DATA!$B$13:$C$19,2,0)</f>
        <v>100</v>
      </c>
      <c r="AV69" s="4">
        <f>VLOOKUP($AT$1,DATA!$B$24:$C$45,2,0)</f>
        <v>0.01</v>
      </c>
      <c r="AW69" s="4">
        <f t="shared" si="104"/>
        <v>0.01</v>
      </c>
      <c r="AX69" s="69">
        <f t="shared" si="105"/>
        <v>0.15</v>
      </c>
      <c r="AY69" s="5">
        <v>45905</v>
      </c>
      <c r="AZ69" s="95">
        <v>45912</v>
      </c>
      <c r="BA69" s="226" t="s">
        <v>185</v>
      </c>
      <c r="BB69" s="227">
        <f>VLOOKUP(BA69,DATA!$B$13:$C$19,2,0)</f>
        <v>100</v>
      </c>
      <c r="BC69" s="4">
        <f>VLOOKUP($BA$1,DATA!$B$24:$C$45,2,0)</f>
        <v>0.01</v>
      </c>
      <c r="BD69" s="4">
        <f t="shared" si="106"/>
        <v>0.01</v>
      </c>
      <c r="BE69" s="79">
        <f t="shared" si="107"/>
        <v>0.15</v>
      </c>
      <c r="BF69" s="226" t="s">
        <v>185</v>
      </c>
      <c r="BG69" s="227">
        <f>VLOOKUP(BF69,DATA!$B$13:$C$19,2,0)</f>
        <v>100</v>
      </c>
      <c r="BH69" s="4">
        <f>VLOOKUP($BF$1,DATA!$B$24:$C$45,2,0)</f>
        <v>0.08</v>
      </c>
      <c r="BI69" s="4">
        <f t="shared" si="108"/>
        <v>0.08</v>
      </c>
      <c r="BJ69" s="79">
        <f t="shared" si="109"/>
        <v>1.2</v>
      </c>
      <c r="BK69" s="226" t="s">
        <v>185</v>
      </c>
      <c r="BL69" s="227">
        <f>VLOOKUP(BK69,DATA!$B$13:$C$19,2,0)</f>
        <v>100</v>
      </c>
      <c r="BM69" s="4">
        <f>VLOOKUP($BK$1,DATA!$B$24:$C$45,2,0)</f>
        <v>0.18</v>
      </c>
      <c r="BN69" s="4">
        <f t="shared" si="110"/>
        <v>0.18</v>
      </c>
      <c r="BO69" s="79">
        <f t="shared" si="111"/>
        <v>2.6999999999999997</v>
      </c>
      <c r="BP69" s="226" t="s">
        <v>185</v>
      </c>
      <c r="BQ69" s="227">
        <f>VLOOKUP(BP69,DATA!$B$13:$C$19,2,0)</f>
        <v>100</v>
      </c>
      <c r="BR69" s="4">
        <f>VLOOKUP($BP$1,DATA!$B$24:$C$45,2,0)</f>
        <v>0.28000000000000003</v>
      </c>
      <c r="BS69" s="4">
        <f t="shared" si="112"/>
        <v>0.28000000000000003</v>
      </c>
      <c r="BT69" s="79">
        <f t="shared" si="113"/>
        <v>4.2</v>
      </c>
      <c r="BU69" s="226" t="s">
        <v>185</v>
      </c>
      <c r="BV69" s="227">
        <f>VLOOKUP(BU69,DATA!$B$13:$C$19,2,0)</f>
        <v>100</v>
      </c>
      <c r="BW69" s="4">
        <f>VLOOKUP($BU$1,DATA!$B$24:$C$45,2,0)</f>
        <v>0.15</v>
      </c>
      <c r="BX69" s="4">
        <f t="shared" si="114"/>
        <v>0.15</v>
      </c>
      <c r="BY69" s="79">
        <f t="shared" si="115"/>
        <v>2.25</v>
      </c>
      <c r="BZ69" s="226" t="s">
        <v>185</v>
      </c>
      <c r="CA69" s="227">
        <f>VLOOKUP(BZ69,DATA!$B$13:$C$19,2,0)</f>
        <v>100</v>
      </c>
      <c r="CB69" s="4">
        <f>VLOOKUP($BZ$1,DATA!$B$24:$C$45,2,0)</f>
        <v>0.16</v>
      </c>
      <c r="CC69" s="4">
        <f t="shared" si="116"/>
        <v>0.16</v>
      </c>
      <c r="CD69" s="79">
        <f t="shared" si="117"/>
        <v>2.4</v>
      </c>
      <c r="CE69" s="226" t="s">
        <v>185</v>
      </c>
      <c r="CF69" s="227">
        <f>VLOOKUP(CE69,DATA!$B$13:$C$19,2,0)</f>
        <v>100</v>
      </c>
      <c r="CG69" s="4">
        <f>VLOOKUP($CE$1,DATA!$B$24:$C$45,2,0)</f>
        <v>0.13</v>
      </c>
      <c r="CH69" s="4">
        <f t="shared" si="118"/>
        <v>0.13</v>
      </c>
      <c r="CI69" s="79">
        <f t="shared" si="119"/>
        <v>1.9500000000000002</v>
      </c>
      <c r="CJ69" s="226" t="s">
        <v>185</v>
      </c>
      <c r="CK69" s="227">
        <f>VLOOKUP(CJ69,DATA!$B$13:$C$19,2,0)</f>
        <v>100</v>
      </c>
      <c r="CL69" s="4">
        <f>VLOOKUP($CJ$1,DATA!$B$24:$C$45,2,0)</f>
        <v>0.01</v>
      </c>
      <c r="CM69" s="4">
        <f t="shared" si="120"/>
        <v>0.01</v>
      </c>
      <c r="CN69" s="79">
        <f t="shared" si="121"/>
        <v>0.15</v>
      </c>
      <c r="CO69" s="83">
        <f t="shared" si="122"/>
        <v>1</v>
      </c>
      <c r="CP69" s="4">
        <f>VLOOKUP($CO$1,DATA!$B$24:$C$45,2,0)</f>
        <v>0.54</v>
      </c>
      <c r="CQ69" s="81">
        <f t="shared" si="123"/>
        <v>0.54</v>
      </c>
      <c r="CR69" s="80">
        <f t="shared" si="124"/>
        <v>8.1000000000000014</v>
      </c>
      <c r="CS69" s="129">
        <f t="shared" si="125"/>
        <v>8.1000000000000014</v>
      </c>
      <c r="CT69" s="242">
        <f t="shared" si="126"/>
        <v>0</v>
      </c>
      <c r="CU69" s="226" t="s">
        <v>185</v>
      </c>
      <c r="CV69" s="227">
        <f>VLOOKUP(CU69,DATA!$B$13:$C$19,2,0)</f>
        <v>100</v>
      </c>
      <c r="CW69" s="4">
        <f>VLOOKUP($CU$1,DATA!$B$24:$C$45,2,0)</f>
        <v>0.02</v>
      </c>
      <c r="CX69" s="4">
        <f t="shared" si="127"/>
        <v>0.02</v>
      </c>
      <c r="CY69" s="69">
        <f t="shared" si="128"/>
        <v>0.3</v>
      </c>
      <c r="CZ69" s="87">
        <v>45908</v>
      </c>
      <c r="DA69" s="86">
        <v>45922</v>
      </c>
      <c r="DB69" s="226" t="s">
        <v>185</v>
      </c>
      <c r="DC69" s="227">
        <f>VLOOKUP(DB69,DATA!$B$13:$C$19,2,0)</f>
        <v>100</v>
      </c>
      <c r="DD69" s="4">
        <f>VLOOKUP($DB$1,DATA!$B$24:$C$45,2,0)</f>
        <v>0.01</v>
      </c>
      <c r="DE69" s="4">
        <f t="shared" si="129"/>
        <v>0.01</v>
      </c>
      <c r="DF69" s="69">
        <f t="shared" si="130"/>
        <v>0.15</v>
      </c>
      <c r="DG69" s="87">
        <v>45940</v>
      </c>
      <c r="DH69" s="86">
        <v>45923</v>
      </c>
      <c r="DI69" s="226" t="s">
        <v>185</v>
      </c>
      <c r="DJ69" s="227">
        <f>VLOOKUP(DI69,DATA!$B$13:$C$19,2,0)</f>
        <v>100</v>
      </c>
      <c r="DK69" s="4">
        <f>VLOOKUP($DI$1,DATA!$B$24:$C$45,2,0)</f>
        <v>0.03</v>
      </c>
      <c r="DL69" s="4">
        <f t="shared" si="131"/>
        <v>0.03</v>
      </c>
      <c r="DM69" s="79">
        <f t="shared" si="132"/>
        <v>0.44999999999999996</v>
      </c>
      <c r="DN69" s="226" t="s">
        <v>185</v>
      </c>
      <c r="DO69" s="227">
        <f>VLOOKUP(DN69,DATA!$B$13:$C$19,2,0)</f>
        <v>100</v>
      </c>
      <c r="DP69" s="4">
        <f>VLOOKUP($DN$1,DATA!$B$24:$C$45,2,0)</f>
        <v>7.0000000000000007E-2</v>
      </c>
      <c r="DQ69" s="4">
        <f t="shared" si="133"/>
        <v>7.0000000000000007E-2</v>
      </c>
      <c r="DR69" s="69">
        <f t="shared" si="134"/>
        <v>1.05</v>
      </c>
      <c r="DS69" s="87">
        <v>45926</v>
      </c>
      <c r="DT69" s="86">
        <v>45924</v>
      </c>
      <c r="DU69" s="226" t="s">
        <v>185</v>
      </c>
      <c r="DV69" s="227">
        <f>VLOOKUP(DU69,DATA!$B$13:$C$19,2,0)</f>
        <v>100</v>
      </c>
      <c r="DW69" s="4">
        <f>VLOOKUP($DU$1,DATA!$B$24:$C$45,2,0)</f>
        <v>0.04</v>
      </c>
      <c r="DX69" s="4">
        <f t="shared" si="135"/>
        <v>0.04</v>
      </c>
      <c r="DY69" s="69">
        <f t="shared" si="136"/>
        <v>0.6</v>
      </c>
      <c r="DZ69" s="87">
        <v>45944</v>
      </c>
      <c r="EA69" s="86">
        <v>45938</v>
      </c>
      <c r="EB69" s="226" t="s">
        <v>220</v>
      </c>
      <c r="EC69" s="227">
        <f>VLOOKUP(EB69,DATA!$B$13:$C$19,2,0)</f>
        <v>50</v>
      </c>
      <c r="ED69" s="4">
        <f>VLOOKUP($EB$1,DATA!$B$24:$C$45,2,0)</f>
        <v>0.05</v>
      </c>
      <c r="EE69" s="4">
        <f t="shared" si="137"/>
        <v>2.5000000000000001E-2</v>
      </c>
      <c r="EF69" s="69">
        <f t="shared" si="138"/>
        <v>0.75</v>
      </c>
      <c r="EG69" s="87">
        <v>45950</v>
      </c>
      <c r="EH69" s="86"/>
      <c r="EI69" s="226" t="s">
        <v>185</v>
      </c>
      <c r="EJ69" s="227">
        <f>VLOOKUP(EI69,DATA!$B$13:$C$19,2,0)</f>
        <v>100</v>
      </c>
      <c r="EK69" s="4">
        <f>VLOOKUP($EI$1,DATA!$B$24:$C$45,2,0)</f>
        <v>0.1</v>
      </c>
      <c r="EL69" s="4">
        <f t="shared" si="139"/>
        <v>0.1</v>
      </c>
      <c r="EM69" s="69">
        <f t="shared" si="140"/>
        <v>1.5</v>
      </c>
      <c r="EN69" s="87">
        <v>45947</v>
      </c>
      <c r="EO69" s="86">
        <v>46003</v>
      </c>
      <c r="EP69" s="226" t="s">
        <v>220</v>
      </c>
      <c r="EQ69" s="227">
        <f>VLOOKUP(EP69,DATA!$B$13:$C$19,2,0)</f>
        <v>50</v>
      </c>
      <c r="ER69" s="4">
        <f>VLOOKUP($EP$1,DATA!$B$24:$C$45,2,0)</f>
        <v>0.03</v>
      </c>
      <c r="ES69" s="4">
        <f t="shared" si="141"/>
        <v>1.4999999999999999E-2</v>
      </c>
      <c r="ET69" s="79">
        <f t="shared" si="142"/>
        <v>0.44999999999999996</v>
      </c>
      <c r="EU69" s="244">
        <f t="shared" si="143"/>
        <v>1.2</v>
      </c>
      <c r="EV69" s="85" t="s">
        <v>187</v>
      </c>
      <c r="EW69" s="134" t="s">
        <v>187</v>
      </c>
      <c r="EX69" s="6"/>
    </row>
    <row r="70" spans="1:154" x14ac:dyDescent="0.3">
      <c r="A70" s="3" t="s">
        <v>180</v>
      </c>
      <c r="B70" s="3" t="s">
        <v>189</v>
      </c>
      <c r="C70" s="3" t="s">
        <v>304</v>
      </c>
      <c r="D70" s="85" t="s">
        <v>346</v>
      </c>
      <c r="E70" s="85" t="s">
        <v>306</v>
      </c>
      <c r="F70" s="3">
        <v>3336</v>
      </c>
      <c r="G70" s="3" t="s">
        <v>347</v>
      </c>
      <c r="H70" s="3">
        <v>15</v>
      </c>
      <c r="I70" s="3"/>
      <c r="J70" s="229">
        <f>BaseDeDatos[[#This Row],[Budget CS]]+BaseDeDatos[[#This Row],[Change Orders Budget]]</f>
        <v>15</v>
      </c>
      <c r="K70" s="92">
        <f>IFERROR(VLOOKUP(G70, DATA!H:I, 2, FALSE), 0)+BaseDeDatos[[#This Row],[Labor Spend on Design errors]]+BaseDeDatos[[#This Row],[Labor
Spent Customer changes]]</f>
        <v>13.5</v>
      </c>
      <c r="L70" s="92">
        <v>3</v>
      </c>
      <c r="M70" s="92">
        <v>1.5</v>
      </c>
      <c r="N70" s="232">
        <f t="shared" si="96"/>
        <v>0.96000000000000008</v>
      </c>
      <c r="O70" s="238">
        <f t="shared" si="97"/>
        <v>13.5</v>
      </c>
      <c r="P70" s="39">
        <v>26.73</v>
      </c>
      <c r="Q70" s="89">
        <f>BaseDeDatos[[#This Row],[Budget]]*BaseDeDatos[[#This Row],[Labor Rate from CS]]</f>
        <v>400.95</v>
      </c>
      <c r="R70" s="89">
        <f>BaseDeDatos[[#This Row],[Labor
Spent]]*BaseDeDatos[[#This Row],[Labor Rate from CS]]</f>
        <v>360.85500000000002</v>
      </c>
      <c r="S70" s="93">
        <f t="shared" si="98"/>
        <v>0.9</v>
      </c>
      <c r="T70" s="98">
        <v>44748</v>
      </c>
      <c r="U70" s="98">
        <v>3683.83</v>
      </c>
      <c r="V70" s="98">
        <v>2234.61</v>
      </c>
      <c r="W70" s="98">
        <v>14105.91</v>
      </c>
      <c r="X70" s="98">
        <v>14105.91</v>
      </c>
      <c r="Y70" s="98"/>
      <c r="Z70" s="98"/>
      <c r="AA70" s="98">
        <v>37217.01</v>
      </c>
      <c r="AB70" s="89">
        <f t="shared" si="99"/>
        <v>22710.15</v>
      </c>
      <c r="AC70" s="120">
        <f>SUM(AB70,X70,R70,BaseDeDatos[[#This Row],[Additionals cost]])</f>
        <v>39411.525000000001</v>
      </c>
      <c r="AD70" s="117">
        <v>0.16829780101904007</v>
      </c>
      <c r="AE70" s="117">
        <v>0.1678</v>
      </c>
      <c r="AF70" s="240">
        <f t="shared" si="100"/>
        <v>0.16919381871815498</v>
      </c>
      <c r="AG70" s="226">
        <v>45867</v>
      </c>
      <c r="AH70" s="226" t="s">
        <v>185</v>
      </c>
      <c r="AI70" s="227">
        <f>VLOOKUP(AH70,DATA!$B$13:$C$19,2,0)</f>
        <v>100</v>
      </c>
      <c r="AJ70" s="4">
        <f>VLOOKUP($AH$1,DATA!$B$24:$C$45,2,0)</f>
        <v>0.05</v>
      </c>
      <c r="AK70" s="69">
        <f>BaseDeDatos[[#This Row],[Read info
Status]]*(AJ70)/100</f>
        <v>0.05</v>
      </c>
      <c r="AL70" s="79">
        <f t="shared" si="101"/>
        <v>0.75</v>
      </c>
      <c r="AM70" s="226" t="s">
        <v>185</v>
      </c>
      <c r="AN70" s="227">
        <f>VLOOKUP(AM70,DATA!$B$13:$C$19,2,0)</f>
        <v>100</v>
      </c>
      <c r="AO70" s="4">
        <f>VLOOKUP($AM$1,DATA!$B$24:$C$45,2,0)</f>
        <v>0.05</v>
      </c>
      <c r="AP70" s="4">
        <f t="shared" si="102"/>
        <v>0.05</v>
      </c>
      <c r="AQ70" s="69">
        <f t="shared" si="103"/>
        <v>0.75</v>
      </c>
      <c r="AR70" s="5">
        <v>45873</v>
      </c>
      <c r="AS70" s="95">
        <v>45882</v>
      </c>
      <c r="AT70" s="226" t="s">
        <v>185</v>
      </c>
      <c r="AU70" s="227">
        <f>VLOOKUP(AT70,DATA!$B$13:$C$19,2,0)</f>
        <v>100</v>
      </c>
      <c r="AV70" s="4">
        <f>VLOOKUP($AT$1,DATA!$B$24:$C$45,2,0)</f>
        <v>0.01</v>
      </c>
      <c r="AW70" s="4">
        <f t="shared" si="104"/>
        <v>0.01</v>
      </c>
      <c r="AX70" s="69">
        <f t="shared" si="105"/>
        <v>0.15</v>
      </c>
      <c r="AY70" s="5">
        <v>45905</v>
      </c>
      <c r="AZ70" s="95">
        <v>45912</v>
      </c>
      <c r="BA70" s="226" t="s">
        <v>185</v>
      </c>
      <c r="BB70" s="227">
        <f>VLOOKUP(BA70,DATA!$B$13:$C$19,2,0)</f>
        <v>100</v>
      </c>
      <c r="BC70" s="4">
        <f>VLOOKUP($BA$1,DATA!$B$24:$C$45,2,0)</f>
        <v>0.01</v>
      </c>
      <c r="BD70" s="4">
        <f t="shared" si="106"/>
        <v>0.01</v>
      </c>
      <c r="BE70" s="79">
        <f t="shared" si="107"/>
        <v>0.15</v>
      </c>
      <c r="BF70" s="226" t="s">
        <v>185</v>
      </c>
      <c r="BG70" s="227">
        <f>VLOOKUP(BF70,DATA!$B$13:$C$19,2,0)</f>
        <v>100</v>
      </c>
      <c r="BH70" s="4">
        <f>VLOOKUP($BF$1,DATA!$B$24:$C$45,2,0)</f>
        <v>0.08</v>
      </c>
      <c r="BI70" s="4">
        <f t="shared" si="108"/>
        <v>0.08</v>
      </c>
      <c r="BJ70" s="79">
        <f t="shared" si="109"/>
        <v>1.2</v>
      </c>
      <c r="BK70" s="226" t="s">
        <v>185</v>
      </c>
      <c r="BL70" s="227">
        <f>VLOOKUP(BK70,DATA!$B$13:$C$19,2,0)</f>
        <v>100</v>
      </c>
      <c r="BM70" s="4">
        <f>VLOOKUP($BK$1,DATA!$B$24:$C$45,2,0)</f>
        <v>0.18</v>
      </c>
      <c r="BN70" s="4">
        <f t="shared" si="110"/>
        <v>0.18</v>
      </c>
      <c r="BO70" s="79">
        <f t="shared" si="111"/>
        <v>2.6999999999999997</v>
      </c>
      <c r="BP70" s="226" t="s">
        <v>185</v>
      </c>
      <c r="BQ70" s="227">
        <f>VLOOKUP(BP70,DATA!$B$13:$C$19,2,0)</f>
        <v>100</v>
      </c>
      <c r="BR70" s="4">
        <f>VLOOKUP($BP$1,DATA!$B$24:$C$45,2,0)</f>
        <v>0.28000000000000003</v>
      </c>
      <c r="BS70" s="4">
        <f t="shared" si="112"/>
        <v>0.28000000000000003</v>
      </c>
      <c r="BT70" s="79">
        <f t="shared" si="113"/>
        <v>4.2</v>
      </c>
      <c r="BU70" s="226" t="s">
        <v>185</v>
      </c>
      <c r="BV70" s="227">
        <f>VLOOKUP(BU70,DATA!$B$13:$C$19,2,0)</f>
        <v>100</v>
      </c>
      <c r="BW70" s="4">
        <f>VLOOKUP($BU$1,DATA!$B$24:$C$45,2,0)</f>
        <v>0.15</v>
      </c>
      <c r="BX70" s="4">
        <f t="shared" si="114"/>
        <v>0.15</v>
      </c>
      <c r="BY70" s="79">
        <f t="shared" si="115"/>
        <v>2.25</v>
      </c>
      <c r="BZ70" s="226" t="s">
        <v>185</v>
      </c>
      <c r="CA70" s="227">
        <f>VLOOKUP(BZ70,DATA!$B$13:$C$19,2,0)</f>
        <v>100</v>
      </c>
      <c r="CB70" s="4">
        <f>VLOOKUP($BZ$1,DATA!$B$24:$C$45,2,0)</f>
        <v>0.16</v>
      </c>
      <c r="CC70" s="4">
        <f t="shared" si="116"/>
        <v>0.16</v>
      </c>
      <c r="CD70" s="79">
        <f t="shared" si="117"/>
        <v>2.4</v>
      </c>
      <c r="CE70" s="226" t="s">
        <v>185</v>
      </c>
      <c r="CF70" s="227">
        <f>VLOOKUP(CE70,DATA!$B$13:$C$19,2,0)</f>
        <v>100</v>
      </c>
      <c r="CG70" s="4">
        <f>VLOOKUP($CE$1,DATA!$B$24:$C$45,2,0)</f>
        <v>0.13</v>
      </c>
      <c r="CH70" s="4">
        <f t="shared" si="118"/>
        <v>0.13</v>
      </c>
      <c r="CI70" s="79">
        <f t="shared" si="119"/>
        <v>1.9500000000000002</v>
      </c>
      <c r="CJ70" s="226" t="s">
        <v>185</v>
      </c>
      <c r="CK70" s="227">
        <f>VLOOKUP(CJ70,DATA!$B$13:$C$19,2,0)</f>
        <v>100</v>
      </c>
      <c r="CL70" s="4">
        <f>VLOOKUP($CJ$1,DATA!$B$24:$C$45,2,0)</f>
        <v>0.01</v>
      </c>
      <c r="CM70" s="4">
        <f t="shared" si="120"/>
        <v>0.01</v>
      </c>
      <c r="CN70" s="79">
        <f t="shared" si="121"/>
        <v>0.15</v>
      </c>
      <c r="CO70" s="83">
        <f t="shared" si="122"/>
        <v>1</v>
      </c>
      <c r="CP70" s="4">
        <f>VLOOKUP($CO$1,DATA!$B$24:$C$45,2,0)</f>
        <v>0.54</v>
      </c>
      <c r="CQ70" s="81">
        <f t="shared" si="123"/>
        <v>0.54</v>
      </c>
      <c r="CR70" s="80">
        <f t="shared" si="124"/>
        <v>8.1000000000000014</v>
      </c>
      <c r="CS70" s="129">
        <f t="shared" si="125"/>
        <v>8.1000000000000014</v>
      </c>
      <c r="CT70" s="242">
        <f t="shared" si="126"/>
        <v>0</v>
      </c>
      <c r="CU70" s="226" t="s">
        <v>185</v>
      </c>
      <c r="CV70" s="227">
        <f>VLOOKUP(CU70,DATA!$B$13:$C$19,2,0)</f>
        <v>100</v>
      </c>
      <c r="CW70" s="4">
        <f>VLOOKUP($CU$1,DATA!$B$24:$C$45,2,0)</f>
        <v>0.02</v>
      </c>
      <c r="CX70" s="4">
        <f t="shared" si="127"/>
        <v>0.02</v>
      </c>
      <c r="CY70" s="69">
        <f t="shared" si="128"/>
        <v>0.3</v>
      </c>
      <c r="CZ70" s="87">
        <v>45908</v>
      </c>
      <c r="DA70" s="86">
        <v>45919</v>
      </c>
      <c r="DB70" s="226" t="s">
        <v>185</v>
      </c>
      <c r="DC70" s="227">
        <f>VLOOKUP(DB70,DATA!$B$13:$C$19,2,0)</f>
        <v>100</v>
      </c>
      <c r="DD70" s="4">
        <f>VLOOKUP($DB$1,DATA!$B$24:$C$45,2,0)</f>
        <v>0.01</v>
      </c>
      <c r="DE70" s="4">
        <f t="shared" si="129"/>
        <v>0.01</v>
      </c>
      <c r="DF70" s="69">
        <f t="shared" si="130"/>
        <v>0.15</v>
      </c>
      <c r="DG70" s="87">
        <v>45940</v>
      </c>
      <c r="DH70" s="86">
        <v>45923</v>
      </c>
      <c r="DI70" s="226" t="s">
        <v>185</v>
      </c>
      <c r="DJ70" s="227">
        <f>VLOOKUP(DI70,DATA!$B$13:$C$19,2,0)</f>
        <v>100</v>
      </c>
      <c r="DK70" s="4">
        <f>VLOOKUP($DI$1,DATA!$B$24:$C$45,2,0)</f>
        <v>0.03</v>
      </c>
      <c r="DL70" s="4">
        <f t="shared" si="131"/>
        <v>0.03</v>
      </c>
      <c r="DM70" s="79">
        <f t="shared" si="132"/>
        <v>0.44999999999999996</v>
      </c>
      <c r="DN70" s="226" t="s">
        <v>185</v>
      </c>
      <c r="DO70" s="227">
        <f>VLOOKUP(DN70,DATA!$B$13:$C$19,2,0)</f>
        <v>100</v>
      </c>
      <c r="DP70" s="4">
        <f>VLOOKUP($DN$1,DATA!$B$24:$C$45,2,0)</f>
        <v>7.0000000000000007E-2</v>
      </c>
      <c r="DQ70" s="4">
        <f t="shared" si="133"/>
        <v>7.0000000000000007E-2</v>
      </c>
      <c r="DR70" s="69">
        <f t="shared" si="134"/>
        <v>1.05</v>
      </c>
      <c r="DS70" s="87">
        <v>45926</v>
      </c>
      <c r="DT70" s="86">
        <v>45924</v>
      </c>
      <c r="DU70" s="226" t="s">
        <v>185</v>
      </c>
      <c r="DV70" s="227">
        <f>VLOOKUP(DU70,DATA!$B$13:$C$19,2,0)</f>
        <v>100</v>
      </c>
      <c r="DW70" s="4">
        <f>VLOOKUP($DU$1,DATA!$B$24:$C$45,2,0)</f>
        <v>0.04</v>
      </c>
      <c r="DX70" s="4">
        <f t="shared" si="135"/>
        <v>0.04</v>
      </c>
      <c r="DY70" s="69">
        <f t="shared" si="136"/>
        <v>0.6</v>
      </c>
      <c r="DZ70" s="87">
        <v>45944</v>
      </c>
      <c r="EA70" s="86">
        <v>45938</v>
      </c>
      <c r="EB70" s="226" t="s">
        <v>220</v>
      </c>
      <c r="EC70" s="227">
        <f>VLOOKUP(EB70,DATA!$B$13:$C$19,2,0)</f>
        <v>50</v>
      </c>
      <c r="ED70" s="4">
        <f>VLOOKUP($EB$1,DATA!$B$24:$C$45,2,0)</f>
        <v>0.05</v>
      </c>
      <c r="EE70" s="4">
        <f t="shared" si="137"/>
        <v>2.5000000000000001E-2</v>
      </c>
      <c r="EF70" s="69">
        <f t="shared" si="138"/>
        <v>0.75</v>
      </c>
      <c r="EG70" s="87">
        <v>45950</v>
      </c>
      <c r="EH70" s="86"/>
      <c r="EI70" s="226" t="s">
        <v>185</v>
      </c>
      <c r="EJ70" s="227">
        <f>VLOOKUP(EI70,DATA!$B$13:$C$19,2,0)</f>
        <v>100</v>
      </c>
      <c r="EK70" s="4">
        <f>VLOOKUP($EI$1,DATA!$B$24:$C$45,2,0)</f>
        <v>0.1</v>
      </c>
      <c r="EL70" s="4">
        <f t="shared" si="139"/>
        <v>0.1</v>
      </c>
      <c r="EM70" s="69">
        <f t="shared" si="140"/>
        <v>1.5</v>
      </c>
      <c r="EN70" s="87">
        <v>45947</v>
      </c>
      <c r="EO70" s="86">
        <v>46003</v>
      </c>
      <c r="EP70" s="226" t="s">
        <v>220</v>
      </c>
      <c r="EQ70" s="227">
        <f>VLOOKUP(EP70,DATA!$B$13:$C$19,2,0)</f>
        <v>50</v>
      </c>
      <c r="ER70" s="4">
        <f>VLOOKUP($EP$1,DATA!$B$24:$C$45,2,0)</f>
        <v>0.03</v>
      </c>
      <c r="ES70" s="4">
        <f t="shared" si="141"/>
        <v>1.4999999999999999E-2</v>
      </c>
      <c r="ET70" s="79">
        <f t="shared" si="142"/>
        <v>0.44999999999999996</v>
      </c>
      <c r="EU70" s="244">
        <f t="shared" si="143"/>
        <v>1.2</v>
      </c>
      <c r="EV70" s="85" t="s">
        <v>187</v>
      </c>
      <c r="EW70" s="134" t="s">
        <v>197</v>
      </c>
      <c r="EX70" s="6"/>
    </row>
    <row r="71" spans="1:154" x14ac:dyDescent="0.3">
      <c r="A71" s="3" t="s">
        <v>180</v>
      </c>
      <c r="B71" s="3" t="s">
        <v>189</v>
      </c>
      <c r="C71" s="3" t="s">
        <v>304</v>
      </c>
      <c r="D71" s="85" t="s">
        <v>348</v>
      </c>
      <c r="E71" s="85" t="s">
        <v>306</v>
      </c>
      <c r="F71" s="3">
        <v>3336</v>
      </c>
      <c r="G71" s="3" t="s">
        <v>349</v>
      </c>
      <c r="H71" s="3">
        <v>15</v>
      </c>
      <c r="I71" s="3"/>
      <c r="J71" s="229">
        <f>BaseDeDatos[[#This Row],[Budget CS]]+BaseDeDatos[[#This Row],[Change Orders Budget]]</f>
        <v>15</v>
      </c>
      <c r="K71" s="92">
        <f>IFERROR(VLOOKUP(G71, DATA!H:I, 2, FALSE), 0)+BaseDeDatos[[#This Row],[Labor Spend on Design errors]]+BaseDeDatos[[#This Row],[Labor
Spent Customer changes]]</f>
        <v>12</v>
      </c>
      <c r="L71" s="92">
        <v>3</v>
      </c>
      <c r="M71" s="92"/>
      <c r="N71" s="232">
        <f t="shared" si="96"/>
        <v>0.96000000000000008</v>
      </c>
      <c r="O71" s="238">
        <f t="shared" si="97"/>
        <v>12</v>
      </c>
      <c r="P71" s="39">
        <v>26.73</v>
      </c>
      <c r="Q71" s="89">
        <f>BaseDeDatos[[#This Row],[Budget]]*BaseDeDatos[[#This Row],[Labor Rate from CS]]</f>
        <v>400.95</v>
      </c>
      <c r="R71" s="89">
        <f>BaseDeDatos[[#This Row],[Labor
Spent]]*BaseDeDatos[[#This Row],[Labor Rate from CS]]</f>
        <v>320.76</v>
      </c>
      <c r="S71" s="93">
        <f t="shared" si="98"/>
        <v>0.8</v>
      </c>
      <c r="T71" s="98">
        <v>48114</v>
      </c>
      <c r="U71" s="98">
        <v>3683.83</v>
      </c>
      <c r="V71" s="98">
        <v>2234.61</v>
      </c>
      <c r="W71" s="98">
        <v>15855.91</v>
      </c>
      <c r="X71" s="98">
        <v>15855.91</v>
      </c>
      <c r="Y71" s="98"/>
      <c r="Z71" s="98"/>
      <c r="AA71" s="98">
        <v>40014.65</v>
      </c>
      <c r="AB71" s="89">
        <f t="shared" si="99"/>
        <v>23757.79</v>
      </c>
      <c r="AC71" s="120">
        <f>SUM(AB71,X71,R71,BaseDeDatos[[#This Row],[Additionals cost]])</f>
        <v>42169.07</v>
      </c>
      <c r="AD71" s="117">
        <v>0.1683366587687575</v>
      </c>
      <c r="AE71" s="117">
        <v>0.1678</v>
      </c>
      <c r="AF71" s="240">
        <f t="shared" si="100"/>
        <v>0.17000332543542421</v>
      </c>
      <c r="AG71" s="226">
        <v>45867</v>
      </c>
      <c r="AH71" s="226" t="s">
        <v>185</v>
      </c>
      <c r="AI71" s="227">
        <f>VLOOKUP(AH71,DATA!$B$13:$C$19,2,0)</f>
        <v>100</v>
      </c>
      <c r="AJ71" s="4">
        <f>VLOOKUP($AH$1,DATA!$B$24:$C$45,2,0)</f>
        <v>0.05</v>
      </c>
      <c r="AK71" s="69">
        <f>BaseDeDatos[[#This Row],[Read info
Status]]*(AJ71)/100</f>
        <v>0.05</v>
      </c>
      <c r="AL71" s="79">
        <f t="shared" si="101"/>
        <v>0.75</v>
      </c>
      <c r="AM71" s="226" t="s">
        <v>185</v>
      </c>
      <c r="AN71" s="227">
        <f>VLOOKUP(AM71,DATA!$B$13:$C$19,2,0)</f>
        <v>100</v>
      </c>
      <c r="AO71" s="4">
        <f>VLOOKUP($AM$1,DATA!$B$24:$C$45,2,0)</f>
        <v>0.05</v>
      </c>
      <c r="AP71" s="4">
        <f t="shared" si="102"/>
        <v>0.05</v>
      </c>
      <c r="AQ71" s="69">
        <f t="shared" si="103"/>
        <v>0.75</v>
      </c>
      <c r="AR71" s="5">
        <v>45873</v>
      </c>
      <c r="AS71" s="95">
        <v>45882</v>
      </c>
      <c r="AT71" s="226" t="s">
        <v>185</v>
      </c>
      <c r="AU71" s="227">
        <f>VLOOKUP(AT71,DATA!$B$13:$C$19,2,0)</f>
        <v>100</v>
      </c>
      <c r="AV71" s="4">
        <f>VLOOKUP($AT$1,DATA!$B$24:$C$45,2,0)</f>
        <v>0.01</v>
      </c>
      <c r="AW71" s="4">
        <f t="shared" si="104"/>
        <v>0.01</v>
      </c>
      <c r="AX71" s="69">
        <f t="shared" si="105"/>
        <v>0.15</v>
      </c>
      <c r="AY71" s="5">
        <v>45905</v>
      </c>
      <c r="AZ71" s="95">
        <v>45912</v>
      </c>
      <c r="BA71" s="226" t="s">
        <v>185</v>
      </c>
      <c r="BB71" s="227">
        <f>VLOOKUP(BA71,DATA!$B$13:$C$19,2,0)</f>
        <v>100</v>
      </c>
      <c r="BC71" s="4">
        <f>VLOOKUP($BA$1,DATA!$B$24:$C$45,2,0)</f>
        <v>0.01</v>
      </c>
      <c r="BD71" s="4">
        <f t="shared" si="106"/>
        <v>0.01</v>
      </c>
      <c r="BE71" s="79">
        <f t="shared" si="107"/>
        <v>0.15</v>
      </c>
      <c r="BF71" s="226" t="s">
        <v>185</v>
      </c>
      <c r="BG71" s="227">
        <f>VLOOKUP(BF71,DATA!$B$13:$C$19,2,0)</f>
        <v>100</v>
      </c>
      <c r="BH71" s="4">
        <f>VLOOKUP($BF$1,DATA!$B$24:$C$45,2,0)</f>
        <v>0.08</v>
      </c>
      <c r="BI71" s="4">
        <f t="shared" si="108"/>
        <v>0.08</v>
      </c>
      <c r="BJ71" s="79">
        <f t="shared" si="109"/>
        <v>1.2</v>
      </c>
      <c r="BK71" s="226" t="s">
        <v>185</v>
      </c>
      <c r="BL71" s="227">
        <f>VLOOKUP(BK71,DATA!$B$13:$C$19,2,0)</f>
        <v>100</v>
      </c>
      <c r="BM71" s="4">
        <f>VLOOKUP($BK$1,DATA!$B$24:$C$45,2,0)</f>
        <v>0.18</v>
      </c>
      <c r="BN71" s="4">
        <f t="shared" si="110"/>
        <v>0.18</v>
      </c>
      <c r="BO71" s="79">
        <f t="shared" si="111"/>
        <v>2.6999999999999997</v>
      </c>
      <c r="BP71" s="226" t="s">
        <v>185</v>
      </c>
      <c r="BQ71" s="227">
        <f>VLOOKUP(BP71,DATA!$B$13:$C$19,2,0)</f>
        <v>100</v>
      </c>
      <c r="BR71" s="4">
        <f>VLOOKUP($BP$1,DATA!$B$24:$C$45,2,0)</f>
        <v>0.28000000000000003</v>
      </c>
      <c r="BS71" s="4">
        <f t="shared" si="112"/>
        <v>0.28000000000000003</v>
      </c>
      <c r="BT71" s="79">
        <f t="shared" si="113"/>
        <v>4.2</v>
      </c>
      <c r="BU71" s="226" t="s">
        <v>185</v>
      </c>
      <c r="BV71" s="227">
        <f>VLOOKUP(BU71,DATA!$B$13:$C$19,2,0)</f>
        <v>100</v>
      </c>
      <c r="BW71" s="4">
        <f>VLOOKUP($BU$1,DATA!$B$24:$C$45,2,0)</f>
        <v>0.15</v>
      </c>
      <c r="BX71" s="4">
        <f t="shared" si="114"/>
        <v>0.15</v>
      </c>
      <c r="BY71" s="79">
        <f t="shared" si="115"/>
        <v>2.25</v>
      </c>
      <c r="BZ71" s="226" t="s">
        <v>185</v>
      </c>
      <c r="CA71" s="227">
        <f>VLOOKUP(BZ71,DATA!$B$13:$C$19,2,0)</f>
        <v>100</v>
      </c>
      <c r="CB71" s="4">
        <f>VLOOKUP($BZ$1,DATA!$B$24:$C$45,2,0)</f>
        <v>0.16</v>
      </c>
      <c r="CC71" s="4">
        <f t="shared" si="116"/>
        <v>0.16</v>
      </c>
      <c r="CD71" s="79">
        <f t="shared" si="117"/>
        <v>2.4</v>
      </c>
      <c r="CE71" s="226" t="s">
        <v>185</v>
      </c>
      <c r="CF71" s="227">
        <f>VLOOKUP(CE71,DATA!$B$13:$C$19,2,0)</f>
        <v>100</v>
      </c>
      <c r="CG71" s="4">
        <f>VLOOKUP($CE$1,DATA!$B$24:$C$45,2,0)</f>
        <v>0.13</v>
      </c>
      <c r="CH71" s="4">
        <f t="shared" si="118"/>
        <v>0.13</v>
      </c>
      <c r="CI71" s="79">
        <f t="shared" si="119"/>
        <v>1.9500000000000002</v>
      </c>
      <c r="CJ71" s="226" t="s">
        <v>185</v>
      </c>
      <c r="CK71" s="227">
        <f>VLOOKUP(CJ71,DATA!$B$13:$C$19,2,0)</f>
        <v>100</v>
      </c>
      <c r="CL71" s="4">
        <f>VLOOKUP($CJ$1,DATA!$B$24:$C$45,2,0)</f>
        <v>0.01</v>
      </c>
      <c r="CM71" s="4">
        <f t="shared" si="120"/>
        <v>0.01</v>
      </c>
      <c r="CN71" s="79">
        <f t="shared" si="121"/>
        <v>0.15</v>
      </c>
      <c r="CO71" s="83">
        <f t="shared" si="122"/>
        <v>1</v>
      </c>
      <c r="CP71" s="4">
        <f>VLOOKUP($CO$1,DATA!$B$24:$C$45,2,0)</f>
        <v>0.54</v>
      </c>
      <c r="CQ71" s="81">
        <f t="shared" si="123"/>
        <v>0.54</v>
      </c>
      <c r="CR71" s="80">
        <f t="shared" si="124"/>
        <v>8.1000000000000014</v>
      </c>
      <c r="CS71" s="129">
        <f t="shared" si="125"/>
        <v>8.1000000000000014</v>
      </c>
      <c r="CT71" s="242">
        <f t="shared" si="126"/>
        <v>0</v>
      </c>
      <c r="CU71" s="226" t="s">
        <v>185</v>
      </c>
      <c r="CV71" s="227">
        <f>VLOOKUP(CU71,DATA!$B$13:$C$19,2,0)</f>
        <v>100</v>
      </c>
      <c r="CW71" s="4">
        <f>VLOOKUP($CU$1,DATA!$B$24:$C$45,2,0)</f>
        <v>0.02</v>
      </c>
      <c r="CX71" s="4">
        <f t="shared" si="127"/>
        <v>0.02</v>
      </c>
      <c r="CY71" s="69">
        <f t="shared" si="128"/>
        <v>0.3</v>
      </c>
      <c r="CZ71" s="87">
        <v>45908</v>
      </c>
      <c r="DA71" s="86">
        <v>45919</v>
      </c>
      <c r="DB71" s="226" t="s">
        <v>185</v>
      </c>
      <c r="DC71" s="227">
        <f>VLOOKUP(DB71,DATA!$B$13:$C$19,2,0)</f>
        <v>100</v>
      </c>
      <c r="DD71" s="4">
        <f>VLOOKUP($DB$1,DATA!$B$24:$C$45,2,0)</f>
        <v>0.01</v>
      </c>
      <c r="DE71" s="4">
        <f t="shared" si="129"/>
        <v>0.01</v>
      </c>
      <c r="DF71" s="69">
        <f t="shared" si="130"/>
        <v>0.15</v>
      </c>
      <c r="DG71" s="87">
        <v>45940</v>
      </c>
      <c r="DH71" s="86">
        <v>45923</v>
      </c>
      <c r="DI71" s="226" t="s">
        <v>185</v>
      </c>
      <c r="DJ71" s="227">
        <f>VLOOKUP(DI71,DATA!$B$13:$C$19,2,0)</f>
        <v>100</v>
      </c>
      <c r="DK71" s="4">
        <f>VLOOKUP($DI$1,DATA!$B$24:$C$45,2,0)</f>
        <v>0.03</v>
      </c>
      <c r="DL71" s="4">
        <f t="shared" si="131"/>
        <v>0.03</v>
      </c>
      <c r="DM71" s="79">
        <f t="shared" si="132"/>
        <v>0.44999999999999996</v>
      </c>
      <c r="DN71" s="226" t="s">
        <v>185</v>
      </c>
      <c r="DO71" s="227">
        <f>VLOOKUP(DN71,DATA!$B$13:$C$19,2,0)</f>
        <v>100</v>
      </c>
      <c r="DP71" s="4">
        <f>VLOOKUP($DN$1,DATA!$B$24:$C$45,2,0)</f>
        <v>7.0000000000000007E-2</v>
      </c>
      <c r="DQ71" s="4">
        <f t="shared" si="133"/>
        <v>7.0000000000000007E-2</v>
      </c>
      <c r="DR71" s="69">
        <f t="shared" si="134"/>
        <v>1.05</v>
      </c>
      <c r="DS71" s="87">
        <v>45926</v>
      </c>
      <c r="DT71" s="86">
        <v>45924</v>
      </c>
      <c r="DU71" s="226" t="s">
        <v>185</v>
      </c>
      <c r="DV71" s="227">
        <f>VLOOKUP(DU71,DATA!$B$13:$C$19,2,0)</f>
        <v>100</v>
      </c>
      <c r="DW71" s="4">
        <f>VLOOKUP($DU$1,DATA!$B$24:$C$45,2,0)</f>
        <v>0.04</v>
      </c>
      <c r="DX71" s="4">
        <f t="shared" si="135"/>
        <v>0.04</v>
      </c>
      <c r="DY71" s="69">
        <f t="shared" si="136"/>
        <v>0.6</v>
      </c>
      <c r="DZ71" s="87">
        <v>45944</v>
      </c>
      <c r="EA71" s="86">
        <v>45938</v>
      </c>
      <c r="EB71" s="226" t="s">
        <v>220</v>
      </c>
      <c r="EC71" s="227">
        <f>VLOOKUP(EB71,DATA!$B$13:$C$19,2,0)</f>
        <v>50</v>
      </c>
      <c r="ED71" s="4">
        <f>VLOOKUP($EB$1,DATA!$B$24:$C$45,2,0)</f>
        <v>0.05</v>
      </c>
      <c r="EE71" s="4">
        <f t="shared" si="137"/>
        <v>2.5000000000000001E-2</v>
      </c>
      <c r="EF71" s="69">
        <f t="shared" si="138"/>
        <v>0.75</v>
      </c>
      <c r="EG71" s="87">
        <v>45950</v>
      </c>
      <c r="EH71" s="86"/>
      <c r="EI71" s="226" t="s">
        <v>185</v>
      </c>
      <c r="EJ71" s="227">
        <f>VLOOKUP(EI71,DATA!$B$13:$C$19,2,0)</f>
        <v>100</v>
      </c>
      <c r="EK71" s="4">
        <f>VLOOKUP($EI$1,DATA!$B$24:$C$45,2,0)</f>
        <v>0.1</v>
      </c>
      <c r="EL71" s="4">
        <f t="shared" si="139"/>
        <v>0.1</v>
      </c>
      <c r="EM71" s="69">
        <f t="shared" si="140"/>
        <v>1.5</v>
      </c>
      <c r="EN71" s="87">
        <v>45947</v>
      </c>
      <c r="EO71" s="86">
        <v>46003</v>
      </c>
      <c r="EP71" s="226" t="s">
        <v>220</v>
      </c>
      <c r="EQ71" s="227">
        <f>VLOOKUP(EP71,DATA!$B$13:$C$19,2,0)</f>
        <v>50</v>
      </c>
      <c r="ER71" s="4">
        <f>VLOOKUP($EP$1,DATA!$B$24:$C$45,2,0)</f>
        <v>0.03</v>
      </c>
      <c r="ES71" s="4">
        <f t="shared" si="141"/>
        <v>1.4999999999999999E-2</v>
      </c>
      <c r="ET71" s="79">
        <f t="shared" si="142"/>
        <v>0.44999999999999996</v>
      </c>
      <c r="EU71" s="244">
        <f t="shared" si="143"/>
        <v>1.2</v>
      </c>
      <c r="EV71" s="85" t="s">
        <v>187</v>
      </c>
      <c r="EW71" s="134" t="s">
        <v>197</v>
      </c>
      <c r="EX71" s="6"/>
    </row>
    <row r="72" spans="1:154" x14ac:dyDescent="0.3">
      <c r="A72" s="3" t="s">
        <v>180</v>
      </c>
      <c r="B72" s="3" t="s">
        <v>189</v>
      </c>
      <c r="C72" s="3" t="s">
        <v>304</v>
      </c>
      <c r="D72" s="85" t="s">
        <v>308</v>
      </c>
      <c r="E72" s="85" t="s">
        <v>306</v>
      </c>
      <c r="F72" s="3">
        <v>3336</v>
      </c>
      <c r="G72" s="3" t="s">
        <v>350</v>
      </c>
      <c r="H72" s="3">
        <v>8</v>
      </c>
      <c r="I72" s="3"/>
      <c r="J72" s="229">
        <f>BaseDeDatos[[#This Row],[Budget CS]]+BaseDeDatos[[#This Row],[Change Orders Budget]]</f>
        <v>8</v>
      </c>
      <c r="K72" s="92">
        <f>IFERROR(VLOOKUP(G72, DATA!H:I, 2, FALSE), 0)+BaseDeDatos[[#This Row],[Labor Spend on Design errors]]+BaseDeDatos[[#This Row],[Labor
Spent Customer changes]]</f>
        <v>8</v>
      </c>
      <c r="L72" s="92">
        <v>1</v>
      </c>
      <c r="M72" s="92"/>
      <c r="N72" s="232">
        <f t="shared" si="96"/>
        <v>0.96000000000000008</v>
      </c>
      <c r="O72" s="238">
        <f t="shared" si="97"/>
        <v>8</v>
      </c>
      <c r="P72" s="39">
        <v>26.73</v>
      </c>
      <c r="Q72" s="89">
        <f>BaseDeDatos[[#This Row],[Budget]]*BaseDeDatos[[#This Row],[Labor Rate from CS]]</f>
        <v>213.84</v>
      </c>
      <c r="R72" s="89">
        <f>BaseDeDatos[[#This Row],[Labor
Spent]]*BaseDeDatos[[#This Row],[Labor Rate from CS]]</f>
        <v>213.84</v>
      </c>
      <c r="S72" s="93">
        <f t="shared" si="98"/>
        <v>1</v>
      </c>
      <c r="T72" s="98">
        <v>79013</v>
      </c>
      <c r="U72" s="98">
        <v>3683.83</v>
      </c>
      <c r="V72" s="98">
        <v>2234.61</v>
      </c>
      <c r="W72" s="98">
        <v>16865.91</v>
      </c>
      <c r="X72" s="98">
        <v>16865.91</v>
      </c>
      <c r="Y72" s="98"/>
      <c r="Z72" s="98"/>
      <c r="AA72" s="98">
        <v>65712.100000000006</v>
      </c>
      <c r="AB72" s="89">
        <f t="shared" si="99"/>
        <v>48632.350000000006</v>
      </c>
      <c r="AC72" s="120">
        <f>SUM(AB72,X72,R72,BaseDeDatos[[#This Row],[Additionals cost]])</f>
        <v>67946.710000000006</v>
      </c>
      <c r="AD72" s="117">
        <v>0.16833812157493064</v>
      </c>
      <c r="AE72" s="117">
        <v>0.1678</v>
      </c>
      <c r="AF72" s="240">
        <f t="shared" si="100"/>
        <v>0.16833812157493064</v>
      </c>
      <c r="AG72" s="226">
        <v>45867</v>
      </c>
      <c r="AH72" s="226" t="s">
        <v>185</v>
      </c>
      <c r="AI72" s="227">
        <f>VLOOKUP(AH72,DATA!$B$13:$C$19,2,0)</f>
        <v>100</v>
      </c>
      <c r="AJ72" s="4">
        <f>VLOOKUP($AH$1,DATA!$B$24:$C$45,2,0)</f>
        <v>0.05</v>
      </c>
      <c r="AK72" s="69">
        <f>BaseDeDatos[[#This Row],[Read info
Status]]*(AJ72)/100</f>
        <v>0.05</v>
      </c>
      <c r="AL72" s="79">
        <f t="shared" si="101"/>
        <v>0.4</v>
      </c>
      <c r="AM72" s="226" t="s">
        <v>185</v>
      </c>
      <c r="AN72" s="227">
        <f>VLOOKUP(AM72,DATA!$B$13:$C$19,2,0)</f>
        <v>100</v>
      </c>
      <c r="AO72" s="4">
        <f>VLOOKUP($AM$1,DATA!$B$24:$C$45,2,0)</f>
        <v>0.05</v>
      </c>
      <c r="AP72" s="4">
        <f t="shared" si="102"/>
        <v>0.05</v>
      </c>
      <c r="AQ72" s="69">
        <f t="shared" si="103"/>
        <v>0.4</v>
      </c>
      <c r="AR72" s="5">
        <v>45873</v>
      </c>
      <c r="AS72" s="95">
        <v>45882</v>
      </c>
      <c r="AT72" s="226" t="s">
        <v>185</v>
      </c>
      <c r="AU72" s="227">
        <f>VLOOKUP(AT72,DATA!$B$13:$C$19,2,0)</f>
        <v>100</v>
      </c>
      <c r="AV72" s="4">
        <f>VLOOKUP($AT$1,DATA!$B$24:$C$45,2,0)</f>
        <v>0.01</v>
      </c>
      <c r="AW72" s="4">
        <f t="shared" si="104"/>
        <v>0.01</v>
      </c>
      <c r="AX72" s="69">
        <f t="shared" si="105"/>
        <v>0.08</v>
      </c>
      <c r="AY72" s="5">
        <v>45905</v>
      </c>
      <c r="AZ72" s="95">
        <v>45912</v>
      </c>
      <c r="BA72" s="226" t="s">
        <v>185</v>
      </c>
      <c r="BB72" s="227">
        <f>VLOOKUP(BA72,DATA!$B$13:$C$19,2,0)</f>
        <v>100</v>
      </c>
      <c r="BC72" s="4">
        <f>VLOOKUP($BA$1,DATA!$B$24:$C$45,2,0)</f>
        <v>0.01</v>
      </c>
      <c r="BD72" s="4">
        <f t="shared" si="106"/>
        <v>0.01</v>
      </c>
      <c r="BE72" s="79">
        <f t="shared" si="107"/>
        <v>0.08</v>
      </c>
      <c r="BF72" s="226" t="s">
        <v>185</v>
      </c>
      <c r="BG72" s="227">
        <f>VLOOKUP(BF72,DATA!$B$13:$C$19,2,0)</f>
        <v>100</v>
      </c>
      <c r="BH72" s="4">
        <f>VLOOKUP($BF$1,DATA!$B$24:$C$45,2,0)</f>
        <v>0.08</v>
      </c>
      <c r="BI72" s="4">
        <f t="shared" si="108"/>
        <v>0.08</v>
      </c>
      <c r="BJ72" s="79">
        <f t="shared" si="109"/>
        <v>0.64</v>
      </c>
      <c r="BK72" s="226" t="s">
        <v>185</v>
      </c>
      <c r="BL72" s="227">
        <f>VLOOKUP(BK72,DATA!$B$13:$C$19,2,0)</f>
        <v>100</v>
      </c>
      <c r="BM72" s="4">
        <f>VLOOKUP($BK$1,DATA!$B$24:$C$45,2,0)</f>
        <v>0.18</v>
      </c>
      <c r="BN72" s="4">
        <f t="shared" si="110"/>
        <v>0.18</v>
      </c>
      <c r="BO72" s="79">
        <f t="shared" si="111"/>
        <v>1.44</v>
      </c>
      <c r="BP72" s="226" t="s">
        <v>185</v>
      </c>
      <c r="BQ72" s="227">
        <f>VLOOKUP(BP72,DATA!$B$13:$C$19,2,0)</f>
        <v>100</v>
      </c>
      <c r="BR72" s="4">
        <f>VLOOKUP($BP$1,DATA!$B$24:$C$45,2,0)</f>
        <v>0.28000000000000003</v>
      </c>
      <c r="BS72" s="4">
        <f t="shared" si="112"/>
        <v>0.28000000000000003</v>
      </c>
      <c r="BT72" s="79">
        <f t="shared" si="113"/>
        <v>2.2400000000000002</v>
      </c>
      <c r="BU72" s="226" t="s">
        <v>185</v>
      </c>
      <c r="BV72" s="227">
        <f>VLOOKUP(BU72,DATA!$B$13:$C$19,2,0)</f>
        <v>100</v>
      </c>
      <c r="BW72" s="4">
        <f>VLOOKUP($BU$1,DATA!$B$24:$C$45,2,0)</f>
        <v>0.15</v>
      </c>
      <c r="BX72" s="4">
        <f t="shared" si="114"/>
        <v>0.15</v>
      </c>
      <c r="BY72" s="79">
        <f t="shared" si="115"/>
        <v>1.2</v>
      </c>
      <c r="BZ72" s="226" t="s">
        <v>185</v>
      </c>
      <c r="CA72" s="227">
        <f>VLOOKUP(BZ72,DATA!$B$13:$C$19,2,0)</f>
        <v>100</v>
      </c>
      <c r="CB72" s="4">
        <f>VLOOKUP($BZ$1,DATA!$B$24:$C$45,2,0)</f>
        <v>0.16</v>
      </c>
      <c r="CC72" s="4">
        <f t="shared" si="116"/>
        <v>0.16</v>
      </c>
      <c r="CD72" s="79">
        <f t="shared" si="117"/>
        <v>1.28</v>
      </c>
      <c r="CE72" s="226" t="s">
        <v>185</v>
      </c>
      <c r="CF72" s="227">
        <f>VLOOKUP(CE72,DATA!$B$13:$C$19,2,0)</f>
        <v>100</v>
      </c>
      <c r="CG72" s="4">
        <f>VLOOKUP($CE$1,DATA!$B$24:$C$45,2,0)</f>
        <v>0.13</v>
      </c>
      <c r="CH72" s="4">
        <f t="shared" si="118"/>
        <v>0.13</v>
      </c>
      <c r="CI72" s="79">
        <f t="shared" si="119"/>
        <v>1.04</v>
      </c>
      <c r="CJ72" s="226" t="s">
        <v>185</v>
      </c>
      <c r="CK72" s="227">
        <f>VLOOKUP(CJ72,DATA!$B$13:$C$19,2,0)</f>
        <v>100</v>
      </c>
      <c r="CL72" s="4">
        <f>VLOOKUP($CJ$1,DATA!$B$24:$C$45,2,0)</f>
        <v>0.01</v>
      </c>
      <c r="CM72" s="4">
        <f t="shared" si="120"/>
        <v>0.01</v>
      </c>
      <c r="CN72" s="79">
        <f t="shared" si="121"/>
        <v>0.08</v>
      </c>
      <c r="CO72" s="83">
        <f t="shared" si="122"/>
        <v>1</v>
      </c>
      <c r="CP72" s="4">
        <f>VLOOKUP($CO$1,DATA!$B$24:$C$45,2,0)</f>
        <v>0.54</v>
      </c>
      <c r="CQ72" s="81">
        <f t="shared" si="123"/>
        <v>0.54</v>
      </c>
      <c r="CR72" s="80">
        <f t="shared" si="124"/>
        <v>4.32</v>
      </c>
      <c r="CS72" s="129">
        <f t="shared" si="125"/>
        <v>4.32</v>
      </c>
      <c r="CT72" s="242">
        <f t="shared" si="126"/>
        <v>0</v>
      </c>
      <c r="CU72" s="226" t="s">
        <v>185</v>
      </c>
      <c r="CV72" s="227">
        <f>VLOOKUP(CU72,DATA!$B$13:$C$19,2,0)</f>
        <v>100</v>
      </c>
      <c r="CW72" s="4">
        <f>VLOOKUP($CU$1,DATA!$B$24:$C$45,2,0)</f>
        <v>0.02</v>
      </c>
      <c r="CX72" s="4">
        <f t="shared" si="127"/>
        <v>0.02</v>
      </c>
      <c r="CY72" s="69">
        <f t="shared" si="128"/>
        <v>0.16</v>
      </c>
      <c r="CZ72" s="87">
        <v>45908</v>
      </c>
      <c r="DA72" s="86">
        <v>45922</v>
      </c>
      <c r="DB72" s="226" t="s">
        <v>185</v>
      </c>
      <c r="DC72" s="227">
        <f>VLOOKUP(DB72,DATA!$B$13:$C$19,2,0)</f>
        <v>100</v>
      </c>
      <c r="DD72" s="4">
        <f>VLOOKUP($DB$1,DATA!$B$24:$C$45,2,0)</f>
        <v>0.01</v>
      </c>
      <c r="DE72" s="4">
        <f t="shared" si="129"/>
        <v>0.01</v>
      </c>
      <c r="DF72" s="69">
        <f t="shared" si="130"/>
        <v>0.08</v>
      </c>
      <c r="DG72" s="87">
        <v>45940</v>
      </c>
      <c r="DH72" s="86">
        <v>45923</v>
      </c>
      <c r="DI72" s="226" t="s">
        <v>185</v>
      </c>
      <c r="DJ72" s="227">
        <f>VLOOKUP(DI72,DATA!$B$13:$C$19,2,0)</f>
        <v>100</v>
      </c>
      <c r="DK72" s="4">
        <f>VLOOKUP($DI$1,DATA!$B$24:$C$45,2,0)</f>
        <v>0.03</v>
      </c>
      <c r="DL72" s="4">
        <f t="shared" si="131"/>
        <v>0.03</v>
      </c>
      <c r="DM72" s="79">
        <f t="shared" si="132"/>
        <v>0.24</v>
      </c>
      <c r="DN72" s="226" t="s">
        <v>185</v>
      </c>
      <c r="DO72" s="227">
        <f>VLOOKUP(DN72,DATA!$B$13:$C$19,2,0)</f>
        <v>100</v>
      </c>
      <c r="DP72" s="4">
        <f>VLOOKUP($DN$1,DATA!$B$24:$C$45,2,0)</f>
        <v>7.0000000000000007E-2</v>
      </c>
      <c r="DQ72" s="4">
        <f t="shared" si="133"/>
        <v>7.0000000000000007E-2</v>
      </c>
      <c r="DR72" s="69">
        <f t="shared" si="134"/>
        <v>0.56000000000000005</v>
      </c>
      <c r="DS72" s="87">
        <v>45926</v>
      </c>
      <c r="DT72" s="86">
        <v>45924</v>
      </c>
      <c r="DU72" s="226" t="s">
        <v>185</v>
      </c>
      <c r="DV72" s="227">
        <f>VLOOKUP(DU72,DATA!$B$13:$C$19,2,0)</f>
        <v>100</v>
      </c>
      <c r="DW72" s="4">
        <f>VLOOKUP($DU$1,DATA!$B$24:$C$45,2,0)</f>
        <v>0.04</v>
      </c>
      <c r="DX72" s="4">
        <f t="shared" si="135"/>
        <v>0.04</v>
      </c>
      <c r="DY72" s="69">
        <f t="shared" si="136"/>
        <v>0.32</v>
      </c>
      <c r="DZ72" s="87">
        <v>45944</v>
      </c>
      <c r="EA72" s="86">
        <v>45938</v>
      </c>
      <c r="EB72" s="226" t="s">
        <v>220</v>
      </c>
      <c r="EC72" s="227">
        <f>VLOOKUP(EB72,DATA!$B$13:$C$19,2,0)</f>
        <v>50</v>
      </c>
      <c r="ED72" s="4">
        <f>VLOOKUP($EB$1,DATA!$B$24:$C$45,2,0)</f>
        <v>0.05</v>
      </c>
      <c r="EE72" s="4">
        <f t="shared" si="137"/>
        <v>2.5000000000000001E-2</v>
      </c>
      <c r="EF72" s="69">
        <f t="shared" si="138"/>
        <v>0.4</v>
      </c>
      <c r="EG72" s="87">
        <v>45950</v>
      </c>
      <c r="EH72" s="86"/>
      <c r="EI72" s="226" t="s">
        <v>185</v>
      </c>
      <c r="EJ72" s="227">
        <f>VLOOKUP(EI72,DATA!$B$13:$C$19,2,0)</f>
        <v>100</v>
      </c>
      <c r="EK72" s="4">
        <f>VLOOKUP($EI$1,DATA!$B$24:$C$45,2,0)</f>
        <v>0.1</v>
      </c>
      <c r="EL72" s="4">
        <f t="shared" si="139"/>
        <v>0.1</v>
      </c>
      <c r="EM72" s="69">
        <f t="shared" si="140"/>
        <v>0.8</v>
      </c>
      <c r="EN72" s="87">
        <v>45947</v>
      </c>
      <c r="EO72" s="86">
        <v>46003</v>
      </c>
      <c r="EP72" s="226" t="s">
        <v>220</v>
      </c>
      <c r="EQ72" s="227">
        <f>VLOOKUP(EP72,DATA!$B$13:$C$19,2,0)</f>
        <v>50</v>
      </c>
      <c r="ER72" s="4">
        <f>VLOOKUP($EP$1,DATA!$B$24:$C$45,2,0)</f>
        <v>0.03</v>
      </c>
      <c r="ES72" s="4">
        <f t="shared" si="141"/>
        <v>1.4999999999999999E-2</v>
      </c>
      <c r="ET72" s="79">
        <f t="shared" si="142"/>
        <v>0.24</v>
      </c>
      <c r="EU72" s="244">
        <f t="shared" si="143"/>
        <v>0.64</v>
      </c>
      <c r="EV72" s="85" t="s">
        <v>187</v>
      </c>
      <c r="EW72" s="134" t="s">
        <v>187</v>
      </c>
      <c r="EX72" s="6"/>
    </row>
    <row r="73" spans="1:154" x14ac:dyDescent="0.3">
      <c r="A73" s="3" t="s">
        <v>180</v>
      </c>
      <c r="B73" s="3" t="s">
        <v>189</v>
      </c>
      <c r="C73" s="3" t="s">
        <v>304</v>
      </c>
      <c r="D73" s="85" t="s">
        <v>312</v>
      </c>
      <c r="E73" s="85" t="s">
        <v>306</v>
      </c>
      <c r="F73" s="3">
        <v>3336</v>
      </c>
      <c r="G73" s="3" t="s">
        <v>351</v>
      </c>
      <c r="H73" s="3">
        <v>8</v>
      </c>
      <c r="I73" s="3"/>
      <c r="J73" s="229">
        <f>BaseDeDatos[[#This Row],[Budget CS]]+BaseDeDatos[[#This Row],[Change Orders Budget]]</f>
        <v>8</v>
      </c>
      <c r="K73" s="92">
        <f>IFERROR(VLOOKUP(G73, DATA!H:I, 2, FALSE), 0)+BaseDeDatos[[#This Row],[Labor Spend on Design errors]]+BaseDeDatos[[#This Row],[Labor
Spent Customer changes]]</f>
        <v>6.5</v>
      </c>
      <c r="L73" s="92">
        <v>1</v>
      </c>
      <c r="M73" s="92">
        <v>1</v>
      </c>
      <c r="N73" s="232">
        <f t="shared" si="96"/>
        <v>0.96000000000000008</v>
      </c>
      <c r="O73" s="238">
        <f t="shared" si="97"/>
        <v>6.5</v>
      </c>
      <c r="P73" s="39">
        <v>26.73</v>
      </c>
      <c r="Q73" s="89">
        <f>BaseDeDatos[[#This Row],[Budget]]*BaseDeDatos[[#This Row],[Labor Rate from CS]]</f>
        <v>213.84</v>
      </c>
      <c r="R73" s="89">
        <f>BaseDeDatos[[#This Row],[Labor
Spent]]*BaseDeDatos[[#This Row],[Labor Rate from CS]]</f>
        <v>173.745</v>
      </c>
      <c r="S73" s="93">
        <f t="shared" si="98"/>
        <v>0.8125</v>
      </c>
      <c r="T73" s="98">
        <v>44404</v>
      </c>
      <c r="U73" s="98">
        <v>3683.83</v>
      </c>
      <c r="V73" s="98">
        <v>2234.61</v>
      </c>
      <c r="W73" s="98">
        <v>14965.91</v>
      </c>
      <c r="X73" s="98">
        <v>14965.91</v>
      </c>
      <c r="Y73" s="98"/>
      <c r="Z73" s="98"/>
      <c r="AA73" s="98">
        <v>36924.21</v>
      </c>
      <c r="AB73" s="89">
        <f t="shared" si="99"/>
        <v>21744.46</v>
      </c>
      <c r="AC73" s="120">
        <f>SUM(AB73,X73,R73,BaseDeDatos[[#This Row],[Additionals cost]])</f>
        <v>39118.724999999999</v>
      </c>
      <c r="AD73" s="117">
        <v>0.1684485631925052</v>
      </c>
      <c r="AE73" s="117">
        <v>0.1678</v>
      </c>
      <c r="AF73" s="240">
        <f t="shared" si="100"/>
        <v>0.16935152238537074</v>
      </c>
      <c r="AG73" s="226">
        <v>45867</v>
      </c>
      <c r="AH73" s="226" t="s">
        <v>185</v>
      </c>
      <c r="AI73" s="227">
        <f>VLOOKUP(AH73,DATA!$B$13:$C$19,2,0)</f>
        <v>100</v>
      </c>
      <c r="AJ73" s="4">
        <f>VLOOKUP($AH$1,DATA!$B$24:$C$45,2,0)</f>
        <v>0.05</v>
      </c>
      <c r="AK73" s="69">
        <f>BaseDeDatos[[#This Row],[Read info
Status]]*(AJ73)/100</f>
        <v>0.05</v>
      </c>
      <c r="AL73" s="79">
        <f t="shared" si="101"/>
        <v>0.4</v>
      </c>
      <c r="AM73" s="226" t="s">
        <v>185</v>
      </c>
      <c r="AN73" s="227">
        <f>VLOOKUP(AM73,DATA!$B$13:$C$19,2,0)</f>
        <v>100</v>
      </c>
      <c r="AO73" s="4">
        <f>VLOOKUP($AM$1,DATA!$B$24:$C$45,2,0)</f>
        <v>0.05</v>
      </c>
      <c r="AP73" s="4">
        <f t="shared" si="102"/>
        <v>0.05</v>
      </c>
      <c r="AQ73" s="69">
        <f t="shared" si="103"/>
        <v>0.4</v>
      </c>
      <c r="AR73" s="5">
        <v>45873</v>
      </c>
      <c r="AS73" s="95">
        <v>45882</v>
      </c>
      <c r="AT73" s="226" t="s">
        <v>185</v>
      </c>
      <c r="AU73" s="227">
        <f>VLOOKUP(AT73,DATA!$B$13:$C$19,2,0)</f>
        <v>100</v>
      </c>
      <c r="AV73" s="4">
        <f>VLOOKUP($AT$1,DATA!$B$24:$C$45,2,0)</f>
        <v>0.01</v>
      </c>
      <c r="AW73" s="4">
        <f t="shared" si="104"/>
        <v>0.01</v>
      </c>
      <c r="AX73" s="69">
        <f t="shared" si="105"/>
        <v>0.08</v>
      </c>
      <c r="AY73" s="5">
        <v>45905</v>
      </c>
      <c r="AZ73" s="95">
        <v>45912</v>
      </c>
      <c r="BA73" s="226" t="s">
        <v>185</v>
      </c>
      <c r="BB73" s="227">
        <f>VLOOKUP(BA73,DATA!$B$13:$C$19,2,0)</f>
        <v>100</v>
      </c>
      <c r="BC73" s="4">
        <f>VLOOKUP($BA$1,DATA!$B$24:$C$45,2,0)</f>
        <v>0.01</v>
      </c>
      <c r="BD73" s="4">
        <f t="shared" si="106"/>
        <v>0.01</v>
      </c>
      <c r="BE73" s="79">
        <f t="shared" si="107"/>
        <v>0.08</v>
      </c>
      <c r="BF73" s="226" t="s">
        <v>185</v>
      </c>
      <c r="BG73" s="227">
        <f>VLOOKUP(BF73,DATA!$B$13:$C$19,2,0)</f>
        <v>100</v>
      </c>
      <c r="BH73" s="4">
        <f>VLOOKUP($BF$1,DATA!$B$24:$C$45,2,0)</f>
        <v>0.08</v>
      </c>
      <c r="BI73" s="4">
        <f t="shared" si="108"/>
        <v>0.08</v>
      </c>
      <c r="BJ73" s="79">
        <f t="shared" si="109"/>
        <v>0.64</v>
      </c>
      <c r="BK73" s="226" t="s">
        <v>185</v>
      </c>
      <c r="BL73" s="227">
        <f>VLOOKUP(BK73,DATA!$B$13:$C$19,2,0)</f>
        <v>100</v>
      </c>
      <c r="BM73" s="4">
        <f>VLOOKUP($BK$1,DATA!$B$24:$C$45,2,0)</f>
        <v>0.18</v>
      </c>
      <c r="BN73" s="4">
        <f t="shared" si="110"/>
        <v>0.18</v>
      </c>
      <c r="BO73" s="79">
        <f t="shared" si="111"/>
        <v>1.44</v>
      </c>
      <c r="BP73" s="226" t="s">
        <v>185</v>
      </c>
      <c r="BQ73" s="227">
        <f>VLOOKUP(BP73,DATA!$B$13:$C$19,2,0)</f>
        <v>100</v>
      </c>
      <c r="BR73" s="4">
        <f>VLOOKUP($BP$1,DATA!$B$24:$C$45,2,0)</f>
        <v>0.28000000000000003</v>
      </c>
      <c r="BS73" s="4">
        <f t="shared" si="112"/>
        <v>0.28000000000000003</v>
      </c>
      <c r="BT73" s="79">
        <f t="shared" si="113"/>
        <v>2.2400000000000002</v>
      </c>
      <c r="BU73" s="226" t="s">
        <v>185</v>
      </c>
      <c r="BV73" s="227">
        <f>VLOOKUP(BU73,DATA!$B$13:$C$19,2,0)</f>
        <v>100</v>
      </c>
      <c r="BW73" s="4">
        <f>VLOOKUP($BU$1,DATA!$B$24:$C$45,2,0)</f>
        <v>0.15</v>
      </c>
      <c r="BX73" s="4">
        <f t="shared" si="114"/>
        <v>0.15</v>
      </c>
      <c r="BY73" s="79">
        <f t="shared" si="115"/>
        <v>1.2</v>
      </c>
      <c r="BZ73" s="226" t="s">
        <v>185</v>
      </c>
      <c r="CA73" s="227">
        <f>VLOOKUP(BZ73,DATA!$B$13:$C$19,2,0)</f>
        <v>100</v>
      </c>
      <c r="CB73" s="4">
        <f>VLOOKUP($BZ$1,DATA!$B$24:$C$45,2,0)</f>
        <v>0.16</v>
      </c>
      <c r="CC73" s="4">
        <f t="shared" si="116"/>
        <v>0.16</v>
      </c>
      <c r="CD73" s="79">
        <f t="shared" si="117"/>
        <v>1.28</v>
      </c>
      <c r="CE73" s="226" t="s">
        <v>185</v>
      </c>
      <c r="CF73" s="227">
        <f>VLOOKUP(CE73,DATA!$B$13:$C$19,2,0)</f>
        <v>100</v>
      </c>
      <c r="CG73" s="4">
        <f>VLOOKUP($CE$1,DATA!$B$24:$C$45,2,0)</f>
        <v>0.13</v>
      </c>
      <c r="CH73" s="4">
        <f t="shared" si="118"/>
        <v>0.13</v>
      </c>
      <c r="CI73" s="79">
        <f t="shared" si="119"/>
        <v>1.04</v>
      </c>
      <c r="CJ73" s="226" t="s">
        <v>185</v>
      </c>
      <c r="CK73" s="227">
        <f>VLOOKUP(CJ73,DATA!$B$13:$C$19,2,0)</f>
        <v>100</v>
      </c>
      <c r="CL73" s="4">
        <f>VLOOKUP($CJ$1,DATA!$B$24:$C$45,2,0)</f>
        <v>0.01</v>
      </c>
      <c r="CM73" s="4">
        <f t="shared" si="120"/>
        <v>0.01</v>
      </c>
      <c r="CN73" s="79">
        <f t="shared" si="121"/>
        <v>0.08</v>
      </c>
      <c r="CO73" s="83">
        <f t="shared" si="122"/>
        <v>1</v>
      </c>
      <c r="CP73" s="4">
        <f>VLOOKUP($CO$1,DATA!$B$24:$C$45,2,0)</f>
        <v>0.54</v>
      </c>
      <c r="CQ73" s="81">
        <f t="shared" si="123"/>
        <v>0.54</v>
      </c>
      <c r="CR73" s="80">
        <f t="shared" si="124"/>
        <v>4.32</v>
      </c>
      <c r="CS73" s="129">
        <f t="shared" si="125"/>
        <v>4.32</v>
      </c>
      <c r="CT73" s="242">
        <f t="shared" si="126"/>
        <v>0</v>
      </c>
      <c r="CU73" s="226" t="s">
        <v>185</v>
      </c>
      <c r="CV73" s="227">
        <f>VLOOKUP(CU73,DATA!$B$13:$C$19,2,0)</f>
        <v>100</v>
      </c>
      <c r="CW73" s="4">
        <f>VLOOKUP($CU$1,DATA!$B$24:$C$45,2,0)</f>
        <v>0.02</v>
      </c>
      <c r="CX73" s="4">
        <f t="shared" si="127"/>
        <v>0.02</v>
      </c>
      <c r="CY73" s="69">
        <f t="shared" si="128"/>
        <v>0.16</v>
      </c>
      <c r="CZ73" s="87">
        <v>45908</v>
      </c>
      <c r="DA73" s="86">
        <v>45922</v>
      </c>
      <c r="DB73" s="226" t="s">
        <v>185</v>
      </c>
      <c r="DC73" s="227">
        <f>VLOOKUP(DB73,DATA!$B$13:$C$19,2,0)</f>
        <v>100</v>
      </c>
      <c r="DD73" s="4">
        <f>VLOOKUP($DB$1,DATA!$B$24:$C$45,2,0)</f>
        <v>0.01</v>
      </c>
      <c r="DE73" s="4">
        <f t="shared" si="129"/>
        <v>0.01</v>
      </c>
      <c r="DF73" s="69">
        <f t="shared" si="130"/>
        <v>0.08</v>
      </c>
      <c r="DG73" s="87">
        <v>45940</v>
      </c>
      <c r="DH73" s="86">
        <v>45923</v>
      </c>
      <c r="DI73" s="226" t="s">
        <v>185</v>
      </c>
      <c r="DJ73" s="227">
        <f>VLOOKUP(DI73,DATA!$B$13:$C$19,2,0)</f>
        <v>100</v>
      </c>
      <c r="DK73" s="4">
        <f>VLOOKUP($DI$1,DATA!$B$24:$C$45,2,0)</f>
        <v>0.03</v>
      </c>
      <c r="DL73" s="4">
        <f t="shared" si="131"/>
        <v>0.03</v>
      </c>
      <c r="DM73" s="79">
        <f t="shared" si="132"/>
        <v>0.24</v>
      </c>
      <c r="DN73" s="226" t="s">
        <v>185</v>
      </c>
      <c r="DO73" s="227">
        <f>VLOOKUP(DN73,DATA!$B$13:$C$19,2,0)</f>
        <v>100</v>
      </c>
      <c r="DP73" s="4">
        <f>VLOOKUP($DN$1,DATA!$B$24:$C$45,2,0)</f>
        <v>7.0000000000000007E-2</v>
      </c>
      <c r="DQ73" s="4">
        <f t="shared" si="133"/>
        <v>7.0000000000000007E-2</v>
      </c>
      <c r="DR73" s="69">
        <f t="shared" si="134"/>
        <v>0.56000000000000005</v>
      </c>
      <c r="DS73" s="87">
        <v>45926</v>
      </c>
      <c r="DT73" s="86">
        <v>45924</v>
      </c>
      <c r="DU73" s="226" t="s">
        <v>185</v>
      </c>
      <c r="DV73" s="227">
        <f>VLOOKUP(DU73,DATA!$B$13:$C$19,2,0)</f>
        <v>100</v>
      </c>
      <c r="DW73" s="4">
        <f>VLOOKUP($DU$1,DATA!$B$24:$C$45,2,0)</f>
        <v>0.04</v>
      </c>
      <c r="DX73" s="4">
        <f t="shared" si="135"/>
        <v>0.04</v>
      </c>
      <c r="DY73" s="69">
        <f t="shared" si="136"/>
        <v>0.32</v>
      </c>
      <c r="DZ73" s="87">
        <v>45944</v>
      </c>
      <c r="EA73" s="86">
        <v>45938</v>
      </c>
      <c r="EB73" s="226" t="s">
        <v>220</v>
      </c>
      <c r="EC73" s="227">
        <f>VLOOKUP(EB73,DATA!$B$13:$C$19,2,0)</f>
        <v>50</v>
      </c>
      <c r="ED73" s="4">
        <f>VLOOKUP($EB$1,DATA!$B$24:$C$45,2,0)</f>
        <v>0.05</v>
      </c>
      <c r="EE73" s="4">
        <f t="shared" si="137"/>
        <v>2.5000000000000001E-2</v>
      </c>
      <c r="EF73" s="69">
        <f t="shared" si="138"/>
        <v>0.4</v>
      </c>
      <c r="EG73" s="87">
        <v>45950</v>
      </c>
      <c r="EH73" s="86"/>
      <c r="EI73" s="226" t="s">
        <v>185</v>
      </c>
      <c r="EJ73" s="227">
        <f>VLOOKUP(EI73,DATA!$B$13:$C$19,2,0)</f>
        <v>100</v>
      </c>
      <c r="EK73" s="4">
        <f>VLOOKUP($EI$1,DATA!$B$24:$C$45,2,0)</f>
        <v>0.1</v>
      </c>
      <c r="EL73" s="4">
        <f t="shared" si="139"/>
        <v>0.1</v>
      </c>
      <c r="EM73" s="69">
        <f t="shared" si="140"/>
        <v>0.8</v>
      </c>
      <c r="EN73" s="87">
        <v>45947</v>
      </c>
      <c r="EO73" s="86">
        <v>46003</v>
      </c>
      <c r="EP73" s="226" t="s">
        <v>220</v>
      </c>
      <c r="EQ73" s="227">
        <f>VLOOKUP(EP73,DATA!$B$13:$C$19,2,0)</f>
        <v>50</v>
      </c>
      <c r="ER73" s="4">
        <f>VLOOKUP($EP$1,DATA!$B$24:$C$45,2,0)</f>
        <v>0.03</v>
      </c>
      <c r="ES73" s="4">
        <f t="shared" si="141"/>
        <v>1.4999999999999999E-2</v>
      </c>
      <c r="ET73" s="79">
        <f t="shared" si="142"/>
        <v>0.24</v>
      </c>
      <c r="EU73" s="244">
        <f t="shared" si="143"/>
        <v>0.64</v>
      </c>
      <c r="EV73" s="85" t="s">
        <v>187</v>
      </c>
      <c r="EW73" s="134" t="s">
        <v>197</v>
      </c>
      <c r="EX73" s="6"/>
    </row>
    <row r="74" spans="1:154" x14ac:dyDescent="0.3">
      <c r="A74" s="3" t="s">
        <v>180</v>
      </c>
      <c r="B74" s="3" t="s">
        <v>189</v>
      </c>
      <c r="C74" s="3" t="s">
        <v>352</v>
      </c>
      <c r="D74" s="85" t="s">
        <v>353</v>
      </c>
      <c r="E74" s="85" t="s">
        <v>354</v>
      </c>
      <c r="F74" s="3">
        <v>3346</v>
      </c>
      <c r="G74" s="3" t="s">
        <v>355</v>
      </c>
      <c r="H74" s="3">
        <v>50</v>
      </c>
      <c r="I74" s="3"/>
      <c r="J74" s="229">
        <f>BaseDeDatos[[#This Row],[Budget CS]]+BaseDeDatos[[#This Row],[Change Orders Budget]]</f>
        <v>50</v>
      </c>
      <c r="K74" s="92">
        <f>IFERROR(VLOOKUP(G74, DATA!H:I, 2, FALSE), 0)+BaseDeDatos[[#This Row],[Labor Spend on Design errors]]+BaseDeDatos[[#This Row],[Labor
Spent Customer changes]]</f>
        <v>40.5</v>
      </c>
      <c r="L74" s="92"/>
      <c r="M74" s="92">
        <v>0</v>
      </c>
      <c r="N74" s="232">
        <f t="shared" si="96"/>
        <v>0.91</v>
      </c>
      <c r="O74" s="238">
        <f t="shared" si="97"/>
        <v>40.5</v>
      </c>
      <c r="P74" s="39">
        <v>26.73</v>
      </c>
      <c r="Q74" s="89">
        <f>BaseDeDatos[[#This Row],[Budget]]*BaseDeDatos[[#This Row],[Labor Rate from CS]]</f>
        <v>1336.5</v>
      </c>
      <c r="R74" s="94">
        <f>BaseDeDatos[[#This Row],[Labor
Spent]]*BaseDeDatos[[#This Row],[Labor Rate from CS]]</f>
        <v>1082.5650000000001</v>
      </c>
      <c r="S74" s="42">
        <f t="shared" si="98"/>
        <v>0.81</v>
      </c>
      <c r="T74" s="98">
        <v>77665</v>
      </c>
      <c r="U74" s="98">
        <v>3984</v>
      </c>
      <c r="V74" s="98">
        <v>3165.54</v>
      </c>
      <c r="W74" s="98">
        <v>23968.54</v>
      </c>
      <c r="X74" s="98">
        <v>23968.54</v>
      </c>
      <c r="Y74" s="98"/>
      <c r="Z74" s="98"/>
      <c r="AA74" s="98">
        <v>61748.73</v>
      </c>
      <c r="AB74" s="89">
        <f t="shared" si="99"/>
        <v>36443.69</v>
      </c>
      <c r="AC74" s="120">
        <f>SUM(AB74,X74,R74,BaseDeDatos[[#This Row],[Additionals cost]])</f>
        <v>64660.335000000006</v>
      </c>
      <c r="AD74" s="117">
        <v>0.2049</v>
      </c>
      <c r="AE74" s="117">
        <v>0.20499999999999999</v>
      </c>
      <c r="AF74" s="240">
        <f t="shared" si="100"/>
        <v>0.2082045322861005</v>
      </c>
      <c r="AG74" s="226">
        <v>45889</v>
      </c>
      <c r="AH74" s="226" t="s">
        <v>185</v>
      </c>
      <c r="AI74" s="227">
        <f>VLOOKUP(AH74,DATA!$B$13:$C$19,2,0)</f>
        <v>100</v>
      </c>
      <c r="AJ74" s="4">
        <f>VLOOKUP($AH$1,DATA!$B$24:$C$45,2,0)</f>
        <v>0.05</v>
      </c>
      <c r="AK74" s="3">
        <f>BaseDeDatos[[#This Row],[Read info
Status]]*(AJ74)/100</f>
        <v>0.05</v>
      </c>
      <c r="AL74" s="84">
        <f t="shared" si="101"/>
        <v>2.5</v>
      </c>
      <c r="AM74" s="226" t="s">
        <v>185</v>
      </c>
      <c r="AN74" s="227">
        <f>VLOOKUP(AM74,DATA!$B$13:$C$19,2,0)</f>
        <v>100</v>
      </c>
      <c r="AO74" s="9">
        <f>VLOOKUP($AM$1,DATA!$B$24:$C$45,2,0)</f>
        <v>0.05</v>
      </c>
      <c r="AP74" s="9">
        <f t="shared" si="102"/>
        <v>0.05</v>
      </c>
      <c r="AQ74" s="3">
        <f t="shared" si="103"/>
        <v>2.5</v>
      </c>
      <c r="AR74" s="6">
        <v>45902</v>
      </c>
      <c r="AS74" s="95">
        <v>45902</v>
      </c>
      <c r="AT74" s="226" t="s">
        <v>185</v>
      </c>
      <c r="AU74" s="227">
        <f>VLOOKUP(AT74,DATA!$B$13:$C$19,2,0)</f>
        <v>100</v>
      </c>
      <c r="AV74" s="9">
        <f>VLOOKUP($AT$1,DATA!$B$24:$C$45,2,0)</f>
        <v>0.01</v>
      </c>
      <c r="AW74" s="9">
        <f t="shared" si="104"/>
        <v>0.01</v>
      </c>
      <c r="AX74" s="3">
        <f t="shared" si="105"/>
        <v>0.5</v>
      </c>
      <c r="AY74" s="6">
        <v>45973</v>
      </c>
      <c r="AZ74" s="95">
        <v>45968</v>
      </c>
      <c r="BA74" s="226" t="s">
        <v>185</v>
      </c>
      <c r="BB74" s="227">
        <f>VLOOKUP(BA74,DATA!$B$13:$C$19,2,0)</f>
        <v>100</v>
      </c>
      <c r="BC74" s="9">
        <f>VLOOKUP($BA$1,DATA!$B$24:$C$45,2,0)</f>
        <v>0.01</v>
      </c>
      <c r="BD74" s="9">
        <f t="shared" si="106"/>
        <v>0.01</v>
      </c>
      <c r="BE74" s="84">
        <f t="shared" si="107"/>
        <v>0.5</v>
      </c>
      <c r="BF74" s="226" t="s">
        <v>185</v>
      </c>
      <c r="BG74" s="227">
        <f>VLOOKUP(BF74,DATA!$B$13:$C$19,2,0)</f>
        <v>100</v>
      </c>
      <c r="BH74" s="9">
        <f>VLOOKUP($BF$1,DATA!$B$24:$C$45,2,0)</f>
        <v>0.08</v>
      </c>
      <c r="BI74" s="9">
        <f t="shared" si="108"/>
        <v>0.08</v>
      </c>
      <c r="BJ74" s="84">
        <f t="shared" si="109"/>
        <v>4</v>
      </c>
      <c r="BK74" s="226" t="s">
        <v>185</v>
      </c>
      <c r="BL74" s="227">
        <f>VLOOKUP(BK74,DATA!$B$13:$C$19,2,0)</f>
        <v>100</v>
      </c>
      <c r="BM74" s="9">
        <f>VLOOKUP($BK$1,DATA!$B$24:$C$45,2,0)</f>
        <v>0.18</v>
      </c>
      <c r="BN74" s="9">
        <f t="shared" si="110"/>
        <v>0.18</v>
      </c>
      <c r="BO74" s="84">
        <f t="shared" si="111"/>
        <v>9</v>
      </c>
      <c r="BP74" s="226" t="s">
        <v>185</v>
      </c>
      <c r="BQ74" s="227">
        <f>VLOOKUP(BP74,DATA!$B$13:$C$19,2,0)</f>
        <v>100</v>
      </c>
      <c r="BR74" s="9">
        <f>VLOOKUP($BP$1,DATA!$B$24:$C$45,2,0)</f>
        <v>0.28000000000000003</v>
      </c>
      <c r="BS74" s="9">
        <f t="shared" si="112"/>
        <v>0.28000000000000003</v>
      </c>
      <c r="BT74" s="84">
        <f t="shared" si="113"/>
        <v>14.000000000000002</v>
      </c>
      <c r="BU74" s="226" t="s">
        <v>185</v>
      </c>
      <c r="BV74" s="227">
        <f>VLOOKUP(BU74,DATA!$B$13:$C$19,2,0)</f>
        <v>100</v>
      </c>
      <c r="BW74" s="9">
        <f>VLOOKUP($BU$1,DATA!$B$24:$C$45,2,0)</f>
        <v>0.15</v>
      </c>
      <c r="BX74" s="9">
        <f t="shared" si="114"/>
        <v>0.15</v>
      </c>
      <c r="BY74" s="84">
        <f t="shared" si="115"/>
        <v>7.5</v>
      </c>
      <c r="BZ74" s="226" t="s">
        <v>185</v>
      </c>
      <c r="CA74" s="227">
        <f>VLOOKUP(BZ74,DATA!$B$13:$C$19,2,0)</f>
        <v>100</v>
      </c>
      <c r="CB74" s="9">
        <f>VLOOKUP($BZ$1,DATA!$B$24:$C$45,2,0)</f>
        <v>0.16</v>
      </c>
      <c r="CC74" s="9">
        <f t="shared" si="116"/>
        <v>0.16</v>
      </c>
      <c r="CD74" s="84">
        <f t="shared" si="117"/>
        <v>8</v>
      </c>
      <c r="CE74" s="226" t="s">
        <v>185</v>
      </c>
      <c r="CF74" s="227">
        <f>VLOOKUP(CE74,DATA!$B$13:$C$19,2,0)</f>
        <v>100</v>
      </c>
      <c r="CG74" s="9">
        <f>VLOOKUP($CE$1,DATA!$B$24:$C$45,2,0)</f>
        <v>0.13</v>
      </c>
      <c r="CH74" s="9">
        <f t="shared" si="118"/>
        <v>0.13</v>
      </c>
      <c r="CI74" s="84">
        <f t="shared" si="119"/>
        <v>6.5</v>
      </c>
      <c r="CJ74" s="226" t="s">
        <v>185</v>
      </c>
      <c r="CK74" s="227">
        <f>VLOOKUP(CJ74,DATA!$B$13:$C$19,2,0)</f>
        <v>100</v>
      </c>
      <c r="CL74" s="9">
        <f>VLOOKUP($CJ$1,DATA!$B$24:$C$45,2,0)</f>
        <v>0.01</v>
      </c>
      <c r="CM74" s="9">
        <f t="shared" si="120"/>
        <v>0.01</v>
      </c>
      <c r="CN74" s="84">
        <f t="shared" si="121"/>
        <v>0.5</v>
      </c>
      <c r="CO74" s="96">
        <f t="shared" si="122"/>
        <v>1</v>
      </c>
      <c r="CP74" s="9">
        <f>VLOOKUP($CO$1,DATA!$B$24:$C$45,2,0)</f>
        <v>0.54</v>
      </c>
      <c r="CQ74" s="9">
        <f t="shared" si="123"/>
        <v>0.54</v>
      </c>
      <c r="CR74" s="3">
        <f t="shared" si="124"/>
        <v>27</v>
      </c>
      <c r="CS74" s="129">
        <f t="shared" si="125"/>
        <v>27</v>
      </c>
      <c r="CT74" s="242">
        <f t="shared" si="126"/>
        <v>0</v>
      </c>
      <c r="CU74" s="226" t="s">
        <v>185</v>
      </c>
      <c r="CV74" s="227">
        <f>VLOOKUP(CU74,DATA!$B$13:$C$19,2,0)</f>
        <v>100</v>
      </c>
      <c r="CW74" s="9">
        <f>VLOOKUP($CU$1,DATA!$B$24:$C$45,2,0)</f>
        <v>0.02</v>
      </c>
      <c r="CX74" s="9">
        <f t="shared" si="127"/>
        <v>0.02</v>
      </c>
      <c r="CY74" s="3">
        <f t="shared" si="128"/>
        <v>1</v>
      </c>
      <c r="CZ74" s="6">
        <v>45982</v>
      </c>
      <c r="DA74" s="95">
        <v>45971</v>
      </c>
      <c r="DB74" s="226" t="s">
        <v>185</v>
      </c>
      <c r="DC74" s="227">
        <f>VLOOKUP(DB74,DATA!$B$13:$C$19,2,0)</f>
        <v>100</v>
      </c>
      <c r="DD74" s="9">
        <f>VLOOKUP($DB$1,DATA!$B$24:$C$45,2,0)</f>
        <v>0.01</v>
      </c>
      <c r="DE74" s="9">
        <f t="shared" si="129"/>
        <v>0.01</v>
      </c>
      <c r="DF74" s="3">
        <f t="shared" si="130"/>
        <v>0.5</v>
      </c>
      <c r="DG74" s="6">
        <v>45985</v>
      </c>
      <c r="DH74" s="95">
        <v>45974</v>
      </c>
      <c r="DI74" s="226" t="s">
        <v>185</v>
      </c>
      <c r="DJ74" s="227">
        <f>VLOOKUP(DI74,DATA!$B$13:$C$19,2,0)</f>
        <v>100</v>
      </c>
      <c r="DK74" s="9">
        <f>VLOOKUP($DI$1,DATA!$B$24:$C$45,2,0)</f>
        <v>0.03</v>
      </c>
      <c r="DL74" s="9">
        <f t="shared" si="131"/>
        <v>0.03</v>
      </c>
      <c r="DM74" s="84">
        <f t="shared" si="132"/>
        <v>1.5</v>
      </c>
      <c r="DN74" s="226" t="s">
        <v>185</v>
      </c>
      <c r="DO74" s="227">
        <f>VLOOKUP(DN74,DATA!$B$13:$C$19,2,0)</f>
        <v>100</v>
      </c>
      <c r="DP74" s="9">
        <f>VLOOKUP($DN$1,DATA!$B$24:$C$45,2,0)</f>
        <v>7.0000000000000007E-2</v>
      </c>
      <c r="DQ74" s="9">
        <f t="shared" si="133"/>
        <v>7.0000000000000007E-2</v>
      </c>
      <c r="DR74" s="3">
        <f t="shared" si="134"/>
        <v>3.5000000000000004</v>
      </c>
      <c r="DS74" s="6">
        <v>45986</v>
      </c>
      <c r="DT74" s="95">
        <v>45985</v>
      </c>
      <c r="DU74" s="226" t="s">
        <v>185</v>
      </c>
      <c r="DV74" s="227">
        <f>VLOOKUP(DU74,DATA!$B$13:$C$19,2,0)</f>
        <v>100</v>
      </c>
      <c r="DW74" s="9">
        <f>VLOOKUP($DU$1,DATA!$B$24:$C$45,2,0)</f>
        <v>0.04</v>
      </c>
      <c r="DX74" s="9">
        <f t="shared" si="135"/>
        <v>0.04</v>
      </c>
      <c r="DY74" s="3">
        <f t="shared" si="136"/>
        <v>2</v>
      </c>
      <c r="DZ74" s="6">
        <v>45988</v>
      </c>
      <c r="EA74" s="95">
        <v>45987</v>
      </c>
      <c r="EB74" s="226" t="s">
        <v>193</v>
      </c>
      <c r="EC74" s="227">
        <f>VLOOKUP(EB74,DATA!$B$13:$C$19,2,0)</f>
        <v>0</v>
      </c>
      <c r="ED74" s="9">
        <f>VLOOKUP($EB$1,DATA!$B$24:$C$45,2,0)</f>
        <v>0.05</v>
      </c>
      <c r="EE74" s="9">
        <f t="shared" si="137"/>
        <v>0</v>
      </c>
      <c r="EF74" s="3">
        <f t="shared" si="138"/>
        <v>2.5</v>
      </c>
      <c r="EG74" s="6">
        <v>46022</v>
      </c>
      <c r="EH74" s="95"/>
      <c r="EI74" s="226" t="s">
        <v>238</v>
      </c>
      <c r="EJ74" s="227">
        <f>VLOOKUP(EI74,DATA!$B$13:$C$19,2,0)</f>
        <v>90</v>
      </c>
      <c r="EK74" s="9">
        <f>VLOOKUP($EI$1,DATA!$B$24:$C$45,2,0)</f>
        <v>0.1</v>
      </c>
      <c r="EL74" s="9">
        <f t="shared" si="139"/>
        <v>0.09</v>
      </c>
      <c r="EM74" s="3">
        <f t="shared" si="140"/>
        <v>5</v>
      </c>
      <c r="EN74" s="6">
        <v>46031</v>
      </c>
      <c r="EO74" s="95"/>
      <c r="EP74" s="226" t="s">
        <v>193</v>
      </c>
      <c r="EQ74" s="227">
        <f>VLOOKUP(EP74,DATA!$B$13:$C$19,2,0)</f>
        <v>0</v>
      </c>
      <c r="ER74" s="9">
        <f>VLOOKUP($EP$1,DATA!$B$24:$C$45,2,0)</f>
        <v>0.03</v>
      </c>
      <c r="ES74" s="9">
        <f t="shared" si="141"/>
        <v>0</v>
      </c>
      <c r="ET74" s="84">
        <f t="shared" si="142"/>
        <v>1.5</v>
      </c>
      <c r="EU74" s="244">
        <f t="shared" si="143"/>
        <v>9</v>
      </c>
      <c r="EV74" s="85" t="s">
        <v>197</v>
      </c>
      <c r="EW74" s="134" t="s">
        <v>197</v>
      </c>
      <c r="EX74" s="6"/>
    </row>
    <row r="75" spans="1:154" x14ac:dyDescent="0.3">
      <c r="A75" s="3" t="s">
        <v>180</v>
      </c>
      <c r="B75" s="3" t="s">
        <v>189</v>
      </c>
      <c r="C75" s="3" t="s">
        <v>352</v>
      </c>
      <c r="D75" s="85" t="s">
        <v>356</v>
      </c>
      <c r="E75" s="85" t="s">
        <v>354</v>
      </c>
      <c r="F75" s="3">
        <v>3346</v>
      </c>
      <c r="G75" s="3" t="s">
        <v>357</v>
      </c>
      <c r="H75" s="3">
        <v>36</v>
      </c>
      <c r="I75" s="3"/>
      <c r="J75" s="229">
        <f>BaseDeDatos[[#This Row],[Budget CS]]+BaseDeDatos[[#This Row],[Change Orders Budget]]</f>
        <v>36</v>
      </c>
      <c r="K75" s="92">
        <f>IFERROR(VLOOKUP(G75, DATA!H:I, 2, FALSE), 0)+BaseDeDatos[[#This Row],[Labor Spend on Design errors]]+BaseDeDatos[[#This Row],[Labor
Spent Customer changes]]</f>
        <v>25.5</v>
      </c>
      <c r="L75" s="92">
        <v>0.5</v>
      </c>
      <c r="M75" s="92">
        <v>1</v>
      </c>
      <c r="N75" s="232">
        <f t="shared" si="96"/>
        <v>0.91</v>
      </c>
      <c r="O75" s="238">
        <f t="shared" si="97"/>
        <v>25.5</v>
      </c>
      <c r="P75" s="39">
        <v>26.73</v>
      </c>
      <c r="Q75" s="89">
        <f>BaseDeDatos[[#This Row],[Budget]]*BaseDeDatos[[#This Row],[Labor Rate from CS]]</f>
        <v>962.28</v>
      </c>
      <c r="R75" s="94">
        <f>BaseDeDatos[[#This Row],[Labor
Spent]]*BaseDeDatos[[#This Row],[Labor Rate from CS]]</f>
        <v>681.61500000000001</v>
      </c>
      <c r="S75" s="42">
        <f t="shared" si="98"/>
        <v>0.70833333333333337</v>
      </c>
      <c r="T75" s="98">
        <v>69713</v>
      </c>
      <c r="U75" s="98">
        <v>3984</v>
      </c>
      <c r="V75" s="98">
        <v>3165.54</v>
      </c>
      <c r="W75" s="98">
        <v>22560.44</v>
      </c>
      <c r="X75" s="98">
        <v>22560.44</v>
      </c>
      <c r="Y75" s="98"/>
      <c r="Z75" s="98"/>
      <c r="AA75" s="98">
        <v>55424.639999999999</v>
      </c>
      <c r="AB75" s="89">
        <f t="shared" si="99"/>
        <v>31901.919999999998</v>
      </c>
      <c r="AC75" s="120">
        <f>SUM(AB75,X75,R75,BaseDeDatos[[#This Row],[Additionals cost]])</f>
        <v>58309.514999999999</v>
      </c>
      <c r="AD75" s="117">
        <v>0.20499999999999999</v>
      </c>
      <c r="AE75" s="117">
        <v>0.20499999999999999</v>
      </c>
      <c r="AF75" s="240">
        <f t="shared" si="100"/>
        <v>0.20898577022936901</v>
      </c>
      <c r="AG75" s="226">
        <v>45889</v>
      </c>
      <c r="AH75" s="226" t="s">
        <v>185</v>
      </c>
      <c r="AI75" s="227">
        <f>VLOOKUP(AH75,DATA!$B$13:$C$19,2,0)</f>
        <v>100</v>
      </c>
      <c r="AJ75" s="4">
        <f>VLOOKUP($AH$1,DATA!$B$24:$C$45,2,0)</f>
        <v>0.05</v>
      </c>
      <c r="AK75" s="3">
        <f>BaseDeDatos[[#This Row],[Read info
Status]]*(AJ75)/100</f>
        <v>0.05</v>
      </c>
      <c r="AL75" s="84">
        <f t="shared" si="101"/>
        <v>1.8</v>
      </c>
      <c r="AM75" s="226" t="s">
        <v>185</v>
      </c>
      <c r="AN75" s="227">
        <f>VLOOKUP(AM75,DATA!$B$13:$C$19,2,0)</f>
        <v>100</v>
      </c>
      <c r="AO75" s="9">
        <f>VLOOKUP($AM$1,DATA!$B$24:$C$45,2,0)</f>
        <v>0.05</v>
      </c>
      <c r="AP75" s="9">
        <f t="shared" si="102"/>
        <v>0.05</v>
      </c>
      <c r="AQ75" s="3">
        <f t="shared" si="103"/>
        <v>1.8</v>
      </c>
      <c r="AR75" s="6">
        <v>45902</v>
      </c>
      <c r="AS75" s="95">
        <v>45902</v>
      </c>
      <c r="AT75" s="226" t="s">
        <v>185</v>
      </c>
      <c r="AU75" s="227">
        <f>VLOOKUP(AT75,DATA!$B$13:$C$19,2,0)</f>
        <v>100</v>
      </c>
      <c r="AV75" s="9">
        <f>VLOOKUP($AT$1,DATA!$B$24:$C$45,2,0)</f>
        <v>0.01</v>
      </c>
      <c r="AW75" s="9">
        <f t="shared" si="104"/>
        <v>0.01</v>
      </c>
      <c r="AX75" s="3">
        <f t="shared" si="105"/>
        <v>0.36</v>
      </c>
      <c r="AY75" s="6">
        <v>45973</v>
      </c>
      <c r="AZ75" s="95">
        <v>45968</v>
      </c>
      <c r="BA75" s="226" t="s">
        <v>185</v>
      </c>
      <c r="BB75" s="227">
        <f>VLOOKUP(BA75,DATA!$B$13:$C$19,2,0)</f>
        <v>100</v>
      </c>
      <c r="BC75" s="9">
        <f>VLOOKUP($BA$1,DATA!$B$24:$C$45,2,0)</f>
        <v>0.01</v>
      </c>
      <c r="BD75" s="9">
        <f t="shared" si="106"/>
        <v>0.01</v>
      </c>
      <c r="BE75" s="84">
        <f t="shared" si="107"/>
        <v>0.36</v>
      </c>
      <c r="BF75" s="226" t="s">
        <v>185</v>
      </c>
      <c r="BG75" s="227">
        <f>VLOOKUP(BF75,DATA!$B$13:$C$19,2,0)</f>
        <v>100</v>
      </c>
      <c r="BH75" s="9">
        <f>VLOOKUP($BF$1,DATA!$B$24:$C$45,2,0)</f>
        <v>0.08</v>
      </c>
      <c r="BI75" s="9">
        <f t="shared" si="108"/>
        <v>0.08</v>
      </c>
      <c r="BJ75" s="84">
        <f t="shared" si="109"/>
        <v>2.88</v>
      </c>
      <c r="BK75" s="226" t="s">
        <v>185</v>
      </c>
      <c r="BL75" s="227">
        <f>VLOOKUP(BK75,DATA!$B$13:$C$19,2,0)</f>
        <v>100</v>
      </c>
      <c r="BM75" s="9">
        <f>VLOOKUP($BK$1,DATA!$B$24:$C$45,2,0)</f>
        <v>0.18</v>
      </c>
      <c r="BN75" s="9">
        <f t="shared" si="110"/>
        <v>0.18</v>
      </c>
      <c r="BO75" s="84">
        <f t="shared" si="111"/>
        <v>6.4799999999999995</v>
      </c>
      <c r="BP75" s="226" t="s">
        <v>185</v>
      </c>
      <c r="BQ75" s="227">
        <f>VLOOKUP(BP75,DATA!$B$13:$C$19,2,0)</f>
        <v>100</v>
      </c>
      <c r="BR75" s="9">
        <f>VLOOKUP($BP$1,DATA!$B$24:$C$45,2,0)</f>
        <v>0.28000000000000003</v>
      </c>
      <c r="BS75" s="9">
        <f t="shared" si="112"/>
        <v>0.28000000000000003</v>
      </c>
      <c r="BT75" s="84">
        <f t="shared" si="113"/>
        <v>10.080000000000002</v>
      </c>
      <c r="BU75" s="226" t="s">
        <v>185</v>
      </c>
      <c r="BV75" s="227">
        <f>VLOOKUP(BU75,DATA!$B$13:$C$19,2,0)</f>
        <v>100</v>
      </c>
      <c r="BW75" s="9">
        <f>VLOOKUP($BU$1,DATA!$B$24:$C$45,2,0)</f>
        <v>0.15</v>
      </c>
      <c r="BX75" s="9">
        <f t="shared" si="114"/>
        <v>0.15</v>
      </c>
      <c r="BY75" s="84">
        <f t="shared" si="115"/>
        <v>5.3999999999999995</v>
      </c>
      <c r="BZ75" s="226" t="s">
        <v>185</v>
      </c>
      <c r="CA75" s="227">
        <f>VLOOKUP(BZ75,DATA!$B$13:$C$19,2,0)</f>
        <v>100</v>
      </c>
      <c r="CB75" s="9">
        <f>VLOOKUP($BZ$1,DATA!$B$24:$C$45,2,0)</f>
        <v>0.16</v>
      </c>
      <c r="CC75" s="9">
        <f t="shared" si="116"/>
        <v>0.16</v>
      </c>
      <c r="CD75" s="84">
        <f t="shared" si="117"/>
        <v>5.76</v>
      </c>
      <c r="CE75" s="226" t="s">
        <v>185</v>
      </c>
      <c r="CF75" s="227">
        <f>VLOOKUP(CE75,DATA!$B$13:$C$19,2,0)</f>
        <v>100</v>
      </c>
      <c r="CG75" s="9">
        <f>VLOOKUP($CE$1,DATA!$B$24:$C$45,2,0)</f>
        <v>0.13</v>
      </c>
      <c r="CH75" s="9">
        <f t="shared" si="118"/>
        <v>0.13</v>
      </c>
      <c r="CI75" s="84">
        <f t="shared" si="119"/>
        <v>4.68</v>
      </c>
      <c r="CJ75" s="226" t="s">
        <v>185</v>
      </c>
      <c r="CK75" s="227">
        <f>VLOOKUP(CJ75,DATA!$B$13:$C$19,2,0)</f>
        <v>100</v>
      </c>
      <c r="CL75" s="9">
        <f>VLOOKUP($CJ$1,DATA!$B$24:$C$45,2,0)</f>
        <v>0.01</v>
      </c>
      <c r="CM75" s="9">
        <f t="shared" si="120"/>
        <v>0.01</v>
      </c>
      <c r="CN75" s="84">
        <f t="shared" si="121"/>
        <v>0.36</v>
      </c>
      <c r="CO75" s="96">
        <f t="shared" si="122"/>
        <v>1</v>
      </c>
      <c r="CP75" s="9">
        <f>VLOOKUP($CO$1,DATA!$B$24:$C$45,2,0)</f>
        <v>0.54</v>
      </c>
      <c r="CQ75" s="9">
        <f t="shared" si="123"/>
        <v>0.54</v>
      </c>
      <c r="CR75" s="3">
        <f t="shared" si="124"/>
        <v>19.440000000000001</v>
      </c>
      <c r="CS75" s="129">
        <f t="shared" si="125"/>
        <v>19.440000000000001</v>
      </c>
      <c r="CT75" s="242">
        <f t="shared" si="126"/>
        <v>0</v>
      </c>
      <c r="CU75" s="226" t="s">
        <v>185</v>
      </c>
      <c r="CV75" s="227">
        <f>VLOOKUP(CU75,DATA!$B$13:$C$19,2,0)</f>
        <v>100</v>
      </c>
      <c r="CW75" s="9">
        <f>VLOOKUP($CU$1,DATA!$B$24:$C$45,2,0)</f>
        <v>0.02</v>
      </c>
      <c r="CX75" s="9">
        <f t="shared" si="127"/>
        <v>0.02</v>
      </c>
      <c r="CY75" s="3">
        <f t="shared" si="128"/>
        <v>0.72</v>
      </c>
      <c r="CZ75" s="6">
        <v>45982</v>
      </c>
      <c r="DA75" s="95">
        <v>45972</v>
      </c>
      <c r="DB75" s="226" t="s">
        <v>185</v>
      </c>
      <c r="DC75" s="227">
        <f>VLOOKUP(DB75,DATA!$B$13:$C$19,2,0)</f>
        <v>100</v>
      </c>
      <c r="DD75" s="9">
        <f>VLOOKUP($DB$1,DATA!$B$24:$C$45,2,0)</f>
        <v>0.01</v>
      </c>
      <c r="DE75" s="9">
        <f t="shared" si="129"/>
        <v>0.01</v>
      </c>
      <c r="DF75" s="3">
        <f t="shared" si="130"/>
        <v>0.36</v>
      </c>
      <c r="DG75" s="6">
        <v>45985</v>
      </c>
      <c r="DH75" s="95">
        <v>45974</v>
      </c>
      <c r="DI75" s="226" t="s">
        <v>185</v>
      </c>
      <c r="DJ75" s="227">
        <f>VLOOKUP(DI75,DATA!$B$13:$C$19,2,0)</f>
        <v>100</v>
      </c>
      <c r="DK75" s="9">
        <f>VLOOKUP($DI$1,DATA!$B$24:$C$45,2,0)</f>
        <v>0.03</v>
      </c>
      <c r="DL75" s="9">
        <f t="shared" si="131"/>
        <v>0.03</v>
      </c>
      <c r="DM75" s="84">
        <f t="shared" si="132"/>
        <v>1.08</v>
      </c>
      <c r="DN75" s="226" t="s">
        <v>185</v>
      </c>
      <c r="DO75" s="227">
        <f>VLOOKUP(DN75,DATA!$B$13:$C$19,2,0)</f>
        <v>100</v>
      </c>
      <c r="DP75" s="9">
        <f>VLOOKUP($DN$1,DATA!$B$24:$C$45,2,0)</f>
        <v>7.0000000000000007E-2</v>
      </c>
      <c r="DQ75" s="9">
        <f t="shared" si="133"/>
        <v>7.0000000000000007E-2</v>
      </c>
      <c r="DR75" s="3">
        <f t="shared" si="134"/>
        <v>2.5200000000000005</v>
      </c>
      <c r="DS75" s="6">
        <v>45986</v>
      </c>
      <c r="DT75" s="95">
        <v>45985</v>
      </c>
      <c r="DU75" s="226" t="s">
        <v>185</v>
      </c>
      <c r="DV75" s="227">
        <f>VLOOKUP(DU75,DATA!$B$13:$C$19,2,0)</f>
        <v>100</v>
      </c>
      <c r="DW75" s="9">
        <f>VLOOKUP($DU$1,DATA!$B$24:$C$45,2,0)</f>
        <v>0.04</v>
      </c>
      <c r="DX75" s="9">
        <f t="shared" si="135"/>
        <v>0.04</v>
      </c>
      <c r="DY75" s="3">
        <f t="shared" si="136"/>
        <v>1.44</v>
      </c>
      <c r="DZ75" s="6">
        <v>45988</v>
      </c>
      <c r="EA75" s="95">
        <v>45987</v>
      </c>
      <c r="EB75" s="226" t="s">
        <v>193</v>
      </c>
      <c r="EC75" s="227">
        <f>VLOOKUP(EB75,DATA!$B$13:$C$19,2,0)</f>
        <v>0</v>
      </c>
      <c r="ED75" s="9">
        <f>VLOOKUP($EB$1,DATA!$B$24:$C$45,2,0)</f>
        <v>0.05</v>
      </c>
      <c r="EE75" s="9">
        <f t="shared" si="137"/>
        <v>0</v>
      </c>
      <c r="EF75" s="3">
        <f t="shared" si="138"/>
        <v>1.8</v>
      </c>
      <c r="EG75" s="6">
        <v>46022</v>
      </c>
      <c r="EH75" s="95"/>
      <c r="EI75" s="226" t="s">
        <v>238</v>
      </c>
      <c r="EJ75" s="227">
        <f>VLOOKUP(EI75,DATA!$B$13:$C$19,2,0)</f>
        <v>90</v>
      </c>
      <c r="EK75" s="9">
        <f>VLOOKUP($EI$1,DATA!$B$24:$C$45,2,0)</f>
        <v>0.1</v>
      </c>
      <c r="EL75" s="9">
        <f t="shared" si="139"/>
        <v>0.09</v>
      </c>
      <c r="EM75" s="3">
        <f t="shared" si="140"/>
        <v>3.6</v>
      </c>
      <c r="EN75" s="6">
        <v>46031</v>
      </c>
      <c r="EO75" s="95"/>
      <c r="EP75" s="226" t="s">
        <v>193</v>
      </c>
      <c r="EQ75" s="227">
        <f>VLOOKUP(EP75,DATA!$B$13:$C$19,2,0)</f>
        <v>0</v>
      </c>
      <c r="ER75" s="9">
        <f>VLOOKUP($EP$1,DATA!$B$24:$C$45,2,0)</f>
        <v>0.03</v>
      </c>
      <c r="ES75" s="9">
        <f t="shared" si="141"/>
        <v>0</v>
      </c>
      <c r="ET75" s="84">
        <f t="shared" si="142"/>
        <v>1.08</v>
      </c>
      <c r="EU75" s="244">
        <f t="shared" si="143"/>
        <v>6.48</v>
      </c>
      <c r="EV75" s="85" t="s">
        <v>197</v>
      </c>
      <c r="EW75" s="134" t="s">
        <v>197</v>
      </c>
      <c r="EX75" s="6"/>
    </row>
    <row r="76" spans="1:154" x14ac:dyDescent="0.3">
      <c r="A76" s="3" t="s">
        <v>188</v>
      </c>
      <c r="B76" s="3" t="s">
        <v>189</v>
      </c>
      <c r="C76" s="3" t="s">
        <v>358</v>
      </c>
      <c r="D76" s="85" t="s">
        <v>359</v>
      </c>
      <c r="E76" s="85" t="s">
        <v>360</v>
      </c>
      <c r="F76" s="3">
        <v>3351</v>
      </c>
      <c r="G76" s="3" t="s">
        <v>361</v>
      </c>
      <c r="H76" s="3">
        <v>20</v>
      </c>
      <c r="I76" s="3"/>
      <c r="J76" s="229">
        <f>BaseDeDatos[[#This Row],[Budget CS]]+BaseDeDatos[[#This Row],[Change Orders Budget]]</f>
        <v>20</v>
      </c>
      <c r="K76" s="92">
        <f>IFERROR(VLOOKUP(G76, DATA!H:I, 2, FALSE), 0)+BaseDeDatos[[#This Row],[Labor Spend on Design errors]]+BaseDeDatos[[#This Row],[Labor
Spent Customer changes]]</f>
        <v>11</v>
      </c>
      <c r="L76" s="92"/>
      <c r="M76" s="92"/>
      <c r="N76" s="232">
        <f t="shared" si="96"/>
        <v>0.97000000000000008</v>
      </c>
      <c r="O76" s="238">
        <f t="shared" si="97"/>
        <v>11</v>
      </c>
      <c r="P76" s="39">
        <v>33.43</v>
      </c>
      <c r="Q76" s="89">
        <f>BaseDeDatos[[#This Row],[Budget]]*BaseDeDatos[[#This Row],[Labor Rate from CS]]</f>
        <v>668.6</v>
      </c>
      <c r="R76" s="94">
        <f>BaseDeDatos[[#This Row],[Labor
Spent]]*BaseDeDatos[[#This Row],[Labor Rate from CS]]</f>
        <v>367.73</v>
      </c>
      <c r="S76" s="42">
        <f t="shared" si="98"/>
        <v>0.55000000000000004</v>
      </c>
      <c r="T76" s="98">
        <v>77044</v>
      </c>
      <c r="U76" s="98">
        <v>4967</v>
      </c>
      <c r="V76" s="39">
        <v>3401.6049999999996</v>
      </c>
      <c r="W76" s="98">
        <v>16916.32</v>
      </c>
      <c r="X76" s="98">
        <v>16916.32</v>
      </c>
      <c r="Y76" s="98"/>
      <c r="Z76" s="98"/>
      <c r="AA76" s="39">
        <v>60312.76</v>
      </c>
      <c r="AB76" s="89">
        <f t="shared" si="99"/>
        <v>42727.840000000004</v>
      </c>
      <c r="AC76" s="120">
        <f>SUM(AB76,X76,R76,BaseDeDatos[[#This Row],[Additionals cost]])</f>
        <v>63413.49500000001</v>
      </c>
      <c r="AD76" s="117">
        <v>0.2172</v>
      </c>
      <c r="AE76" s="117">
        <v>0.2271</v>
      </c>
      <c r="AF76" s="240">
        <f t="shared" si="100"/>
        <v>0.2210699081044597</v>
      </c>
      <c r="AG76" s="226">
        <v>45964</v>
      </c>
      <c r="AH76" s="226" t="s">
        <v>185</v>
      </c>
      <c r="AI76" s="227">
        <f>VLOOKUP(AH76,DATA!$B$13:$C$19,2,0)</f>
        <v>100</v>
      </c>
      <c r="AJ76" s="4">
        <f>VLOOKUP($AH$1,DATA!$B$24:$C$45,2,0)</f>
        <v>0.05</v>
      </c>
      <c r="AK76" s="3">
        <f>BaseDeDatos[[#This Row],[Read info
Status]]*(AJ76)/100</f>
        <v>0.05</v>
      </c>
      <c r="AL76" s="84">
        <f t="shared" si="101"/>
        <v>1</v>
      </c>
      <c r="AM76" s="226" t="s">
        <v>185</v>
      </c>
      <c r="AN76" s="227">
        <f>VLOOKUP(AM76,DATA!$B$13:$C$19,2,0)</f>
        <v>100</v>
      </c>
      <c r="AO76" s="9">
        <f>VLOOKUP($AM$1,DATA!$B$24:$C$45,2,0)</f>
        <v>0.05</v>
      </c>
      <c r="AP76" s="9">
        <f t="shared" si="102"/>
        <v>0.05</v>
      </c>
      <c r="AQ76" s="3">
        <f t="shared" si="103"/>
        <v>1</v>
      </c>
      <c r="AR76" s="6" t="s">
        <v>362</v>
      </c>
      <c r="AS76" s="95" t="s">
        <v>362</v>
      </c>
      <c r="AT76" s="226" t="s">
        <v>185</v>
      </c>
      <c r="AU76" s="227">
        <f>VLOOKUP(AT76,DATA!$B$13:$C$19,2,0)</f>
        <v>100</v>
      </c>
      <c r="AV76" s="9">
        <f>VLOOKUP($AT$1,DATA!$B$24:$C$45,2,0)</f>
        <v>0.01</v>
      </c>
      <c r="AW76" s="9">
        <f t="shared" si="104"/>
        <v>0.01</v>
      </c>
      <c r="AX76" s="3">
        <f t="shared" si="105"/>
        <v>0.2</v>
      </c>
      <c r="AY76" s="6">
        <v>45972</v>
      </c>
      <c r="AZ76" s="95">
        <v>45972</v>
      </c>
      <c r="BA76" s="226" t="s">
        <v>185</v>
      </c>
      <c r="BB76" s="227">
        <f>VLOOKUP(BA76,DATA!$B$13:$C$19,2,0)</f>
        <v>100</v>
      </c>
      <c r="BC76" s="9">
        <f>VLOOKUP($BA$1,DATA!$B$24:$C$45,2,0)</f>
        <v>0.01</v>
      </c>
      <c r="BD76" s="9">
        <f t="shared" si="106"/>
        <v>0.01</v>
      </c>
      <c r="BE76" s="84">
        <f t="shared" si="107"/>
        <v>0.2</v>
      </c>
      <c r="BF76" s="226" t="s">
        <v>185</v>
      </c>
      <c r="BG76" s="227">
        <f>VLOOKUP(BF76,DATA!$B$13:$C$19,2,0)</f>
        <v>100</v>
      </c>
      <c r="BH76" s="9">
        <f>VLOOKUP($BF$1,DATA!$B$24:$C$45,2,0)</f>
        <v>0.08</v>
      </c>
      <c r="BI76" s="9">
        <f t="shared" si="108"/>
        <v>0.08</v>
      </c>
      <c r="BJ76" s="84">
        <f t="shared" si="109"/>
        <v>1.6</v>
      </c>
      <c r="BK76" s="226" t="s">
        <v>185</v>
      </c>
      <c r="BL76" s="227">
        <f>VLOOKUP(BK76,DATA!$B$13:$C$19,2,0)</f>
        <v>100</v>
      </c>
      <c r="BM76" s="9">
        <f>VLOOKUP($BK$1,DATA!$B$24:$C$45,2,0)</f>
        <v>0.18</v>
      </c>
      <c r="BN76" s="9">
        <f t="shared" si="110"/>
        <v>0.18</v>
      </c>
      <c r="BO76" s="84">
        <f t="shared" si="111"/>
        <v>3.5999999999999996</v>
      </c>
      <c r="BP76" s="226" t="s">
        <v>185</v>
      </c>
      <c r="BQ76" s="227">
        <f>VLOOKUP(BP76,DATA!$B$13:$C$19,2,0)</f>
        <v>100</v>
      </c>
      <c r="BR76" s="9">
        <f>VLOOKUP($BP$1,DATA!$B$24:$C$45,2,0)</f>
        <v>0.28000000000000003</v>
      </c>
      <c r="BS76" s="9">
        <f t="shared" si="112"/>
        <v>0.28000000000000003</v>
      </c>
      <c r="BT76" s="84">
        <f t="shared" si="113"/>
        <v>5.6000000000000005</v>
      </c>
      <c r="BU76" s="226" t="s">
        <v>185</v>
      </c>
      <c r="BV76" s="227">
        <f>VLOOKUP(BU76,DATA!$B$13:$C$19,2,0)</f>
        <v>100</v>
      </c>
      <c r="BW76" s="9">
        <f>VLOOKUP($BU$1,DATA!$B$24:$C$45,2,0)</f>
        <v>0.15</v>
      </c>
      <c r="BX76" s="9">
        <f t="shared" si="114"/>
        <v>0.15</v>
      </c>
      <c r="BY76" s="84">
        <f t="shared" si="115"/>
        <v>3</v>
      </c>
      <c r="BZ76" s="226" t="s">
        <v>185</v>
      </c>
      <c r="CA76" s="227">
        <f>VLOOKUP(BZ76,DATA!$B$13:$C$19,2,0)</f>
        <v>100</v>
      </c>
      <c r="CB76" s="9">
        <f>VLOOKUP($BZ$1,DATA!$B$24:$C$45,2,0)</f>
        <v>0.16</v>
      </c>
      <c r="CC76" s="9">
        <f t="shared" si="116"/>
        <v>0.16</v>
      </c>
      <c r="CD76" s="84">
        <f t="shared" si="117"/>
        <v>3.2</v>
      </c>
      <c r="CE76" s="226" t="s">
        <v>185</v>
      </c>
      <c r="CF76" s="227">
        <f>VLOOKUP(CE76,DATA!$B$13:$C$19,2,0)</f>
        <v>100</v>
      </c>
      <c r="CG76" s="9">
        <f>VLOOKUP($CE$1,DATA!$B$24:$C$45,2,0)</f>
        <v>0.13</v>
      </c>
      <c r="CH76" s="9">
        <f t="shared" si="118"/>
        <v>0.13</v>
      </c>
      <c r="CI76" s="84">
        <f t="shared" si="119"/>
        <v>2.6</v>
      </c>
      <c r="CJ76" s="226" t="s">
        <v>185</v>
      </c>
      <c r="CK76" s="227">
        <f>VLOOKUP(CJ76,DATA!$B$13:$C$19,2,0)</f>
        <v>100</v>
      </c>
      <c r="CL76" s="9">
        <f>VLOOKUP($CJ$1,DATA!$B$24:$C$45,2,0)</f>
        <v>0.01</v>
      </c>
      <c r="CM76" s="9">
        <f t="shared" si="120"/>
        <v>0.01</v>
      </c>
      <c r="CN76" s="84">
        <f t="shared" si="121"/>
        <v>0.2</v>
      </c>
      <c r="CO76" s="96">
        <f t="shared" si="122"/>
        <v>1</v>
      </c>
      <c r="CP76" s="9">
        <f>VLOOKUP($CO$1,DATA!$B$24:$C$45,2,0)</f>
        <v>0.54</v>
      </c>
      <c r="CQ76" s="9">
        <f t="shared" si="123"/>
        <v>0.54</v>
      </c>
      <c r="CR76" s="3">
        <f t="shared" si="124"/>
        <v>10.8</v>
      </c>
      <c r="CS76" s="130">
        <f t="shared" si="125"/>
        <v>10.8</v>
      </c>
      <c r="CT76" s="242">
        <f t="shared" si="126"/>
        <v>0</v>
      </c>
      <c r="CU76" s="226" t="s">
        <v>185</v>
      </c>
      <c r="CV76" s="227">
        <f>VLOOKUP(CU76,DATA!$B$13:$C$19,2,0)</f>
        <v>100</v>
      </c>
      <c r="CW76" s="9">
        <f>VLOOKUP($CU$1,DATA!$B$24:$C$45,2,0)</f>
        <v>0.02</v>
      </c>
      <c r="CX76" s="9">
        <f t="shared" si="127"/>
        <v>0.02</v>
      </c>
      <c r="CY76" s="3">
        <f t="shared" si="128"/>
        <v>0.4</v>
      </c>
      <c r="CZ76" s="6">
        <v>45980</v>
      </c>
      <c r="DA76" s="95">
        <v>45980</v>
      </c>
      <c r="DB76" s="226" t="s">
        <v>185</v>
      </c>
      <c r="DC76" s="227">
        <f>VLOOKUP(DB76,DATA!$B$13:$C$19,2,0)</f>
        <v>100</v>
      </c>
      <c r="DD76" s="9">
        <f>VLOOKUP($DB$1,DATA!$B$24:$C$45,2,0)</f>
        <v>0.01</v>
      </c>
      <c r="DE76" s="9">
        <f t="shared" si="129"/>
        <v>0.01</v>
      </c>
      <c r="DF76" s="3">
        <f t="shared" si="130"/>
        <v>0.2</v>
      </c>
      <c r="DG76" s="6"/>
      <c r="DH76" s="95">
        <v>45981</v>
      </c>
      <c r="DI76" s="226" t="s">
        <v>185</v>
      </c>
      <c r="DJ76" s="227">
        <f>VLOOKUP(DI76,DATA!$B$13:$C$19,2,0)</f>
        <v>100</v>
      </c>
      <c r="DK76" s="9">
        <f>VLOOKUP($DI$1,DATA!$B$24:$C$45,2,0)</f>
        <v>0.03</v>
      </c>
      <c r="DL76" s="9">
        <f t="shared" si="131"/>
        <v>0.03</v>
      </c>
      <c r="DM76" s="84">
        <f t="shared" si="132"/>
        <v>0.6</v>
      </c>
      <c r="DN76" s="226" t="s">
        <v>185</v>
      </c>
      <c r="DO76" s="227">
        <f>VLOOKUP(DN76,DATA!$B$13:$C$19,2,0)</f>
        <v>100</v>
      </c>
      <c r="DP76" s="9">
        <f>VLOOKUP($DN$1,DATA!$B$24:$C$45,2,0)</f>
        <v>7.0000000000000007E-2</v>
      </c>
      <c r="DQ76" s="9">
        <f t="shared" si="133"/>
        <v>7.0000000000000007E-2</v>
      </c>
      <c r="DR76" s="3">
        <f t="shared" si="134"/>
        <v>1.4000000000000001</v>
      </c>
      <c r="DS76" s="6"/>
      <c r="DT76" s="95">
        <v>45982</v>
      </c>
      <c r="DU76" s="226" t="s">
        <v>185</v>
      </c>
      <c r="DV76" s="227">
        <f>VLOOKUP(DU76,DATA!$B$13:$C$19,2,0)</f>
        <v>100</v>
      </c>
      <c r="DW76" s="9">
        <f>VLOOKUP($DU$1,DATA!$B$24:$C$45,2,0)</f>
        <v>0.04</v>
      </c>
      <c r="DX76" s="9">
        <f t="shared" si="135"/>
        <v>0.04</v>
      </c>
      <c r="DY76" s="3">
        <f t="shared" si="136"/>
        <v>0.8</v>
      </c>
      <c r="DZ76" s="6"/>
      <c r="EA76" s="95">
        <v>45982</v>
      </c>
      <c r="EB76" s="226" t="s">
        <v>185</v>
      </c>
      <c r="EC76" s="227">
        <f>VLOOKUP(EB76,DATA!$B$13:$C$19,2,0)</f>
        <v>100</v>
      </c>
      <c r="ED76" s="9">
        <f>VLOOKUP($EB$1,DATA!$B$24:$C$45,2,0)</f>
        <v>0.05</v>
      </c>
      <c r="EE76" s="9">
        <f t="shared" si="137"/>
        <v>0.05</v>
      </c>
      <c r="EF76" s="3">
        <f t="shared" si="138"/>
        <v>1</v>
      </c>
      <c r="EG76" s="6"/>
      <c r="EH76" s="95"/>
      <c r="EI76" s="226" t="s">
        <v>185</v>
      </c>
      <c r="EJ76" s="227">
        <f>VLOOKUP(EI76,DATA!$B$13:$C$19,2,0)</f>
        <v>100</v>
      </c>
      <c r="EK76" s="9">
        <f>VLOOKUP($EI$1,DATA!$B$24:$C$45,2,0)</f>
        <v>0.1</v>
      </c>
      <c r="EL76" s="9">
        <f t="shared" si="139"/>
        <v>0.1</v>
      </c>
      <c r="EM76" s="3">
        <f t="shared" si="140"/>
        <v>2</v>
      </c>
      <c r="EN76" s="6"/>
      <c r="EO76" s="95"/>
      <c r="EP76" s="226" t="s">
        <v>193</v>
      </c>
      <c r="EQ76" s="227">
        <f>VLOOKUP(EP76,DATA!$B$13:$C$19,2,0)</f>
        <v>0</v>
      </c>
      <c r="ER76" s="9">
        <f>VLOOKUP($EP$1,DATA!$B$24:$C$45,2,0)</f>
        <v>0.03</v>
      </c>
      <c r="ES76" s="9">
        <f t="shared" si="141"/>
        <v>0</v>
      </c>
      <c r="ET76" s="84">
        <f t="shared" si="142"/>
        <v>0.6</v>
      </c>
      <c r="EU76" s="244">
        <f t="shared" si="143"/>
        <v>0.6</v>
      </c>
      <c r="EV76" s="85" t="s">
        <v>186</v>
      </c>
      <c r="EW76" s="134" t="s">
        <v>187</v>
      </c>
      <c r="EX76" s="6"/>
    </row>
    <row r="77" spans="1:154" x14ac:dyDescent="0.3">
      <c r="A77" s="3" t="s">
        <v>188</v>
      </c>
      <c r="B77" s="3" t="s">
        <v>189</v>
      </c>
      <c r="C77" s="3" t="s">
        <v>358</v>
      </c>
      <c r="D77" s="85" t="s">
        <v>359</v>
      </c>
      <c r="E77" s="85" t="s">
        <v>360</v>
      </c>
      <c r="F77" s="3">
        <v>3351</v>
      </c>
      <c r="G77" s="3" t="s">
        <v>363</v>
      </c>
      <c r="H77" s="3">
        <v>20</v>
      </c>
      <c r="I77" s="3"/>
      <c r="J77" s="229">
        <f>BaseDeDatos[[#This Row],[Budget CS]]+BaseDeDatos[[#This Row],[Change Orders Budget]]</f>
        <v>20</v>
      </c>
      <c r="K77" s="92">
        <f>IFERROR(VLOOKUP(G77, DATA!H:I, 2, FALSE), 0)+BaseDeDatos[[#This Row],[Labor Spend on Design errors]]+BaseDeDatos[[#This Row],[Labor
Spent Customer changes]]</f>
        <v>11</v>
      </c>
      <c r="L77" s="92"/>
      <c r="M77" s="92"/>
      <c r="N77" s="232">
        <f t="shared" si="96"/>
        <v>0.96800000000000008</v>
      </c>
      <c r="O77" s="238">
        <f t="shared" si="97"/>
        <v>11</v>
      </c>
      <c r="P77" s="39">
        <v>33.43</v>
      </c>
      <c r="Q77" s="89">
        <f>BaseDeDatos[[#This Row],[Budget]]*BaseDeDatos[[#This Row],[Labor Rate from CS]]</f>
        <v>668.6</v>
      </c>
      <c r="R77" s="94">
        <f>BaseDeDatos[[#This Row],[Labor
Spent]]*BaseDeDatos[[#This Row],[Labor Rate from CS]]</f>
        <v>367.73</v>
      </c>
      <c r="S77" s="42">
        <f t="shared" si="98"/>
        <v>0.55000000000000004</v>
      </c>
      <c r="T77" s="98">
        <v>77044</v>
      </c>
      <c r="U77" s="98">
        <v>4967</v>
      </c>
      <c r="V77" s="39">
        <v>3401.6049999999996</v>
      </c>
      <c r="W77" s="98">
        <v>16916.32</v>
      </c>
      <c r="X77" s="98">
        <v>16916.32</v>
      </c>
      <c r="Y77" s="98"/>
      <c r="Z77" s="98"/>
      <c r="AA77" s="39">
        <v>60312.76</v>
      </c>
      <c r="AB77" s="89">
        <f t="shared" si="99"/>
        <v>42727.840000000004</v>
      </c>
      <c r="AC77" s="120">
        <f>SUM(AB77,X77,R77,BaseDeDatos[[#This Row],[Additionals cost]])</f>
        <v>63413.49500000001</v>
      </c>
      <c r="AD77" s="117">
        <v>0.2172</v>
      </c>
      <c r="AE77" s="117">
        <v>0.2271</v>
      </c>
      <c r="AF77" s="240">
        <f t="shared" si="100"/>
        <v>0.2210699081044597</v>
      </c>
      <c r="AG77" s="226">
        <v>45964</v>
      </c>
      <c r="AH77" s="226" t="s">
        <v>185</v>
      </c>
      <c r="AI77" s="227">
        <f>VLOOKUP(AH77,DATA!$B$13:$C$19,2,0)</f>
        <v>100</v>
      </c>
      <c r="AJ77" s="4">
        <f>VLOOKUP($AH$1,DATA!$B$24:$C$45,2,0)</f>
        <v>0.05</v>
      </c>
      <c r="AK77" s="3">
        <f>BaseDeDatos[[#This Row],[Read info
Status]]*(AJ77)/100</f>
        <v>0.05</v>
      </c>
      <c r="AL77" s="84">
        <f t="shared" si="101"/>
        <v>1</v>
      </c>
      <c r="AM77" s="226" t="s">
        <v>185</v>
      </c>
      <c r="AN77" s="227">
        <f>VLOOKUP(AM77,DATA!$B$13:$C$19,2,0)</f>
        <v>100</v>
      </c>
      <c r="AO77" s="9">
        <f>VLOOKUP($AM$1,DATA!$B$24:$C$45,2,0)</f>
        <v>0.05</v>
      </c>
      <c r="AP77" s="9">
        <f t="shared" si="102"/>
        <v>0.05</v>
      </c>
      <c r="AQ77" s="3">
        <f t="shared" si="103"/>
        <v>1</v>
      </c>
      <c r="AR77" s="6" t="s">
        <v>362</v>
      </c>
      <c r="AS77" s="95" t="s">
        <v>362</v>
      </c>
      <c r="AT77" s="226" t="s">
        <v>185</v>
      </c>
      <c r="AU77" s="227">
        <f>VLOOKUP(AT77,DATA!$B$13:$C$19,2,0)</f>
        <v>100</v>
      </c>
      <c r="AV77" s="9">
        <f>VLOOKUP($AT$1,DATA!$B$24:$C$45,2,0)</f>
        <v>0.01</v>
      </c>
      <c r="AW77" s="9">
        <f t="shared" si="104"/>
        <v>0.01</v>
      </c>
      <c r="AX77" s="3">
        <f t="shared" si="105"/>
        <v>0.2</v>
      </c>
      <c r="AY77" s="6">
        <v>45972</v>
      </c>
      <c r="AZ77" s="95">
        <v>45972</v>
      </c>
      <c r="BA77" s="226" t="s">
        <v>185</v>
      </c>
      <c r="BB77" s="227">
        <f>VLOOKUP(BA77,DATA!$B$13:$C$19,2,0)</f>
        <v>100</v>
      </c>
      <c r="BC77" s="9">
        <f>VLOOKUP($BA$1,DATA!$B$24:$C$45,2,0)</f>
        <v>0.01</v>
      </c>
      <c r="BD77" s="9">
        <f t="shared" si="106"/>
        <v>0.01</v>
      </c>
      <c r="BE77" s="84">
        <f t="shared" si="107"/>
        <v>0.2</v>
      </c>
      <c r="BF77" s="226" t="s">
        <v>185</v>
      </c>
      <c r="BG77" s="227">
        <f>VLOOKUP(BF77,DATA!$B$13:$C$19,2,0)</f>
        <v>100</v>
      </c>
      <c r="BH77" s="9">
        <f>VLOOKUP($BF$1,DATA!$B$24:$C$45,2,0)</f>
        <v>0.08</v>
      </c>
      <c r="BI77" s="9">
        <f t="shared" si="108"/>
        <v>0.08</v>
      </c>
      <c r="BJ77" s="84">
        <f t="shared" si="109"/>
        <v>1.6</v>
      </c>
      <c r="BK77" s="226" t="s">
        <v>185</v>
      </c>
      <c r="BL77" s="227">
        <f>VLOOKUP(BK77,DATA!$B$13:$C$19,2,0)</f>
        <v>100</v>
      </c>
      <c r="BM77" s="9">
        <f>VLOOKUP($BK$1,DATA!$B$24:$C$45,2,0)</f>
        <v>0.18</v>
      </c>
      <c r="BN77" s="9">
        <f t="shared" si="110"/>
        <v>0.18</v>
      </c>
      <c r="BO77" s="84">
        <f t="shared" si="111"/>
        <v>3.5999999999999996</v>
      </c>
      <c r="BP77" s="226" t="s">
        <v>185</v>
      </c>
      <c r="BQ77" s="227">
        <f>VLOOKUP(BP77,DATA!$B$13:$C$19,2,0)</f>
        <v>100</v>
      </c>
      <c r="BR77" s="9">
        <f>VLOOKUP($BP$1,DATA!$B$24:$C$45,2,0)</f>
        <v>0.28000000000000003</v>
      </c>
      <c r="BS77" s="9">
        <f t="shared" si="112"/>
        <v>0.28000000000000003</v>
      </c>
      <c r="BT77" s="84">
        <f t="shared" si="113"/>
        <v>5.6000000000000005</v>
      </c>
      <c r="BU77" s="226" t="s">
        <v>185</v>
      </c>
      <c r="BV77" s="227">
        <f>VLOOKUP(BU77,DATA!$B$13:$C$19,2,0)</f>
        <v>100</v>
      </c>
      <c r="BW77" s="9">
        <f>VLOOKUP($BU$1,DATA!$B$24:$C$45,2,0)</f>
        <v>0.15</v>
      </c>
      <c r="BX77" s="9">
        <f t="shared" si="114"/>
        <v>0.15</v>
      </c>
      <c r="BY77" s="84">
        <f t="shared" si="115"/>
        <v>3</v>
      </c>
      <c r="BZ77" s="226" t="s">
        <v>185</v>
      </c>
      <c r="CA77" s="227">
        <f>VLOOKUP(BZ77,DATA!$B$13:$C$19,2,0)</f>
        <v>100</v>
      </c>
      <c r="CB77" s="9">
        <f>VLOOKUP($BZ$1,DATA!$B$24:$C$45,2,0)</f>
        <v>0.16</v>
      </c>
      <c r="CC77" s="9">
        <f t="shared" si="116"/>
        <v>0.16</v>
      </c>
      <c r="CD77" s="84">
        <f t="shared" si="117"/>
        <v>3.2</v>
      </c>
      <c r="CE77" s="226" t="s">
        <v>185</v>
      </c>
      <c r="CF77" s="227">
        <f>VLOOKUP(CE77,DATA!$B$13:$C$19,2,0)</f>
        <v>100</v>
      </c>
      <c r="CG77" s="9">
        <f>VLOOKUP($CE$1,DATA!$B$24:$C$45,2,0)</f>
        <v>0.13</v>
      </c>
      <c r="CH77" s="9">
        <f t="shared" si="118"/>
        <v>0.13</v>
      </c>
      <c r="CI77" s="84">
        <f t="shared" si="119"/>
        <v>2.6</v>
      </c>
      <c r="CJ77" s="226" t="s">
        <v>185</v>
      </c>
      <c r="CK77" s="227">
        <f>VLOOKUP(CJ77,DATA!$B$13:$C$19,2,0)</f>
        <v>100</v>
      </c>
      <c r="CL77" s="9">
        <f>VLOOKUP($CJ$1,DATA!$B$24:$C$45,2,0)</f>
        <v>0.01</v>
      </c>
      <c r="CM77" s="9">
        <f t="shared" si="120"/>
        <v>0.01</v>
      </c>
      <c r="CN77" s="84">
        <f t="shared" si="121"/>
        <v>0.2</v>
      </c>
      <c r="CO77" s="96">
        <f t="shared" si="122"/>
        <v>1</v>
      </c>
      <c r="CP77" s="9">
        <f>VLOOKUP($CO$1,DATA!$B$24:$C$45,2,0)</f>
        <v>0.54</v>
      </c>
      <c r="CQ77" s="9">
        <f t="shared" si="123"/>
        <v>0.54</v>
      </c>
      <c r="CR77" s="3">
        <f t="shared" si="124"/>
        <v>10.8</v>
      </c>
      <c r="CS77" s="130">
        <f t="shared" si="125"/>
        <v>10.8</v>
      </c>
      <c r="CT77" s="242">
        <f t="shared" si="126"/>
        <v>0</v>
      </c>
      <c r="CU77" s="226" t="s">
        <v>238</v>
      </c>
      <c r="CV77" s="227">
        <f>VLOOKUP(CU77,DATA!$B$13:$C$19,2,0)</f>
        <v>90</v>
      </c>
      <c r="CW77" s="9">
        <f>VLOOKUP($CU$1,DATA!$B$24:$C$45,2,0)</f>
        <v>0.02</v>
      </c>
      <c r="CX77" s="9">
        <f t="shared" si="127"/>
        <v>1.8000000000000002E-2</v>
      </c>
      <c r="CY77" s="3">
        <f t="shared" si="128"/>
        <v>0.4</v>
      </c>
      <c r="CZ77" s="6"/>
      <c r="DA77" s="95"/>
      <c r="DB77" s="226" t="s">
        <v>185</v>
      </c>
      <c r="DC77" s="227">
        <f>VLOOKUP(DB77,DATA!$B$13:$C$19,2,0)</f>
        <v>100</v>
      </c>
      <c r="DD77" s="9">
        <f>VLOOKUP($DB$1,DATA!$B$24:$C$45,2,0)</f>
        <v>0.01</v>
      </c>
      <c r="DE77" s="9">
        <f t="shared" si="129"/>
        <v>0.01</v>
      </c>
      <c r="DF77" s="3">
        <f t="shared" si="130"/>
        <v>0.2</v>
      </c>
      <c r="DG77" s="6"/>
      <c r="DH77" s="95"/>
      <c r="DI77" s="226" t="s">
        <v>185</v>
      </c>
      <c r="DJ77" s="227">
        <f>VLOOKUP(DI77,DATA!$B$13:$C$19,2,0)</f>
        <v>100</v>
      </c>
      <c r="DK77" s="9">
        <f>VLOOKUP($DI$1,DATA!$B$24:$C$45,2,0)</f>
        <v>0.03</v>
      </c>
      <c r="DL77" s="9">
        <f t="shared" si="131"/>
        <v>0.03</v>
      </c>
      <c r="DM77" s="84">
        <f t="shared" si="132"/>
        <v>0.6</v>
      </c>
      <c r="DN77" s="226" t="s">
        <v>185</v>
      </c>
      <c r="DO77" s="227">
        <f>VLOOKUP(DN77,DATA!$B$13:$C$19,2,0)</f>
        <v>100</v>
      </c>
      <c r="DP77" s="9">
        <f>VLOOKUP($DN$1,DATA!$B$24:$C$45,2,0)</f>
        <v>7.0000000000000007E-2</v>
      </c>
      <c r="DQ77" s="9">
        <f t="shared" si="133"/>
        <v>7.0000000000000007E-2</v>
      </c>
      <c r="DR77" s="3">
        <f t="shared" si="134"/>
        <v>1.4000000000000001</v>
      </c>
      <c r="DS77" s="6"/>
      <c r="DT77" s="95">
        <v>45982</v>
      </c>
      <c r="DU77" s="226" t="s">
        <v>185</v>
      </c>
      <c r="DV77" s="227">
        <f>VLOOKUP(DU77,DATA!$B$13:$C$19,2,0)</f>
        <v>100</v>
      </c>
      <c r="DW77" s="9">
        <f>VLOOKUP($DU$1,DATA!$B$24:$C$45,2,0)</f>
        <v>0.04</v>
      </c>
      <c r="DX77" s="9">
        <f t="shared" si="135"/>
        <v>0.04</v>
      </c>
      <c r="DY77" s="3">
        <f t="shared" si="136"/>
        <v>0.8</v>
      </c>
      <c r="DZ77" s="6"/>
      <c r="EA77" s="95">
        <v>45982</v>
      </c>
      <c r="EB77" s="226" t="s">
        <v>185</v>
      </c>
      <c r="EC77" s="227">
        <f>VLOOKUP(EB77,DATA!$B$13:$C$19,2,0)</f>
        <v>100</v>
      </c>
      <c r="ED77" s="9">
        <f>VLOOKUP($EB$1,DATA!$B$24:$C$45,2,0)</f>
        <v>0.05</v>
      </c>
      <c r="EE77" s="9">
        <f t="shared" si="137"/>
        <v>0.05</v>
      </c>
      <c r="EF77" s="3">
        <f t="shared" si="138"/>
        <v>1</v>
      </c>
      <c r="EG77" s="6"/>
      <c r="EH77" s="95"/>
      <c r="EI77" s="226" t="s">
        <v>185</v>
      </c>
      <c r="EJ77" s="227">
        <f>VLOOKUP(EI77,DATA!$B$13:$C$19,2,0)</f>
        <v>100</v>
      </c>
      <c r="EK77" s="9">
        <f>VLOOKUP($EI$1,DATA!$B$24:$C$45,2,0)</f>
        <v>0.1</v>
      </c>
      <c r="EL77" s="9">
        <f t="shared" si="139"/>
        <v>0.1</v>
      </c>
      <c r="EM77" s="3">
        <f t="shared" si="140"/>
        <v>2</v>
      </c>
      <c r="EN77" s="6"/>
      <c r="EO77" s="95"/>
      <c r="EP77" s="226" t="s">
        <v>193</v>
      </c>
      <c r="EQ77" s="227">
        <f>VLOOKUP(EP77,DATA!$B$13:$C$19,2,0)</f>
        <v>0</v>
      </c>
      <c r="ER77" s="9">
        <f>VLOOKUP($EP$1,DATA!$B$24:$C$45,2,0)</f>
        <v>0.03</v>
      </c>
      <c r="ES77" s="9">
        <f t="shared" si="141"/>
        <v>0</v>
      </c>
      <c r="ET77" s="84">
        <f t="shared" si="142"/>
        <v>0.6</v>
      </c>
      <c r="EU77" s="244">
        <f t="shared" si="143"/>
        <v>1</v>
      </c>
      <c r="EV77" s="85" t="s">
        <v>186</v>
      </c>
      <c r="EW77" s="134" t="s">
        <v>187</v>
      </c>
      <c r="EX77" s="6"/>
    </row>
    <row r="78" spans="1:154" x14ac:dyDescent="0.3">
      <c r="A78" s="3" t="s">
        <v>188</v>
      </c>
      <c r="B78" s="3" t="s">
        <v>189</v>
      </c>
      <c r="C78" s="3" t="s">
        <v>358</v>
      </c>
      <c r="D78" s="85" t="s">
        <v>364</v>
      </c>
      <c r="E78" s="85" t="s">
        <v>360</v>
      </c>
      <c r="F78" s="3">
        <v>3351</v>
      </c>
      <c r="G78" s="3" t="s">
        <v>365</v>
      </c>
      <c r="H78" s="3">
        <v>20</v>
      </c>
      <c r="I78" s="3"/>
      <c r="J78" s="229">
        <f>BaseDeDatos[[#This Row],[Budget CS]]+BaseDeDatos[[#This Row],[Change Orders Budget]]</f>
        <v>20</v>
      </c>
      <c r="K78" s="92">
        <f>IFERROR(VLOOKUP(G78, DATA!H:I, 2, FALSE), 0)+BaseDeDatos[[#This Row],[Labor Spend on Design errors]]+BaseDeDatos[[#This Row],[Labor
Spent Customer changes]]</f>
        <v>11</v>
      </c>
      <c r="L78" s="92"/>
      <c r="M78" s="92"/>
      <c r="N78" s="232">
        <f t="shared" si="96"/>
        <v>0.96800000000000008</v>
      </c>
      <c r="O78" s="238">
        <f t="shared" si="97"/>
        <v>11</v>
      </c>
      <c r="P78" s="39">
        <v>33.43</v>
      </c>
      <c r="Q78" s="89">
        <f>BaseDeDatos[[#This Row],[Budget]]*BaseDeDatos[[#This Row],[Labor Rate from CS]]</f>
        <v>668.6</v>
      </c>
      <c r="R78" s="94">
        <f>BaseDeDatos[[#This Row],[Labor
Spent]]*BaseDeDatos[[#This Row],[Labor Rate from CS]]</f>
        <v>367.73</v>
      </c>
      <c r="S78" s="42">
        <f t="shared" si="98"/>
        <v>0.55000000000000004</v>
      </c>
      <c r="T78" s="98">
        <v>77942</v>
      </c>
      <c r="U78" s="98">
        <v>4967</v>
      </c>
      <c r="V78" s="39">
        <v>3401.6049999999996</v>
      </c>
      <c r="W78" s="98">
        <v>16916.32</v>
      </c>
      <c r="X78" s="98">
        <v>16916.32</v>
      </c>
      <c r="Y78" s="98"/>
      <c r="Z78" s="98"/>
      <c r="AA78" s="39">
        <v>60348.68</v>
      </c>
      <c r="AB78" s="89">
        <f t="shared" si="99"/>
        <v>42763.76</v>
      </c>
      <c r="AC78" s="120">
        <f>SUM(AB78,X78,R78,BaseDeDatos[[#This Row],[Additionals cost]])</f>
        <v>63449.415000000008</v>
      </c>
      <c r="AD78" s="117">
        <v>0.22570000000000001</v>
      </c>
      <c r="AE78" s="117">
        <v>0.2271</v>
      </c>
      <c r="AF78" s="240">
        <f t="shared" si="100"/>
        <v>0.22958340817530978</v>
      </c>
      <c r="AG78" s="226">
        <v>45964</v>
      </c>
      <c r="AH78" s="226" t="s">
        <v>185</v>
      </c>
      <c r="AI78" s="227">
        <f>VLOOKUP(AH78,DATA!$B$13:$C$19,2,0)</f>
        <v>100</v>
      </c>
      <c r="AJ78" s="4">
        <f>VLOOKUP($AH$1,DATA!$B$24:$C$45,2,0)</f>
        <v>0.05</v>
      </c>
      <c r="AK78" s="3">
        <f>BaseDeDatos[[#This Row],[Read info
Status]]*(AJ78)/100</f>
        <v>0.05</v>
      </c>
      <c r="AL78" s="84">
        <f t="shared" si="101"/>
        <v>1</v>
      </c>
      <c r="AM78" s="226" t="s">
        <v>185</v>
      </c>
      <c r="AN78" s="227">
        <f>VLOOKUP(AM78,DATA!$B$13:$C$19,2,0)</f>
        <v>100</v>
      </c>
      <c r="AO78" s="9">
        <f>VLOOKUP($AM$1,DATA!$B$24:$C$45,2,0)</f>
        <v>0.05</v>
      </c>
      <c r="AP78" s="9">
        <f t="shared" si="102"/>
        <v>0.05</v>
      </c>
      <c r="AQ78" s="3">
        <f t="shared" si="103"/>
        <v>1</v>
      </c>
      <c r="AR78" s="6" t="s">
        <v>362</v>
      </c>
      <c r="AS78" s="95" t="s">
        <v>362</v>
      </c>
      <c r="AT78" s="226" t="s">
        <v>185</v>
      </c>
      <c r="AU78" s="227">
        <f>VLOOKUP(AT78,DATA!$B$13:$C$19,2,0)</f>
        <v>100</v>
      </c>
      <c r="AV78" s="9">
        <f>VLOOKUP($AT$1,DATA!$B$24:$C$45,2,0)</f>
        <v>0.01</v>
      </c>
      <c r="AW78" s="9">
        <f t="shared" si="104"/>
        <v>0.01</v>
      </c>
      <c r="AX78" s="3">
        <f t="shared" si="105"/>
        <v>0.2</v>
      </c>
      <c r="AY78" s="6">
        <v>45972</v>
      </c>
      <c r="AZ78" s="95">
        <v>45972</v>
      </c>
      <c r="BA78" s="226" t="s">
        <v>185</v>
      </c>
      <c r="BB78" s="227">
        <f>VLOOKUP(BA78,DATA!$B$13:$C$19,2,0)</f>
        <v>100</v>
      </c>
      <c r="BC78" s="9">
        <f>VLOOKUP($BA$1,DATA!$B$24:$C$45,2,0)</f>
        <v>0.01</v>
      </c>
      <c r="BD78" s="9">
        <f t="shared" si="106"/>
        <v>0.01</v>
      </c>
      <c r="BE78" s="84">
        <f t="shared" si="107"/>
        <v>0.2</v>
      </c>
      <c r="BF78" s="226" t="s">
        <v>185</v>
      </c>
      <c r="BG78" s="227">
        <f>VLOOKUP(BF78,DATA!$B$13:$C$19,2,0)</f>
        <v>100</v>
      </c>
      <c r="BH78" s="9">
        <f>VLOOKUP($BF$1,DATA!$B$24:$C$45,2,0)</f>
        <v>0.08</v>
      </c>
      <c r="BI78" s="9">
        <f t="shared" si="108"/>
        <v>0.08</v>
      </c>
      <c r="BJ78" s="84">
        <f t="shared" si="109"/>
        <v>1.6</v>
      </c>
      <c r="BK78" s="226" t="s">
        <v>185</v>
      </c>
      <c r="BL78" s="227">
        <f>VLOOKUP(BK78,DATA!$B$13:$C$19,2,0)</f>
        <v>100</v>
      </c>
      <c r="BM78" s="9">
        <f>VLOOKUP($BK$1,DATA!$B$24:$C$45,2,0)</f>
        <v>0.18</v>
      </c>
      <c r="BN78" s="9">
        <f t="shared" si="110"/>
        <v>0.18</v>
      </c>
      <c r="BO78" s="84">
        <f t="shared" si="111"/>
        <v>3.5999999999999996</v>
      </c>
      <c r="BP78" s="226" t="s">
        <v>185</v>
      </c>
      <c r="BQ78" s="227">
        <f>VLOOKUP(BP78,DATA!$B$13:$C$19,2,0)</f>
        <v>100</v>
      </c>
      <c r="BR78" s="9">
        <f>VLOOKUP($BP$1,DATA!$B$24:$C$45,2,0)</f>
        <v>0.28000000000000003</v>
      </c>
      <c r="BS78" s="9">
        <f t="shared" si="112"/>
        <v>0.28000000000000003</v>
      </c>
      <c r="BT78" s="84">
        <f t="shared" si="113"/>
        <v>5.6000000000000005</v>
      </c>
      <c r="BU78" s="226" t="s">
        <v>185</v>
      </c>
      <c r="BV78" s="227">
        <f>VLOOKUP(BU78,DATA!$B$13:$C$19,2,0)</f>
        <v>100</v>
      </c>
      <c r="BW78" s="9">
        <f>VLOOKUP($BU$1,DATA!$B$24:$C$45,2,0)</f>
        <v>0.15</v>
      </c>
      <c r="BX78" s="9">
        <f t="shared" si="114"/>
        <v>0.15</v>
      </c>
      <c r="BY78" s="84">
        <f t="shared" si="115"/>
        <v>3</v>
      </c>
      <c r="BZ78" s="226" t="s">
        <v>185</v>
      </c>
      <c r="CA78" s="227">
        <f>VLOOKUP(BZ78,DATA!$B$13:$C$19,2,0)</f>
        <v>100</v>
      </c>
      <c r="CB78" s="9">
        <f>VLOOKUP($BZ$1,DATA!$B$24:$C$45,2,0)</f>
        <v>0.16</v>
      </c>
      <c r="CC78" s="9">
        <f t="shared" si="116"/>
        <v>0.16</v>
      </c>
      <c r="CD78" s="84">
        <f t="shared" si="117"/>
        <v>3.2</v>
      </c>
      <c r="CE78" s="226" t="s">
        <v>185</v>
      </c>
      <c r="CF78" s="227">
        <f>VLOOKUP(CE78,DATA!$B$13:$C$19,2,0)</f>
        <v>100</v>
      </c>
      <c r="CG78" s="9">
        <f>VLOOKUP($CE$1,DATA!$B$24:$C$45,2,0)</f>
        <v>0.13</v>
      </c>
      <c r="CH78" s="9">
        <f t="shared" si="118"/>
        <v>0.13</v>
      </c>
      <c r="CI78" s="84">
        <f t="shared" si="119"/>
        <v>2.6</v>
      </c>
      <c r="CJ78" s="226" t="s">
        <v>185</v>
      </c>
      <c r="CK78" s="227">
        <f>VLOOKUP(CJ78,DATA!$B$13:$C$19,2,0)</f>
        <v>100</v>
      </c>
      <c r="CL78" s="9">
        <f>VLOOKUP($CJ$1,DATA!$B$24:$C$45,2,0)</f>
        <v>0.01</v>
      </c>
      <c r="CM78" s="9">
        <f t="shared" si="120"/>
        <v>0.01</v>
      </c>
      <c r="CN78" s="84">
        <f t="shared" si="121"/>
        <v>0.2</v>
      </c>
      <c r="CO78" s="96">
        <f t="shared" si="122"/>
        <v>1</v>
      </c>
      <c r="CP78" s="9">
        <f>VLOOKUP($CO$1,DATA!$B$24:$C$45,2,0)</f>
        <v>0.54</v>
      </c>
      <c r="CQ78" s="9">
        <f t="shared" si="123"/>
        <v>0.54</v>
      </c>
      <c r="CR78" s="3">
        <f t="shared" si="124"/>
        <v>10.8</v>
      </c>
      <c r="CS78" s="130">
        <f t="shared" si="125"/>
        <v>10.8</v>
      </c>
      <c r="CT78" s="242">
        <f t="shared" si="126"/>
        <v>0</v>
      </c>
      <c r="CU78" s="226" t="s">
        <v>238</v>
      </c>
      <c r="CV78" s="227">
        <f>VLOOKUP(CU78,DATA!$B$13:$C$19,2,0)</f>
        <v>90</v>
      </c>
      <c r="CW78" s="9">
        <f>VLOOKUP($CU$1,DATA!$B$24:$C$45,2,0)</f>
        <v>0.02</v>
      </c>
      <c r="CX78" s="9">
        <f t="shared" si="127"/>
        <v>1.8000000000000002E-2</v>
      </c>
      <c r="CY78" s="3">
        <f t="shared" si="128"/>
        <v>0.4</v>
      </c>
      <c r="CZ78" s="6"/>
      <c r="DA78" s="95"/>
      <c r="DB78" s="226" t="s">
        <v>185</v>
      </c>
      <c r="DC78" s="227">
        <f>VLOOKUP(DB78,DATA!$B$13:$C$19,2,0)</f>
        <v>100</v>
      </c>
      <c r="DD78" s="9">
        <f>VLOOKUP($DB$1,DATA!$B$24:$C$45,2,0)</f>
        <v>0.01</v>
      </c>
      <c r="DE78" s="9">
        <f t="shared" si="129"/>
        <v>0.01</v>
      </c>
      <c r="DF78" s="3">
        <f t="shared" si="130"/>
        <v>0.2</v>
      </c>
      <c r="DG78" s="6"/>
      <c r="DH78" s="95"/>
      <c r="DI78" s="226" t="s">
        <v>185</v>
      </c>
      <c r="DJ78" s="227">
        <f>VLOOKUP(DI78,DATA!$B$13:$C$19,2,0)</f>
        <v>100</v>
      </c>
      <c r="DK78" s="9">
        <f>VLOOKUP($DI$1,DATA!$B$24:$C$45,2,0)</f>
        <v>0.03</v>
      </c>
      <c r="DL78" s="9">
        <f t="shared" si="131"/>
        <v>0.03</v>
      </c>
      <c r="DM78" s="84">
        <f t="shared" si="132"/>
        <v>0.6</v>
      </c>
      <c r="DN78" s="226" t="s">
        <v>185</v>
      </c>
      <c r="DO78" s="227">
        <f>VLOOKUP(DN78,DATA!$B$13:$C$19,2,0)</f>
        <v>100</v>
      </c>
      <c r="DP78" s="9">
        <f>VLOOKUP($DN$1,DATA!$B$24:$C$45,2,0)</f>
        <v>7.0000000000000007E-2</v>
      </c>
      <c r="DQ78" s="9">
        <f t="shared" si="133"/>
        <v>7.0000000000000007E-2</v>
      </c>
      <c r="DR78" s="3">
        <f t="shared" si="134"/>
        <v>1.4000000000000001</v>
      </c>
      <c r="DS78" s="6"/>
      <c r="DT78" s="95">
        <v>45982</v>
      </c>
      <c r="DU78" s="226" t="s">
        <v>185</v>
      </c>
      <c r="DV78" s="227">
        <f>VLOOKUP(DU78,DATA!$B$13:$C$19,2,0)</f>
        <v>100</v>
      </c>
      <c r="DW78" s="9">
        <f>VLOOKUP($DU$1,DATA!$B$24:$C$45,2,0)</f>
        <v>0.04</v>
      </c>
      <c r="DX78" s="9">
        <f t="shared" si="135"/>
        <v>0.04</v>
      </c>
      <c r="DY78" s="3">
        <f t="shared" si="136"/>
        <v>0.8</v>
      </c>
      <c r="DZ78" s="6"/>
      <c r="EA78" s="95">
        <v>45982</v>
      </c>
      <c r="EB78" s="226" t="s">
        <v>185</v>
      </c>
      <c r="EC78" s="227">
        <f>VLOOKUP(EB78,DATA!$B$13:$C$19,2,0)</f>
        <v>100</v>
      </c>
      <c r="ED78" s="9">
        <f>VLOOKUP($EB$1,DATA!$B$24:$C$45,2,0)</f>
        <v>0.05</v>
      </c>
      <c r="EE78" s="9">
        <f t="shared" si="137"/>
        <v>0.05</v>
      </c>
      <c r="EF78" s="3">
        <f t="shared" si="138"/>
        <v>1</v>
      </c>
      <c r="EG78" s="6"/>
      <c r="EH78" s="95"/>
      <c r="EI78" s="226" t="s">
        <v>185</v>
      </c>
      <c r="EJ78" s="227">
        <f>VLOOKUP(EI78,DATA!$B$13:$C$19,2,0)</f>
        <v>100</v>
      </c>
      <c r="EK78" s="9">
        <f>VLOOKUP($EI$1,DATA!$B$24:$C$45,2,0)</f>
        <v>0.1</v>
      </c>
      <c r="EL78" s="9">
        <f t="shared" si="139"/>
        <v>0.1</v>
      </c>
      <c r="EM78" s="3">
        <f t="shared" si="140"/>
        <v>2</v>
      </c>
      <c r="EN78" s="6"/>
      <c r="EO78" s="95"/>
      <c r="EP78" s="226" t="s">
        <v>193</v>
      </c>
      <c r="EQ78" s="227">
        <f>VLOOKUP(EP78,DATA!$B$13:$C$19,2,0)</f>
        <v>0</v>
      </c>
      <c r="ER78" s="9">
        <f>VLOOKUP($EP$1,DATA!$B$24:$C$45,2,0)</f>
        <v>0.03</v>
      </c>
      <c r="ES78" s="9">
        <f t="shared" si="141"/>
        <v>0</v>
      </c>
      <c r="ET78" s="84">
        <f t="shared" si="142"/>
        <v>0.6</v>
      </c>
      <c r="EU78" s="244">
        <f t="shared" si="143"/>
        <v>1</v>
      </c>
      <c r="EV78" s="85" t="s">
        <v>186</v>
      </c>
      <c r="EW78" s="134" t="s">
        <v>187</v>
      </c>
      <c r="EX78" s="6"/>
    </row>
    <row r="79" spans="1:154" x14ac:dyDescent="0.3">
      <c r="A79" s="3" t="s">
        <v>188</v>
      </c>
      <c r="B79" s="3" t="s">
        <v>189</v>
      </c>
      <c r="C79" s="3" t="s">
        <v>358</v>
      </c>
      <c r="D79" s="85" t="s">
        <v>364</v>
      </c>
      <c r="E79" s="85" t="s">
        <v>360</v>
      </c>
      <c r="F79" s="3">
        <v>3351</v>
      </c>
      <c r="G79" s="3" t="s">
        <v>366</v>
      </c>
      <c r="H79" s="3">
        <v>20</v>
      </c>
      <c r="I79" s="3"/>
      <c r="J79" s="229">
        <f>BaseDeDatos[[#This Row],[Budget CS]]+BaseDeDatos[[#This Row],[Change Orders Budget]]</f>
        <v>20</v>
      </c>
      <c r="K79" s="92">
        <f>IFERROR(VLOOKUP(G79, DATA!H:I, 2, FALSE), 0)+BaseDeDatos[[#This Row],[Labor Spend on Design errors]]+BaseDeDatos[[#This Row],[Labor
Spent Customer changes]]</f>
        <v>10</v>
      </c>
      <c r="L79" s="92"/>
      <c r="M79" s="92"/>
      <c r="N79" s="232">
        <f t="shared" si="96"/>
        <v>0.96800000000000008</v>
      </c>
      <c r="O79" s="238">
        <f t="shared" si="97"/>
        <v>10</v>
      </c>
      <c r="P79" s="39">
        <v>33.43</v>
      </c>
      <c r="Q79" s="89">
        <f>BaseDeDatos[[#This Row],[Budget]]*BaseDeDatos[[#This Row],[Labor Rate from CS]]</f>
        <v>668.6</v>
      </c>
      <c r="R79" s="94">
        <f>BaseDeDatos[[#This Row],[Labor
Spent]]*BaseDeDatos[[#This Row],[Labor Rate from CS]]</f>
        <v>334.3</v>
      </c>
      <c r="S79" s="42">
        <f t="shared" si="98"/>
        <v>0.5</v>
      </c>
      <c r="T79" s="98">
        <v>77942</v>
      </c>
      <c r="U79" s="98">
        <v>4967</v>
      </c>
      <c r="V79" s="39">
        <v>3401.6049999999996</v>
      </c>
      <c r="W79" s="98">
        <v>16916.32</v>
      </c>
      <c r="X79" s="98">
        <v>16916.32</v>
      </c>
      <c r="Y79" s="98"/>
      <c r="Z79" s="98"/>
      <c r="AA79" s="39">
        <v>60348.68</v>
      </c>
      <c r="AB79" s="89">
        <f t="shared" si="99"/>
        <v>42763.76</v>
      </c>
      <c r="AC79" s="120">
        <f>SUM(AB79,X79,R79,BaseDeDatos[[#This Row],[Additionals cost]])</f>
        <v>63415.985000000001</v>
      </c>
      <c r="AD79" s="117">
        <v>0.22570000000000001</v>
      </c>
      <c r="AE79" s="117">
        <v>0.2271</v>
      </c>
      <c r="AF79" s="240">
        <f t="shared" si="100"/>
        <v>0.23001231685099172</v>
      </c>
      <c r="AG79" s="226">
        <v>45964</v>
      </c>
      <c r="AH79" s="226" t="s">
        <v>185</v>
      </c>
      <c r="AI79" s="227">
        <f>VLOOKUP(AH79,DATA!$B$13:$C$19,2,0)</f>
        <v>100</v>
      </c>
      <c r="AJ79" s="4">
        <f>VLOOKUP($AH$1,DATA!$B$24:$C$45,2,0)</f>
        <v>0.05</v>
      </c>
      <c r="AK79" s="3">
        <f>BaseDeDatos[[#This Row],[Read info
Status]]*(AJ79)/100</f>
        <v>0.05</v>
      </c>
      <c r="AL79" s="84">
        <f t="shared" si="101"/>
        <v>1</v>
      </c>
      <c r="AM79" s="226" t="s">
        <v>185</v>
      </c>
      <c r="AN79" s="227">
        <f>VLOOKUP(AM79,DATA!$B$13:$C$19,2,0)</f>
        <v>100</v>
      </c>
      <c r="AO79" s="9">
        <f>VLOOKUP($AM$1,DATA!$B$24:$C$45,2,0)</f>
        <v>0.05</v>
      </c>
      <c r="AP79" s="9">
        <f t="shared" si="102"/>
        <v>0.05</v>
      </c>
      <c r="AQ79" s="3">
        <f t="shared" si="103"/>
        <v>1</v>
      </c>
      <c r="AR79" s="6" t="s">
        <v>362</v>
      </c>
      <c r="AS79" s="95" t="s">
        <v>362</v>
      </c>
      <c r="AT79" s="226" t="s">
        <v>185</v>
      </c>
      <c r="AU79" s="227">
        <f>VLOOKUP(AT79,DATA!$B$13:$C$19,2,0)</f>
        <v>100</v>
      </c>
      <c r="AV79" s="9">
        <f>VLOOKUP($AT$1,DATA!$B$24:$C$45,2,0)</f>
        <v>0.01</v>
      </c>
      <c r="AW79" s="9">
        <f t="shared" si="104"/>
        <v>0.01</v>
      </c>
      <c r="AX79" s="3">
        <f t="shared" si="105"/>
        <v>0.2</v>
      </c>
      <c r="AY79" s="6">
        <v>45972</v>
      </c>
      <c r="AZ79" s="95">
        <v>45972</v>
      </c>
      <c r="BA79" s="226" t="s">
        <v>185</v>
      </c>
      <c r="BB79" s="227">
        <f>VLOOKUP(BA79,DATA!$B$13:$C$19,2,0)</f>
        <v>100</v>
      </c>
      <c r="BC79" s="9">
        <f>VLOOKUP($BA$1,DATA!$B$24:$C$45,2,0)</f>
        <v>0.01</v>
      </c>
      <c r="BD79" s="9">
        <f t="shared" si="106"/>
        <v>0.01</v>
      </c>
      <c r="BE79" s="84">
        <f t="shared" si="107"/>
        <v>0.2</v>
      </c>
      <c r="BF79" s="226" t="s">
        <v>185</v>
      </c>
      <c r="BG79" s="227">
        <f>VLOOKUP(BF79,DATA!$B$13:$C$19,2,0)</f>
        <v>100</v>
      </c>
      <c r="BH79" s="9">
        <f>VLOOKUP($BF$1,DATA!$B$24:$C$45,2,0)</f>
        <v>0.08</v>
      </c>
      <c r="BI79" s="9">
        <f t="shared" si="108"/>
        <v>0.08</v>
      </c>
      <c r="BJ79" s="84">
        <f t="shared" si="109"/>
        <v>1.6</v>
      </c>
      <c r="BK79" s="226" t="s">
        <v>185</v>
      </c>
      <c r="BL79" s="227">
        <f>VLOOKUP(BK79,DATA!$B$13:$C$19,2,0)</f>
        <v>100</v>
      </c>
      <c r="BM79" s="9">
        <f>VLOOKUP($BK$1,DATA!$B$24:$C$45,2,0)</f>
        <v>0.18</v>
      </c>
      <c r="BN79" s="9">
        <f t="shared" si="110"/>
        <v>0.18</v>
      </c>
      <c r="BO79" s="84">
        <f t="shared" si="111"/>
        <v>3.5999999999999996</v>
      </c>
      <c r="BP79" s="226" t="s">
        <v>185</v>
      </c>
      <c r="BQ79" s="227">
        <f>VLOOKUP(BP79,DATA!$B$13:$C$19,2,0)</f>
        <v>100</v>
      </c>
      <c r="BR79" s="9">
        <f>VLOOKUP($BP$1,DATA!$B$24:$C$45,2,0)</f>
        <v>0.28000000000000003</v>
      </c>
      <c r="BS79" s="9">
        <f t="shared" si="112"/>
        <v>0.28000000000000003</v>
      </c>
      <c r="BT79" s="84">
        <f t="shared" si="113"/>
        <v>5.6000000000000005</v>
      </c>
      <c r="BU79" s="226" t="s">
        <v>185</v>
      </c>
      <c r="BV79" s="227">
        <f>VLOOKUP(BU79,DATA!$B$13:$C$19,2,0)</f>
        <v>100</v>
      </c>
      <c r="BW79" s="9">
        <f>VLOOKUP($BU$1,DATA!$B$24:$C$45,2,0)</f>
        <v>0.15</v>
      </c>
      <c r="BX79" s="9">
        <f t="shared" si="114"/>
        <v>0.15</v>
      </c>
      <c r="BY79" s="84">
        <f t="shared" si="115"/>
        <v>3</v>
      </c>
      <c r="BZ79" s="226" t="s">
        <v>185</v>
      </c>
      <c r="CA79" s="227">
        <f>VLOOKUP(BZ79,DATA!$B$13:$C$19,2,0)</f>
        <v>100</v>
      </c>
      <c r="CB79" s="9">
        <f>VLOOKUP($BZ$1,DATA!$B$24:$C$45,2,0)</f>
        <v>0.16</v>
      </c>
      <c r="CC79" s="9">
        <f t="shared" si="116"/>
        <v>0.16</v>
      </c>
      <c r="CD79" s="84">
        <f t="shared" si="117"/>
        <v>3.2</v>
      </c>
      <c r="CE79" s="226" t="s">
        <v>185</v>
      </c>
      <c r="CF79" s="227">
        <f>VLOOKUP(CE79,DATA!$B$13:$C$19,2,0)</f>
        <v>100</v>
      </c>
      <c r="CG79" s="9">
        <f>VLOOKUP($CE$1,DATA!$B$24:$C$45,2,0)</f>
        <v>0.13</v>
      </c>
      <c r="CH79" s="9">
        <f t="shared" si="118"/>
        <v>0.13</v>
      </c>
      <c r="CI79" s="84">
        <f t="shared" si="119"/>
        <v>2.6</v>
      </c>
      <c r="CJ79" s="226" t="s">
        <v>185</v>
      </c>
      <c r="CK79" s="227">
        <f>VLOOKUP(CJ79,DATA!$B$13:$C$19,2,0)</f>
        <v>100</v>
      </c>
      <c r="CL79" s="9">
        <f>VLOOKUP($CJ$1,DATA!$B$24:$C$45,2,0)</f>
        <v>0.01</v>
      </c>
      <c r="CM79" s="9">
        <f t="shared" si="120"/>
        <v>0.01</v>
      </c>
      <c r="CN79" s="84">
        <f t="shared" si="121"/>
        <v>0.2</v>
      </c>
      <c r="CO79" s="96">
        <f t="shared" si="122"/>
        <v>1</v>
      </c>
      <c r="CP79" s="9">
        <f>VLOOKUP($CO$1,DATA!$B$24:$C$45,2,0)</f>
        <v>0.54</v>
      </c>
      <c r="CQ79" s="9">
        <f t="shared" si="123"/>
        <v>0.54</v>
      </c>
      <c r="CR79" s="3">
        <f t="shared" si="124"/>
        <v>10.8</v>
      </c>
      <c r="CS79" s="130">
        <f t="shared" si="125"/>
        <v>10.8</v>
      </c>
      <c r="CT79" s="242">
        <f t="shared" si="126"/>
        <v>0</v>
      </c>
      <c r="CU79" s="226" t="s">
        <v>238</v>
      </c>
      <c r="CV79" s="227">
        <f>VLOOKUP(CU79,DATA!$B$13:$C$19,2,0)</f>
        <v>90</v>
      </c>
      <c r="CW79" s="9">
        <f>VLOOKUP($CU$1,DATA!$B$24:$C$45,2,0)</f>
        <v>0.02</v>
      </c>
      <c r="CX79" s="9">
        <f t="shared" si="127"/>
        <v>1.8000000000000002E-2</v>
      </c>
      <c r="CY79" s="3">
        <f t="shared" si="128"/>
        <v>0.4</v>
      </c>
      <c r="CZ79" s="6"/>
      <c r="DA79" s="95"/>
      <c r="DB79" s="226" t="s">
        <v>185</v>
      </c>
      <c r="DC79" s="227">
        <f>VLOOKUP(DB79,DATA!$B$13:$C$19,2,0)</f>
        <v>100</v>
      </c>
      <c r="DD79" s="9">
        <f>VLOOKUP($DB$1,DATA!$B$24:$C$45,2,0)</f>
        <v>0.01</v>
      </c>
      <c r="DE79" s="9">
        <f t="shared" si="129"/>
        <v>0.01</v>
      </c>
      <c r="DF79" s="3">
        <f t="shared" si="130"/>
        <v>0.2</v>
      </c>
      <c r="DG79" s="6"/>
      <c r="DH79" s="95"/>
      <c r="DI79" s="226" t="s">
        <v>185</v>
      </c>
      <c r="DJ79" s="227">
        <f>VLOOKUP(DI79,DATA!$B$13:$C$19,2,0)</f>
        <v>100</v>
      </c>
      <c r="DK79" s="9">
        <f>VLOOKUP($DI$1,DATA!$B$24:$C$45,2,0)</f>
        <v>0.03</v>
      </c>
      <c r="DL79" s="9">
        <f t="shared" si="131"/>
        <v>0.03</v>
      </c>
      <c r="DM79" s="84">
        <f t="shared" si="132"/>
        <v>0.6</v>
      </c>
      <c r="DN79" s="226" t="s">
        <v>185</v>
      </c>
      <c r="DO79" s="227">
        <f>VLOOKUP(DN79,DATA!$B$13:$C$19,2,0)</f>
        <v>100</v>
      </c>
      <c r="DP79" s="9">
        <f>VLOOKUP($DN$1,DATA!$B$24:$C$45,2,0)</f>
        <v>7.0000000000000007E-2</v>
      </c>
      <c r="DQ79" s="9">
        <f t="shared" si="133"/>
        <v>7.0000000000000007E-2</v>
      </c>
      <c r="DR79" s="3">
        <f t="shared" si="134"/>
        <v>1.4000000000000001</v>
      </c>
      <c r="DS79" s="6"/>
      <c r="DT79" s="95">
        <v>45982</v>
      </c>
      <c r="DU79" s="226" t="s">
        <v>185</v>
      </c>
      <c r="DV79" s="227">
        <f>VLOOKUP(DU79,DATA!$B$13:$C$19,2,0)</f>
        <v>100</v>
      </c>
      <c r="DW79" s="9">
        <f>VLOOKUP($DU$1,DATA!$B$24:$C$45,2,0)</f>
        <v>0.04</v>
      </c>
      <c r="DX79" s="9">
        <f t="shared" si="135"/>
        <v>0.04</v>
      </c>
      <c r="DY79" s="3">
        <f t="shared" si="136"/>
        <v>0.8</v>
      </c>
      <c r="DZ79" s="6"/>
      <c r="EA79" s="95">
        <v>45982</v>
      </c>
      <c r="EB79" s="226" t="s">
        <v>185</v>
      </c>
      <c r="EC79" s="227">
        <f>VLOOKUP(EB79,DATA!$B$13:$C$19,2,0)</f>
        <v>100</v>
      </c>
      <c r="ED79" s="9">
        <f>VLOOKUP($EB$1,DATA!$B$24:$C$45,2,0)</f>
        <v>0.05</v>
      </c>
      <c r="EE79" s="9">
        <f t="shared" si="137"/>
        <v>0.05</v>
      </c>
      <c r="EF79" s="3">
        <f t="shared" si="138"/>
        <v>1</v>
      </c>
      <c r="EG79" s="6"/>
      <c r="EH79" s="95"/>
      <c r="EI79" s="226" t="s">
        <v>185</v>
      </c>
      <c r="EJ79" s="227">
        <f>VLOOKUP(EI79,DATA!$B$13:$C$19,2,0)</f>
        <v>100</v>
      </c>
      <c r="EK79" s="9">
        <f>VLOOKUP($EI$1,DATA!$B$24:$C$45,2,0)</f>
        <v>0.1</v>
      </c>
      <c r="EL79" s="9">
        <f t="shared" si="139"/>
        <v>0.1</v>
      </c>
      <c r="EM79" s="3">
        <f t="shared" si="140"/>
        <v>2</v>
      </c>
      <c r="EN79" s="6"/>
      <c r="EO79" s="95"/>
      <c r="EP79" s="226" t="s">
        <v>193</v>
      </c>
      <c r="EQ79" s="227">
        <f>VLOOKUP(EP79,DATA!$B$13:$C$19,2,0)</f>
        <v>0</v>
      </c>
      <c r="ER79" s="9">
        <f>VLOOKUP($EP$1,DATA!$B$24:$C$45,2,0)</f>
        <v>0.03</v>
      </c>
      <c r="ES79" s="9">
        <f t="shared" si="141"/>
        <v>0</v>
      </c>
      <c r="ET79" s="84">
        <f t="shared" si="142"/>
        <v>0.6</v>
      </c>
      <c r="EU79" s="244">
        <f t="shared" si="143"/>
        <v>1</v>
      </c>
      <c r="EV79" s="85" t="s">
        <v>186</v>
      </c>
      <c r="EW79" s="134" t="s">
        <v>187</v>
      </c>
      <c r="EX79" s="6"/>
    </row>
    <row r="80" spans="1:154" x14ac:dyDescent="0.3">
      <c r="A80" s="3" t="s">
        <v>188</v>
      </c>
      <c r="B80" s="3" t="s">
        <v>189</v>
      </c>
      <c r="C80" s="3" t="s">
        <v>367</v>
      </c>
      <c r="D80" s="85" t="s">
        <v>368</v>
      </c>
      <c r="E80" s="85" t="s">
        <v>369</v>
      </c>
      <c r="F80" s="3">
        <v>3363</v>
      </c>
      <c r="G80" s="3" t="s">
        <v>370</v>
      </c>
      <c r="H80" s="3">
        <v>40</v>
      </c>
      <c r="I80" s="3"/>
      <c r="J80" s="229">
        <f>BaseDeDatos[[#This Row],[Budget CS]]+BaseDeDatos[[#This Row],[Change Orders Budget]]</f>
        <v>40</v>
      </c>
      <c r="K80" s="92">
        <f>IFERROR(VLOOKUP(G80, DATA!H:I, 2, FALSE), 0)+BaseDeDatos[[#This Row],[Labor Spend on Design errors]]+BaseDeDatos[[#This Row],[Labor
Spent Customer changes]]</f>
        <v>29</v>
      </c>
      <c r="L80" s="92"/>
      <c r="M80" s="92">
        <v>1</v>
      </c>
      <c r="N80" s="232">
        <f t="shared" si="96"/>
        <v>0.94500000000000006</v>
      </c>
      <c r="O80" s="238">
        <f t="shared" si="97"/>
        <v>29</v>
      </c>
      <c r="P80" s="39">
        <v>43</v>
      </c>
      <c r="Q80" s="89">
        <f>BaseDeDatos[[#This Row],[Budget]]*BaseDeDatos[[#This Row],[Labor Rate from CS]]</f>
        <v>1720</v>
      </c>
      <c r="R80" s="94">
        <f>BaseDeDatos[[#This Row],[Labor
Spent]]*BaseDeDatos[[#This Row],[Labor Rate from CS]]</f>
        <v>1247</v>
      </c>
      <c r="S80" s="42">
        <f t="shared" si="98"/>
        <v>0.72499999999999998</v>
      </c>
      <c r="T80" s="98">
        <v>134770</v>
      </c>
      <c r="U80" s="98"/>
      <c r="V80" s="39"/>
      <c r="W80" s="98">
        <v>23645.47</v>
      </c>
      <c r="X80" s="98">
        <v>23645.47</v>
      </c>
      <c r="Y80" s="98"/>
      <c r="Z80" s="98"/>
      <c r="AA80" s="39">
        <v>108290.36</v>
      </c>
      <c r="AB80" s="89">
        <f t="shared" si="99"/>
        <v>82924.89</v>
      </c>
      <c r="AC80" s="175">
        <f>SUM(AB80,X80,R80,BaseDeDatos[[#This Row],[Additionals cost]])</f>
        <v>107817.36</v>
      </c>
      <c r="AD80" s="224">
        <v>0.19650000000000001</v>
      </c>
      <c r="AE80" s="117">
        <v>0.20530000000000001</v>
      </c>
      <c r="AF80" s="241">
        <f t="shared" si="100"/>
        <v>0.19998990873339764</v>
      </c>
      <c r="AG80" s="226">
        <v>46009</v>
      </c>
      <c r="AH80" s="226" t="s">
        <v>185</v>
      </c>
      <c r="AI80" s="227">
        <f>VLOOKUP(AH80,DATA!$B$13:$C$19,2,0)</f>
        <v>100</v>
      </c>
      <c r="AJ80" s="4">
        <f>VLOOKUP($AH$1,DATA!$B$24:$C$45,2,0)</f>
        <v>0.05</v>
      </c>
      <c r="AK80" s="3">
        <f>BaseDeDatos[[#This Row],[Read info
Status]]*(AJ80)/100</f>
        <v>0.05</v>
      </c>
      <c r="AL80" s="84">
        <f t="shared" si="101"/>
        <v>2</v>
      </c>
      <c r="AM80" s="226" t="s">
        <v>185</v>
      </c>
      <c r="AN80" s="227">
        <f>VLOOKUP(AM80,DATA!$B$13:$C$19,2,0)</f>
        <v>100</v>
      </c>
      <c r="AO80" s="9">
        <f>VLOOKUP($AM$1,DATA!$B$24:$C$45,2,0)</f>
        <v>0.05</v>
      </c>
      <c r="AP80" s="9">
        <f t="shared" si="102"/>
        <v>0.05</v>
      </c>
      <c r="AQ80" s="3">
        <f t="shared" si="103"/>
        <v>2</v>
      </c>
      <c r="AR80" s="6"/>
      <c r="AS80" s="95"/>
      <c r="AT80" s="226" t="s">
        <v>185</v>
      </c>
      <c r="AU80" s="227">
        <f>VLOOKUP(AT80,DATA!$B$13:$C$19,2,0)</f>
        <v>100</v>
      </c>
      <c r="AV80" s="9">
        <f>VLOOKUP($AT$1,DATA!$B$24:$C$45,2,0)</f>
        <v>0.01</v>
      </c>
      <c r="AW80" s="9">
        <f t="shared" si="104"/>
        <v>0.01</v>
      </c>
      <c r="AX80" s="3">
        <f t="shared" si="105"/>
        <v>0.4</v>
      </c>
      <c r="AY80" s="6"/>
      <c r="AZ80" s="95">
        <v>46062</v>
      </c>
      <c r="BA80" s="226" t="s">
        <v>185</v>
      </c>
      <c r="BB80" s="227">
        <f>VLOOKUP(BA80,DATA!$B$13:$C$19,2,0)</f>
        <v>100</v>
      </c>
      <c r="BC80" s="9">
        <f>VLOOKUP($BA$1,DATA!$B$24:$C$45,2,0)</f>
        <v>0.01</v>
      </c>
      <c r="BD80" s="9">
        <f t="shared" si="106"/>
        <v>0.01</v>
      </c>
      <c r="BE80" s="84">
        <f t="shared" si="107"/>
        <v>0.4</v>
      </c>
      <c r="BF80" s="226" t="s">
        <v>185</v>
      </c>
      <c r="BG80" s="227">
        <f>VLOOKUP(BF80,DATA!$B$13:$C$19,2,0)</f>
        <v>100</v>
      </c>
      <c r="BH80" s="9">
        <f>VLOOKUP($BF$1,DATA!$B$24:$C$45,2,0)</f>
        <v>0.08</v>
      </c>
      <c r="BI80" s="9">
        <f t="shared" si="108"/>
        <v>0.08</v>
      </c>
      <c r="BJ80" s="84">
        <f t="shared" si="109"/>
        <v>3.2</v>
      </c>
      <c r="BK80" s="226" t="s">
        <v>185</v>
      </c>
      <c r="BL80" s="227">
        <f>VLOOKUP(BK80,DATA!$B$13:$C$19,2,0)</f>
        <v>100</v>
      </c>
      <c r="BM80" s="9">
        <f>VLOOKUP($BK$1,DATA!$B$24:$C$45,2,0)</f>
        <v>0.18</v>
      </c>
      <c r="BN80" s="9">
        <f t="shared" si="110"/>
        <v>0.18</v>
      </c>
      <c r="BO80" s="84">
        <f t="shared" si="111"/>
        <v>7.1999999999999993</v>
      </c>
      <c r="BP80" s="226" t="s">
        <v>185</v>
      </c>
      <c r="BQ80" s="227">
        <f>VLOOKUP(BP80,DATA!$B$13:$C$19,2,0)</f>
        <v>100</v>
      </c>
      <c r="BR80" s="9">
        <f>VLOOKUP($BP$1,DATA!$B$24:$C$45,2,0)</f>
        <v>0.28000000000000003</v>
      </c>
      <c r="BS80" s="9">
        <f t="shared" si="112"/>
        <v>0.28000000000000003</v>
      </c>
      <c r="BT80" s="84">
        <f t="shared" si="113"/>
        <v>11.200000000000001</v>
      </c>
      <c r="BU80" s="226" t="s">
        <v>185</v>
      </c>
      <c r="BV80" s="227">
        <f>VLOOKUP(BU80,DATA!$B$13:$C$19,2,0)</f>
        <v>100</v>
      </c>
      <c r="BW80" s="9">
        <f>VLOOKUP($BU$1,DATA!$B$24:$C$45,2,0)</f>
        <v>0.15</v>
      </c>
      <c r="BX80" s="9">
        <f t="shared" si="114"/>
        <v>0.15</v>
      </c>
      <c r="BY80" s="84">
        <f t="shared" si="115"/>
        <v>6</v>
      </c>
      <c r="BZ80" s="226" t="s">
        <v>185</v>
      </c>
      <c r="CA80" s="227">
        <f>VLOOKUP(BZ80,DATA!$B$13:$C$19,2,0)</f>
        <v>100</v>
      </c>
      <c r="CB80" s="9">
        <f>VLOOKUP($BZ$1,DATA!$B$24:$C$45,2,0)</f>
        <v>0.16</v>
      </c>
      <c r="CC80" s="9">
        <f t="shared" si="116"/>
        <v>0.16</v>
      </c>
      <c r="CD80" s="84">
        <f t="shared" si="117"/>
        <v>6.4</v>
      </c>
      <c r="CE80" s="226" t="s">
        <v>185</v>
      </c>
      <c r="CF80" s="227">
        <f>VLOOKUP(CE80,DATA!$B$13:$C$19,2,0)</f>
        <v>100</v>
      </c>
      <c r="CG80" s="9">
        <f>VLOOKUP($CE$1,DATA!$B$24:$C$45,2,0)</f>
        <v>0.13</v>
      </c>
      <c r="CH80" s="9">
        <f t="shared" si="118"/>
        <v>0.13</v>
      </c>
      <c r="CI80" s="84">
        <f t="shared" si="119"/>
        <v>5.2</v>
      </c>
      <c r="CJ80" s="226" t="s">
        <v>185</v>
      </c>
      <c r="CK80" s="227">
        <f>VLOOKUP(CJ80,DATA!$B$13:$C$19,2,0)</f>
        <v>100</v>
      </c>
      <c r="CL80" s="9">
        <f>VLOOKUP($CJ$1,DATA!$B$24:$C$45,2,0)</f>
        <v>0.01</v>
      </c>
      <c r="CM80" s="9">
        <f t="shared" si="120"/>
        <v>0.01</v>
      </c>
      <c r="CN80" s="84">
        <f t="shared" si="121"/>
        <v>0.4</v>
      </c>
      <c r="CO80" s="96">
        <f t="shared" si="122"/>
        <v>1</v>
      </c>
      <c r="CP80" s="9">
        <f>VLOOKUP($CO$1,DATA!$B$24:$C$45,2,0)</f>
        <v>0.54</v>
      </c>
      <c r="CQ80" s="9">
        <f t="shared" si="123"/>
        <v>0.54</v>
      </c>
      <c r="CR80" s="3">
        <f t="shared" si="124"/>
        <v>21.6</v>
      </c>
      <c r="CS80" s="7">
        <f t="shared" si="125"/>
        <v>21.6</v>
      </c>
      <c r="CT80" s="243">
        <f t="shared" si="126"/>
        <v>0</v>
      </c>
      <c r="CU80" s="226" t="s">
        <v>185</v>
      </c>
      <c r="CV80" s="227">
        <f>VLOOKUP(CU80,DATA!$B$13:$C$19,2,0)</f>
        <v>100</v>
      </c>
      <c r="CW80" s="9">
        <f>VLOOKUP($CU$1,DATA!$B$24:$C$45,2,0)</f>
        <v>0.02</v>
      </c>
      <c r="CX80" s="9">
        <f t="shared" si="127"/>
        <v>0.02</v>
      </c>
      <c r="CY80" s="3">
        <f t="shared" si="128"/>
        <v>0.8</v>
      </c>
      <c r="CZ80" s="6"/>
      <c r="DA80" s="95">
        <v>46065</v>
      </c>
      <c r="DB80" s="226" t="s">
        <v>185</v>
      </c>
      <c r="DC80" s="227">
        <f>VLOOKUP(DB80,DATA!$B$13:$C$19,2,0)</f>
        <v>100</v>
      </c>
      <c r="DD80" s="9">
        <f>VLOOKUP($DB$1,DATA!$B$24:$C$45,2,0)</f>
        <v>0.01</v>
      </c>
      <c r="DE80" s="9">
        <f t="shared" si="129"/>
        <v>0.01</v>
      </c>
      <c r="DF80" s="3">
        <f t="shared" si="130"/>
        <v>0.4</v>
      </c>
      <c r="DG80" s="6"/>
      <c r="DH80" s="95">
        <v>46070</v>
      </c>
      <c r="DI80" s="226" t="s">
        <v>185</v>
      </c>
      <c r="DJ80" s="227">
        <f>VLOOKUP(DI80,DATA!$B$13:$C$19,2,0)</f>
        <v>100</v>
      </c>
      <c r="DK80" s="9">
        <f>VLOOKUP($DI$1,DATA!$B$24:$C$45,2,0)</f>
        <v>0.03</v>
      </c>
      <c r="DL80" s="9">
        <f t="shared" si="131"/>
        <v>0.03</v>
      </c>
      <c r="DM80" s="84">
        <f t="shared" si="132"/>
        <v>1.2</v>
      </c>
      <c r="DN80" s="226" t="s">
        <v>185</v>
      </c>
      <c r="DO80" s="227">
        <f>VLOOKUP(DN80,DATA!$B$13:$C$19,2,0)</f>
        <v>100</v>
      </c>
      <c r="DP80" s="9">
        <f>VLOOKUP($DN$1,DATA!$B$24:$C$45,2,0)</f>
        <v>7.0000000000000007E-2</v>
      </c>
      <c r="DQ80" s="9">
        <f t="shared" si="133"/>
        <v>7.0000000000000007E-2</v>
      </c>
      <c r="DR80" s="3">
        <f t="shared" si="134"/>
        <v>2.8000000000000003</v>
      </c>
      <c r="DS80" s="6"/>
      <c r="DT80" s="95">
        <v>46070</v>
      </c>
      <c r="DU80" s="226" t="s">
        <v>185</v>
      </c>
      <c r="DV80" s="227">
        <f>VLOOKUP(DU80,DATA!$B$13:$C$19,2,0)</f>
        <v>100</v>
      </c>
      <c r="DW80" s="9">
        <f>VLOOKUP($DU$1,DATA!$B$24:$C$45,2,0)</f>
        <v>0.04</v>
      </c>
      <c r="DX80" s="9">
        <f t="shared" si="135"/>
        <v>0.04</v>
      </c>
      <c r="DY80" s="3">
        <f t="shared" si="136"/>
        <v>1.6</v>
      </c>
      <c r="DZ80" s="6"/>
      <c r="EA80" s="95">
        <v>46070</v>
      </c>
      <c r="EB80" s="226" t="s">
        <v>220</v>
      </c>
      <c r="EC80" s="227">
        <f>VLOOKUP(EB80,DATA!$B$13:$C$19,2,0)</f>
        <v>50</v>
      </c>
      <c r="ED80" s="9">
        <f>VLOOKUP($EB$1,DATA!$B$24:$C$45,2,0)</f>
        <v>0.05</v>
      </c>
      <c r="EE80" s="9">
        <f t="shared" si="137"/>
        <v>2.5000000000000001E-2</v>
      </c>
      <c r="EF80" s="3">
        <f t="shared" si="138"/>
        <v>2</v>
      </c>
      <c r="EG80" s="6"/>
      <c r="EH80" s="95"/>
      <c r="EI80" s="226" t="s">
        <v>185</v>
      </c>
      <c r="EJ80" s="227">
        <f>VLOOKUP(EI80,DATA!$B$13:$C$19,2,0)</f>
        <v>100</v>
      </c>
      <c r="EK80" s="9">
        <f>VLOOKUP($EI$1,DATA!$B$24:$C$45,2,0)</f>
        <v>0.1</v>
      </c>
      <c r="EL80" s="9">
        <f t="shared" si="139"/>
        <v>0.1</v>
      </c>
      <c r="EM80" s="3">
        <f t="shared" si="140"/>
        <v>4</v>
      </c>
      <c r="EN80" s="6"/>
      <c r="EO80" s="95"/>
      <c r="EP80" s="226" t="s">
        <v>193</v>
      </c>
      <c r="EQ80" s="227">
        <f>VLOOKUP(EP80,DATA!$B$13:$C$19,2,0)</f>
        <v>0</v>
      </c>
      <c r="ER80" s="9">
        <f>VLOOKUP($EP$1,DATA!$B$24:$C$45,2,0)</f>
        <v>0.03</v>
      </c>
      <c r="ES80" s="9">
        <f t="shared" si="141"/>
        <v>0</v>
      </c>
      <c r="ET80" s="84">
        <f t="shared" si="142"/>
        <v>1.2</v>
      </c>
      <c r="EU80" s="245">
        <f t="shared" si="143"/>
        <v>3.2</v>
      </c>
      <c r="EV80" s="85" t="s">
        <v>187</v>
      </c>
      <c r="EW80" s="134" t="s">
        <v>187</v>
      </c>
      <c r="EX80" s="6"/>
    </row>
    <row r="81" spans="1:154" x14ac:dyDescent="0.3">
      <c r="A81" s="3" t="s">
        <v>188</v>
      </c>
      <c r="B81" s="3" t="s">
        <v>189</v>
      </c>
      <c r="C81" s="3" t="s">
        <v>367</v>
      </c>
      <c r="D81" s="85" t="s">
        <v>371</v>
      </c>
      <c r="E81" s="85" t="s">
        <v>369</v>
      </c>
      <c r="F81" s="3">
        <v>3363</v>
      </c>
      <c r="G81" s="3" t="s">
        <v>372</v>
      </c>
      <c r="H81" s="3">
        <v>40</v>
      </c>
      <c r="I81" s="3"/>
      <c r="J81" s="229">
        <f>BaseDeDatos[[#This Row],[Budget CS]]+BaseDeDatos[[#This Row],[Change Orders Budget]]</f>
        <v>40</v>
      </c>
      <c r="K81" s="92">
        <f>IFERROR(VLOOKUP(G81, DATA!H:I, 2, FALSE), 0)+BaseDeDatos[[#This Row],[Labor Spend on Design errors]]+BaseDeDatos[[#This Row],[Labor
Spent Customer changes]]</f>
        <v>30</v>
      </c>
      <c r="L81" s="92"/>
      <c r="M81" s="92">
        <v>3</v>
      </c>
      <c r="N81" s="232">
        <f t="shared" si="96"/>
        <v>0.94500000000000006</v>
      </c>
      <c r="O81" s="238">
        <f t="shared" si="97"/>
        <v>30</v>
      </c>
      <c r="P81" s="39">
        <v>43</v>
      </c>
      <c r="Q81" s="89">
        <f>BaseDeDatos[[#This Row],[Budget]]*BaseDeDatos[[#This Row],[Labor Rate from CS]]</f>
        <v>1720</v>
      </c>
      <c r="R81" s="94">
        <f>BaseDeDatos[[#This Row],[Labor
Spent]]*BaseDeDatos[[#This Row],[Labor Rate from CS]]</f>
        <v>1290</v>
      </c>
      <c r="S81" s="42">
        <f t="shared" si="98"/>
        <v>0.75</v>
      </c>
      <c r="T81" s="98">
        <v>145151</v>
      </c>
      <c r="U81" s="98"/>
      <c r="V81" s="39"/>
      <c r="W81" s="98">
        <v>28299.47</v>
      </c>
      <c r="X81" s="98">
        <v>28299.47</v>
      </c>
      <c r="Y81" s="98"/>
      <c r="Z81" s="98"/>
      <c r="AA81" s="39">
        <v>114149.63</v>
      </c>
      <c r="AB81" s="89">
        <f t="shared" si="99"/>
        <v>84130.16</v>
      </c>
      <c r="AC81" s="175">
        <f>SUM(AB81,X81,R81,BaseDeDatos[[#This Row],[Additionals cost]])</f>
        <v>113719.63</v>
      </c>
      <c r="AD81" s="224">
        <v>0.21360000000000001</v>
      </c>
      <c r="AE81" s="117">
        <v>0.20530000000000001</v>
      </c>
      <c r="AF81" s="241">
        <f t="shared" si="100"/>
        <v>0.21654256601745764</v>
      </c>
      <c r="AG81" s="226">
        <v>46009</v>
      </c>
      <c r="AH81" s="226" t="s">
        <v>185</v>
      </c>
      <c r="AI81" s="227">
        <f>VLOOKUP(AH81,DATA!$B$13:$C$19,2,0)</f>
        <v>100</v>
      </c>
      <c r="AJ81" s="4">
        <f>VLOOKUP($AH$1,DATA!$B$24:$C$45,2,0)</f>
        <v>0.05</v>
      </c>
      <c r="AK81" s="3">
        <f>BaseDeDatos[[#This Row],[Read info
Status]]*(AJ81)/100</f>
        <v>0.05</v>
      </c>
      <c r="AL81" s="84">
        <f t="shared" si="101"/>
        <v>2</v>
      </c>
      <c r="AM81" s="226" t="s">
        <v>185</v>
      </c>
      <c r="AN81" s="227">
        <f>VLOOKUP(AM81,DATA!$B$13:$C$19,2,0)</f>
        <v>100</v>
      </c>
      <c r="AO81" s="9">
        <f>VLOOKUP($AM$1,DATA!$B$24:$C$45,2,0)</f>
        <v>0.05</v>
      </c>
      <c r="AP81" s="9">
        <f t="shared" si="102"/>
        <v>0.05</v>
      </c>
      <c r="AQ81" s="3">
        <f t="shared" si="103"/>
        <v>2</v>
      </c>
      <c r="AR81" s="6"/>
      <c r="AS81" s="95"/>
      <c r="AT81" s="226" t="s">
        <v>185</v>
      </c>
      <c r="AU81" s="227">
        <f>VLOOKUP(AT81,DATA!$B$13:$C$19,2,0)</f>
        <v>100</v>
      </c>
      <c r="AV81" s="9">
        <f>VLOOKUP($AT$1,DATA!$B$24:$C$45,2,0)</f>
        <v>0.01</v>
      </c>
      <c r="AW81" s="9">
        <f t="shared" si="104"/>
        <v>0.01</v>
      </c>
      <c r="AX81" s="3">
        <f t="shared" si="105"/>
        <v>0.4</v>
      </c>
      <c r="AY81" s="6"/>
      <c r="AZ81" s="95">
        <v>46063</v>
      </c>
      <c r="BA81" s="226" t="s">
        <v>185</v>
      </c>
      <c r="BB81" s="227">
        <f>VLOOKUP(BA81,DATA!$B$13:$C$19,2,0)</f>
        <v>100</v>
      </c>
      <c r="BC81" s="9">
        <f>VLOOKUP($BA$1,DATA!$B$24:$C$45,2,0)</f>
        <v>0.01</v>
      </c>
      <c r="BD81" s="9">
        <f t="shared" si="106"/>
        <v>0.01</v>
      </c>
      <c r="BE81" s="84">
        <f t="shared" si="107"/>
        <v>0.4</v>
      </c>
      <c r="BF81" s="226" t="s">
        <v>185</v>
      </c>
      <c r="BG81" s="227">
        <f>VLOOKUP(BF81,DATA!$B$13:$C$19,2,0)</f>
        <v>100</v>
      </c>
      <c r="BH81" s="9">
        <f>VLOOKUP($BF$1,DATA!$B$24:$C$45,2,0)</f>
        <v>0.08</v>
      </c>
      <c r="BI81" s="9">
        <f t="shared" si="108"/>
        <v>0.08</v>
      </c>
      <c r="BJ81" s="84">
        <f t="shared" si="109"/>
        <v>3.2</v>
      </c>
      <c r="BK81" s="226" t="s">
        <v>185</v>
      </c>
      <c r="BL81" s="227">
        <f>VLOOKUP(BK81,DATA!$B$13:$C$19,2,0)</f>
        <v>100</v>
      </c>
      <c r="BM81" s="9">
        <f>VLOOKUP($BK$1,DATA!$B$24:$C$45,2,0)</f>
        <v>0.18</v>
      </c>
      <c r="BN81" s="9">
        <f t="shared" si="110"/>
        <v>0.18</v>
      </c>
      <c r="BO81" s="84">
        <f t="shared" si="111"/>
        <v>7.1999999999999993</v>
      </c>
      <c r="BP81" s="226" t="s">
        <v>185</v>
      </c>
      <c r="BQ81" s="227">
        <f>VLOOKUP(BP81,DATA!$B$13:$C$19,2,0)</f>
        <v>100</v>
      </c>
      <c r="BR81" s="9">
        <f>VLOOKUP($BP$1,DATA!$B$24:$C$45,2,0)</f>
        <v>0.28000000000000003</v>
      </c>
      <c r="BS81" s="9">
        <f t="shared" si="112"/>
        <v>0.28000000000000003</v>
      </c>
      <c r="BT81" s="84">
        <f t="shared" si="113"/>
        <v>11.200000000000001</v>
      </c>
      <c r="BU81" s="226" t="s">
        <v>185</v>
      </c>
      <c r="BV81" s="227">
        <f>VLOOKUP(BU81,DATA!$B$13:$C$19,2,0)</f>
        <v>100</v>
      </c>
      <c r="BW81" s="9">
        <f>VLOOKUP($BU$1,DATA!$B$24:$C$45,2,0)</f>
        <v>0.15</v>
      </c>
      <c r="BX81" s="9">
        <f t="shared" si="114"/>
        <v>0.15</v>
      </c>
      <c r="BY81" s="84">
        <f t="shared" si="115"/>
        <v>6</v>
      </c>
      <c r="BZ81" s="226" t="s">
        <v>185</v>
      </c>
      <c r="CA81" s="227">
        <f>VLOOKUP(BZ81,DATA!$B$13:$C$19,2,0)</f>
        <v>100</v>
      </c>
      <c r="CB81" s="9">
        <f>VLOOKUP($BZ$1,DATA!$B$24:$C$45,2,0)</f>
        <v>0.16</v>
      </c>
      <c r="CC81" s="9">
        <f t="shared" si="116"/>
        <v>0.16</v>
      </c>
      <c r="CD81" s="84">
        <f t="shared" si="117"/>
        <v>6.4</v>
      </c>
      <c r="CE81" s="226" t="s">
        <v>185</v>
      </c>
      <c r="CF81" s="227">
        <f>VLOOKUP(CE81,DATA!$B$13:$C$19,2,0)</f>
        <v>100</v>
      </c>
      <c r="CG81" s="9">
        <f>VLOOKUP($CE$1,DATA!$B$24:$C$45,2,0)</f>
        <v>0.13</v>
      </c>
      <c r="CH81" s="9">
        <f t="shared" si="118"/>
        <v>0.13</v>
      </c>
      <c r="CI81" s="84">
        <f t="shared" si="119"/>
        <v>5.2</v>
      </c>
      <c r="CJ81" s="226" t="s">
        <v>185</v>
      </c>
      <c r="CK81" s="227">
        <f>VLOOKUP(CJ81,DATA!$B$13:$C$19,2,0)</f>
        <v>100</v>
      </c>
      <c r="CL81" s="9">
        <f>VLOOKUP($CJ$1,DATA!$B$24:$C$45,2,0)</f>
        <v>0.01</v>
      </c>
      <c r="CM81" s="9">
        <f t="shared" si="120"/>
        <v>0.01</v>
      </c>
      <c r="CN81" s="84">
        <f t="shared" si="121"/>
        <v>0.4</v>
      </c>
      <c r="CO81" s="96">
        <f t="shared" si="122"/>
        <v>1</v>
      </c>
      <c r="CP81" s="9">
        <f>VLOOKUP($CO$1,DATA!$B$24:$C$45,2,0)</f>
        <v>0.54</v>
      </c>
      <c r="CQ81" s="9">
        <f t="shared" si="123"/>
        <v>0.54</v>
      </c>
      <c r="CR81" s="3">
        <f t="shared" si="124"/>
        <v>21.6</v>
      </c>
      <c r="CS81" s="7">
        <f t="shared" si="125"/>
        <v>21.6</v>
      </c>
      <c r="CT81" s="243">
        <f t="shared" si="126"/>
        <v>0</v>
      </c>
      <c r="CU81" s="226" t="s">
        <v>185</v>
      </c>
      <c r="CV81" s="227">
        <f>VLOOKUP(CU81,DATA!$B$13:$C$19,2,0)</f>
        <v>100</v>
      </c>
      <c r="CW81" s="9">
        <f>VLOOKUP($CU$1,DATA!$B$24:$C$45,2,0)</f>
        <v>0.02</v>
      </c>
      <c r="CX81" s="9">
        <f t="shared" si="127"/>
        <v>0.02</v>
      </c>
      <c r="CY81" s="3">
        <f t="shared" si="128"/>
        <v>0.8</v>
      </c>
      <c r="CZ81" s="6"/>
      <c r="DA81" s="95">
        <v>46066</v>
      </c>
      <c r="DB81" s="226" t="s">
        <v>185</v>
      </c>
      <c r="DC81" s="227">
        <f>VLOOKUP(DB81,DATA!$B$13:$C$19,2,0)</f>
        <v>100</v>
      </c>
      <c r="DD81" s="9">
        <f>VLOOKUP($DB$1,DATA!$B$24:$C$45,2,0)</f>
        <v>0.01</v>
      </c>
      <c r="DE81" s="9">
        <f t="shared" si="129"/>
        <v>0.01</v>
      </c>
      <c r="DF81" s="3">
        <f t="shared" si="130"/>
        <v>0.4</v>
      </c>
      <c r="DG81" s="6"/>
      <c r="DH81" s="95">
        <v>46070</v>
      </c>
      <c r="DI81" s="226" t="s">
        <v>185</v>
      </c>
      <c r="DJ81" s="227">
        <f>VLOOKUP(DI81,DATA!$B$13:$C$19,2,0)</f>
        <v>100</v>
      </c>
      <c r="DK81" s="9">
        <f>VLOOKUP($DI$1,DATA!$B$24:$C$45,2,0)</f>
        <v>0.03</v>
      </c>
      <c r="DL81" s="9">
        <f t="shared" si="131"/>
        <v>0.03</v>
      </c>
      <c r="DM81" s="84">
        <f t="shared" si="132"/>
        <v>1.2</v>
      </c>
      <c r="DN81" s="226" t="s">
        <v>185</v>
      </c>
      <c r="DO81" s="227">
        <f>VLOOKUP(DN81,DATA!$B$13:$C$19,2,0)</f>
        <v>100</v>
      </c>
      <c r="DP81" s="9">
        <f>VLOOKUP($DN$1,DATA!$B$24:$C$45,2,0)</f>
        <v>7.0000000000000007E-2</v>
      </c>
      <c r="DQ81" s="9">
        <f t="shared" si="133"/>
        <v>7.0000000000000007E-2</v>
      </c>
      <c r="DR81" s="3">
        <f t="shared" si="134"/>
        <v>2.8000000000000003</v>
      </c>
      <c r="DS81" s="6"/>
      <c r="DT81" s="95">
        <v>46070</v>
      </c>
      <c r="DU81" s="226" t="s">
        <v>185</v>
      </c>
      <c r="DV81" s="227">
        <f>VLOOKUP(DU81,DATA!$B$13:$C$19,2,0)</f>
        <v>100</v>
      </c>
      <c r="DW81" s="9">
        <f>VLOOKUP($DU$1,DATA!$B$24:$C$45,2,0)</f>
        <v>0.04</v>
      </c>
      <c r="DX81" s="9">
        <f t="shared" si="135"/>
        <v>0.04</v>
      </c>
      <c r="DY81" s="3">
        <f t="shared" si="136"/>
        <v>1.6</v>
      </c>
      <c r="DZ81" s="6"/>
      <c r="EA81" s="95">
        <v>46070</v>
      </c>
      <c r="EB81" s="226" t="s">
        <v>220</v>
      </c>
      <c r="EC81" s="227">
        <f>VLOOKUP(EB81,DATA!$B$13:$C$19,2,0)</f>
        <v>50</v>
      </c>
      <c r="ED81" s="9">
        <f>VLOOKUP($EB$1,DATA!$B$24:$C$45,2,0)</f>
        <v>0.05</v>
      </c>
      <c r="EE81" s="9">
        <f t="shared" si="137"/>
        <v>2.5000000000000001E-2</v>
      </c>
      <c r="EF81" s="3">
        <f t="shared" si="138"/>
        <v>2</v>
      </c>
      <c r="EG81" s="6"/>
      <c r="EH81" s="95"/>
      <c r="EI81" s="226" t="s">
        <v>185</v>
      </c>
      <c r="EJ81" s="227">
        <f>VLOOKUP(EI81,DATA!$B$13:$C$19,2,0)</f>
        <v>100</v>
      </c>
      <c r="EK81" s="9">
        <f>VLOOKUP($EI$1,DATA!$B$24:$C$45,2,0)</f>
        <v>0.1</v>
      </c>
      <c r="EL81" s="9">
        <f t="shared" si="139"/>
        <v>0.1</v>
      </c>
      <c r="EM81" s="3">
        <f t="shared" si="140"/>
        <v>4</v>
      </c>
      <c r="EN81" s="6"/>
      <c r="EO81" s="95"/>
      <c r="EP81" s="226" t="s">
        <v>193</v>
      </c>
      <c r="EQ81" s="227">
        <f>VLOOKUP(EP81,DATA!$B$13:$C$19,2,0)</f>
        <v>0</v>
      </c>
      <c r="ER81" s="9">
        <f>VLOOKUP($EP$1,DATA!$B$24:$C$45,2,0)</f>
        <v>0.03</v>
      </c>
      <c r="ES81" s="9">
        <f t="shared" si="141"/>
        <v>0</v>
      </c>
      <c r="ET81" s="84">
        <f t="shared" si="142"/>
        <v>1.2</v>
      </c>
      <c r="EU81" s="245">
        <f t="shared" si="143"/>
        <v>3.2</v>
      </c>
      <c r="EV81" s="85" t="s">
        <v>187</v>
      </c>
      <c r="EW81" s="134" t="s">
        <v>197</v>
      </c>
      <c r="EX81" s="6"/>
    </row>
    <row r="82" spans="1:154" x14ac:dyDescent="0.3">
      <c r="P82" s="39"/>
      <c r="Q82" s="89"/>
      <c r="T82" s="98"/>
      <c r="U82" s="98"/>
      <c r="V82" s="39"/>
      <c r="W82" s="98"/>
      <c r="X82" s="98"/>
      <c r="Y82" s="98"/>
      <c r="Z82" s="98"/>
      <c r="AA82" s="39"/>
      <c r="AD82" s="224"/>
      <c r="AE82" s="117"/>
    </row>
    <row r="83" spans="1:154" x14ac:dyDescent="0.3">
      <c r="P83" s="39"/>
      <c r="Q83" s="89"/>
      <c r="T83" s="98"/>
      <c r="U83" s="98"/>
      <c r="V83" s="39"/>
      <c r="W83" s="98"/>
      <c r="X83" s="98"/>
      <c r="Y83" s="98"/>
      <c r="Z83" s="98"/>
      <c r="AA83" s="39"/>
      <c r="AD83" s="224"/>
      <c r="AE83" s="117"/>
    </row>
    <row r="84" spans="1:154" x14ac:dyDescent="0.3">
      <c r="P84" s="39"/>
      <c r="Q84" s="89"/>
      <c r="T84" s="98"/>
      <c r="U84" s="98"/>
      <c r="V84" s="39"/>
      <c r="W84" s="98"/>
      <c r="X84" s="98"/>
      <c r="Y84" s="98"/>
      <c r="Z84" s="98"/>
      <c r="AA84" s="39"/>
      <c r="AD84" s="224"/>
      <c r="AE84" s="117"/>
    </row>
    <row r="85" spans="1:154" x14ac:dyDescent="0.3">
      <c r="P85" s="39"/>
      <c r="Q85" s="89"/>
      <c r="T85" s="98"/>
      <c r="U85" s="98"/>
      <c r="V85" s="39"/>
      <c r="W85" s="98"/>
      <c r="X85" s="98"/>
      <c r="Y85" s="98"/>
      <c r="Z85" s="98"/>
      <c r="AA85" s="39"/>
      <c r="AD85" s="224"/>
      <c r="AE85" s="117"/>
    </row>
    <row r="86" spans="1:154" x14ac:dyDescent="0.3">
      <c r="P86" s="39"/>
      <c r="Q86" s="89"/>
      <c r="T86" s="98"/>
      <c r="U86" s="98"/>
      <c r="V86" s="39"/>
      <c r="W86" s="98"/>
      <c r="X86" s="98"/>
      <c r="Y86" s="98"/>
      <c r="Z86" s="98"/>
      <c r="AA86" s="39"/>
      <c r="AD86" s="224"/>
      <c r="AE86" s="117"/>
    </row>
    <row r="87" spans="1:154" x14ac:dyDescent="0.3">
      <c r="P87" s="39"/>
      <c r="Q87" s="89"/>
      <c r="T87" s="98"/>
      <c r="U87" s="98"/>
      <c r="V87" s="39"/>
      <c r="W87" s="98"/>
      <c r="X87" s="98"/>
      <c r="Y87" s="98"/>
      <c r="Z87" s="98"/>
      <c r="AA87" s="39"/>
      <c r="AD87" s="224"/>
      <c r="AE87" s="117"/>
    </row>
    <row r="88" spans="1:154" x14ac:dyDescent="0.3">
      <c r="P88" s="39"/>
      <c r="Q88" s="89"/>
      <c r="T88" s="98"/>
      <c r="U88" s="98"/>
      <c r="V88" s="39"/>
      <c r="W88" s="98"/>
      <c r="X88" s="98"/>
      <c r="Y88" s="98"/>
      <c r="Z88" s="98"/>
      <c r="AA88" s="39"/>
      <c r="AD88" s="224"/>
      <c r="AE88" s="117"/>
    </row>
    <row r="89" spans="1:154" x14ac:dyDescent="0.3">
      <c r="P89" s="39"/>
      <c r="Q89" s="89"/>
      <c r="T89" s="98"/>
      <c r="U89" s="98"/>
      <c r="V89" s="39"/>
      <c r="W89" s="98"/>
      <c r="X89" s="98"/>
      <c r="Y89" s="98"/>
      <c r="Z89" s="98"/>
      <c r="AA89" s="39"/>
      <c r="AD89" s="224"/>
      <c r="AE89" s="117"/>
    </row>
    <row r="90" spans="1:154" x14ac:dyDescent="0.3">
      <c r="P90" s="39"/>
      <c r="Q90" s="89"/>
      <c r="T90" s="98"/>
      <c r="U90" s="98"/>
      <c r="V90" s="39"/>
      <c r="W90" s="98"/>
      <c r="X90" s="98"/>
      <c r="Y90" s="98"/>
      <c r="Z90" s="98"/>
      <c r="AA90" s="39"/>
      <c r="AD90" s="224"/>
      <c r="AE90" s="117"/>
    </row>
    <row r="91" spans="1:154" x14ac:dyDescent="0.3">
      <c r="P91" s="39"/>
      <c r="Q91" s="89"/>
      <c r="T91" s="98"/>
      <c r="U91" s="98"/>
      <c r="V91" s="39"/>
      <c r="W91" s="98"/>
      <c r="X91" s="98"/>
      <c r="Y91" s="98"/>
      <c r="Z91" s="98"/>
      <c r="AA91" s="39"/>
      <c r="AD91" s="224"/>
      <c r="AE91" s="117"/>
    </row>
    <row r="92" spans="1:154" x14ac:dyDescent="0.3">
      <c r="P92" s="39"/>
      <c r="Q92" s="89"/>
      <c r="T92" s="98"/>
      <c r="U92" s="98"/>
      <c r="V92" s="39"/>
      <c r="W92" s="98"/>
      <c r="X92" s="98"/>
      <c r="Y92" s="98"/>
      <c r="Z92" s="98"/>
      <c r="AA92" s="39"/>
      <c r="AD92" s="224"/>
      <c r="AE92" s="117"/>
    </row>
    <row r="93" spans="1:154" x14ac:dyDescent="0.3">
      <c r="P93" s="39"/>
      <c r="Q93" s="89"/>
      <c r="T93" s="98"/>
      <c r="U93" s="98"/>
      <c r="V93" s="39"/>
      <c r="W93" s="98"/>
      <c r="X93" s="98"/>
      <c r="Y93" s="98"/>
      <c r="Z93" s="98"/>
      <c r="AA93" s="39"/>
      <c r="AD93" s="224"/>
      <c r="AE93" s="117"/>
    </row>
    <row r="94" spans="1:154" x14ac:dyDescent="0.3">
      <c r="P94" s="39"/>
      <c r="Q94" s="89"/>
      <c r="T94" s="98"/>
      <c r="U94" s="98"/>
      <c r="V94" s="39"/>
      <c r="W94" s="98"/>
      <c r="X94" s="98"/>
      <c r="Y94" s="98"/>
      <c r="Z94" s="98"/>
      <c r="AA94" s="39"/>
      <c r="AD94" s="224"/>
      <c r="AE94" s="117"/>
    </row>
    <row r="95" spans="1:154" x14ac:dyDescent="0.3">
      <c r="P95" s="39"/>
      <c r="Q95" s="89"/>
      <c r="T95" s="98"/>
      <c r="U95" s="98"/>
      <c r="V95" s="39"/>
      <c r="W95" s="98"/>
      <c r="X95" s="98"/>
      <c r="Y95" s="98"/>
      <c r="Z95" s="98"/>
      <c r="AA95" s="39"/>
      <c r="AD95" s="224"/>
      <c r="AE95" s="117"/>
    </row>
    <row r="96" spans="1:154" x14ac:dyDescent="0.3">
      <c r="P96" s="39"/>
      <c r="Q96" s="89"/>
      <c r="T96" s="98"/>
      <c r="U96" s="98"/>
      <c r="V96" s="39"/>
      <c r="W96" s="98"/>
      <c r="X96" s="98"/>
      <c r="Y96" s="98"/>
      <c r="Z96" s="98"/>
      <c r="AA96" s="39"/>
      <c r="AD96" s="224"/>
      <c r="AE96" s="117"/>
    </row>
    <row r="97" spans="16:31" x14ac:dyDescent="0.3">
      <c r="P97" s="39"/>
      <c r="Q97" s="89"/>
      <c r="T97" s="98"/>
      <c r="U97" s="98"/>
      <c r="V97" s="39"/>
      <c r="W97" s="98"/>
      <c r="X97" s="98"/>
      <c r="Y97" s="98"/>
      <c r="Z97" s="98"/>
      <c r="AA97" s="39"/>
      <c r="AD97" s="224"/>
      <c r="AE97" s="117"/>
    </row>
    <row r="98" spans="16:31" x14ac:dyDescent="0.3">
      <c r="P98" s="39"/>
      <c r="Q98" s="89"/>
      <c r="T98" s="98"/>
      <c r="U98" s="98"/>
      <c r="V98" s="39"/>
      <c r="W98" s="98"/>
      <c r="X98" s="98"/>
      <c r="Y98" s="98"/>
      <c r="Z98" s="98"/>
      <c r="AA98" s="39"/>
      <c r="AD98" s="224"/>
      <c r="AE98" s="117"/>
    </row>
    <row r="99" spans="16:31" x14ac:dyDescent="0.3">
      <c r="P99" s="39"/>
      <c r="Q99" s="89"/>
      <c r="T99" s="98"/>
      <c r="U99" s="98"/>
      <c r="V99" s="39"/>
      <c r="W99" s="98"/>
      <c r="X99" s="98"/>
      <c r="Y99" s="98"/>
      <c r="Z99" s="98"/>
      <c r="AA99" s="39"/>
      <c r="AD99" s="224"/>
      <c r="AE99" s="117"/>
    </row>
    <row r="100" spans="16:31" x14ac:dyDescent="0.3">
      <c r="P100" s="39"/>
      <c r="Q100" s="89"/>
      <c r="T100" s="98"/>
      <c r="U100" s="98"/>
      <c r="V100" s="39"/>
      <c r="W100" s="98"/>
      <c r="X100" s="98"/>
      <c r="Y100" s="98"/>
      <c r="Z100" s="98"/>
      <c r="AA100" s="39"/>
      <c r="AD100" s="224"/>
      <c r="AE100" s="117"/>
    </row>
    <row r="101" spans="16:31" x14ac:dyDescent="0.3">
      <c r="P101" s="39"/>
      <c r="Q101" s="89"/>
      <c r="T101" s="98"/>
      <c r="U101" s="98"/>
      <c r="V101" s="39"/>
      <c r="W101" s="98"/>
      <c r="X101" s="98"/>
      <c r="Y101" s="98"/>
      <c r="Z101" s="98"/>
      <c r="AA101" s="39"/>
      <c r="AD101" s="224"/>
      <c r="AE101" s="117"/>
    </row>
    <row r="102" spans="16:31" x14ac:dyDescent="0.3">
      <c r="P102" s="39"/>
      <c r="Q102" s="89"/>
      <c r="T102" s="98"/>
      <c r="U102" s="98"/>
      <c r="V102" s="39"/>
      <c r="W102" s="98"/>
      <c r="X102" s="98"/>
      <c r="Y102" s="98"/>
      <c r="Z102" s="98"/>
      <c r="AA102" s="39"/>
      <c r="AD102" s="224"/>
      <c r="AE102" s="117"/>
    </row>
    <row r="103" spans="16:31" x14ac:dyDescent="0.3">
      <c r="P103" s="39"/>
      <c r="Q103" s="89"/>
      <c r="T103" s="98"/>
      <c r="U103" s="98"/>
      <c r="V103" s="39"/>
      <c r="W103" s="98"/>
      <c r="X103" s="98"/>
      <c r="Y103" s="98"/>
      <c r="Z103" s="98"/>
      <c r="AA103" s="39"/>
      <c r="AD103" s="224"/>
      <c r="AE103" s="117"/>
    </row>
    <row r="104" spans="16:31" x14ac:dyDescent="0.3">
      <c r="P104" s="39"/>
      <c r="Q104" s="89"/>
      <c r="T104" s="98"/>
      <c r="U104" s="98"/>
      <c r="V104" s="39"/>
      <c r="W104" s="98"/>
      <c r="X104" s="98"/>
      <c r="Y104" s="98"/>
      <c r="Z104" s="98"/>
      <c r="AA104" s="39"/>
      <c r="AD104" s="224"/>
      <c r="AE104" s="117"/>
    </row>
    <row r="105" spans="16:31" x14ac:dyDescent="0.3">
      <c r="P105" s="39"/>
      <c r="Q105" s="89"/>
      <c r="T105" s="98"/>
      <c r="U105" s="98"/>
      <c r="V105" s="39"/>
      <c r="W105" s="98"/>
      <c r="X105" s="98"/>
      <c r="Y105" s="98"/>
      <c r="Z105" s="98"/>
      <c r="AA105" s="39"/>
      <c r="AD105" s="224"/>
      <c r="AE105" s="117"/>
    </row>
    <row r="106" spans="16:31" x14ac:dyDescent="0.3">
      <c r="P106" s="39"/>
      <c r="Q106" s="89"/>
      <c r="T106" s="98"/>
      <c r="U106" s="98"/>
      <c r="V106" s="39"/>
      <c r="W106" s="98"/>
      <c r="X106" s="98"/>
      <c r="Y106" s="98"/>
      <c r="Z106" s="98"/>
      <c r="AA106" s="39"/>
      <c r="AD106" s="224"/>
      <c r="AE106" s="117"/>
    </row>
    <row r="107" spans="16:31" x14ac:dyDescent="0.3">
      <c r="P107" s="39"/>
      <c r="Q107" s="89"/>
      <c r="T107" s="98"/>
      <c r="U107" s="98"/>
      <c r="V107" s="39"/>
      <c r="W107" s="98"/>
      <c r="X107" s="98"/>
      <c r="Y107" s="98"/>
      <c r="Z107" s="98"/>
      <c r="AA107" s="39"/>
      <c r="AD107" s="224"/>
      <c r="AE107" s="117"/>
    </row>
    <row r="108" spans="16:31" x14ac:dyDescent="0.3">
      <c r="P108" s="39"/>
      <c r="Q108" s="89"/>
      <c r="T108" s="98"/>
      <c r="U108" s="98"/>
      <c r="V108" s="39"/>
      <c r="W108" s="98"/>
      <c r="X108" s="98"/>
      <c r="Y108" s="98"/>
      <c r="Z108" s="98"/>
      <c r="AA108" s="39"/>
      <c r="AD108" s="224"/>
      <c r="AE108" s="117"/>
    </row>
    <row r="109" spans="16:31" x14ac:dyDescent="0.3">
      <c r="P109" s="39"/>
      <c r="Q109" s="89"/>
      <c r="T109" s="98"/>
      <c r="U109" s="98"/>
      <c r="V109" s="39"/>
      <c r="W109" s="98"/>
      <c r="X109" s="98"/>
      <c r="Y109" s="98"/>
      <c r="Z109" s="98"/>
      <c r="AA109" s="39"/>
      <c r="AD109" s="224"/>
      <c r="AE109" s="117"/>
    </row>
    <row r="110" spans="16:31" x14ac:dyDescent="0.3">
      <c r="P110" s="39"/>
      <c r="Q110" s="89"/>
      <c r="T110" s="98"/>
      <c r="U110" s="98"/>
      <c r="V110" s="39"/>
      <c r="W110" s="98"/>
      <c r="X110" s="98"/>
      <c r="Y110" s="98"/>
      <c r="Z110" s="98"/>
      <c r="AA110" s="39"/>
      <c r="AD110" s="224"/>
      <c r="AE110" s="117"/>
    </row>
    <row r="111" spans="16:31" x14ac:dyDescent="0.3">
      <c r="P111" s="39"/>
      <c r="Q111" s="89"/>
      <c r="T111" s="98"/>
      <c r="U111" s="98"/>
      <c r="V111" s="39"/>
      <c r="W111" s="98"/>
      <c r="X111" s="98"/>
      <c r="Y111" s="98"/>
      <c r="Z111" s="98"/>
      <c r="AA111" s="39"/>
      <c r="AD111" s="224"/>
      <c r="AE111" s="117"/>
    </row>
    <row r="112" spans="16:31" x14ac:dyDescent="0.3">
      <c r="P112" s="39"/>
      <c r="Q112" s="89"/>
      <c r="T112" s="98"/>
      <c r="U112" s="98"/>
      <c r="V112" s="39"/>
      <c r="W112" s="98"/>
      <c r="X112" s="98"/>
      <c r="Y112" s="98"/>
      <c r="Z112" s="98"/>
      <c r="AA112" s="39"/>
      <c r="AD112" s="224"/>
      <c r="AE112" s="117"/>
    </row>
    <row r="113" spans="16:31" x14ac:dyDescent="0.3">
      <c r="P113" s="39"/>
      <c r="Q113" s="89"/>
      <c r="T113" s="98"/>
      <c r="U113" s="98"/>
      <c r="V113" s="39"/>
      <c r="W113" s="98"/>
      <c r="X113" s="98"/>
      <c r="Y113" s="98"/>
      <c r="Z113" s="98"/>
      <c r="AA113" s="39"/>
      <c r="AD113" s="224"/>
      <c r="AE113" s="117"/>
    </row>
    <row r="114" spans="16:31" x14ac:dyDescent="0.3">
      <c r="P114" s="39"/>
      <c r="Q114" s="89"/>
      <c r="T114" s="98"/>
      <c r="U114" s="98"/>
      <c r="V114" s="39"/>
      <c r="W114" s="98"/>
      <c r="X114" s="98"/>
      <c r="Y114" s="98"/>
      <c r="Z114" s="98"/>
      <c r="AA114" s="39"/>
      <c r="AD114" s="224"/>
      <c r="AE114" s="117"/>
    </row>
    <row r="115" spans="16:31" x14ac:dyDescent="0.3">
      <c r="P115" s="39"/>
      <c r="Q115" s="89"/>
      <c r="T115" s="98"/>
      <c r="U115" s="98"/>
      <c r="V115" s="39"/>
      <c r="W115" s="98"/>
      <c r="X115" s="98"/>
      <c r="Y115" s="98"/>
      <c r="Z115" s="98"/>
      <c r="AA115" s="39"/>
      <c r="AD115" s="224"/>
      <c r="AE115" s="117"/>
    </row>
    <row r="116" spans="16:31" x14ac:dyDescent="0.3">
      <c r="P116" s="39"/>
      <c r="Q116" s="89"/>
      <c r="T116" s="98"/>
      <c r="U116" s="98"/>
      <c r="V116" s="39"/>
      <c r="W116" s="98"/>
      <c r="X116" s="98"/>
      <c r="Y116" s="98"/>
      <c r="Z116" s="98"/>
      <c r="AA116" s="39"/>
      <c r="AD116" s="224"/>
      <c r="AE116" s="117"/>
    </row>
    <row r="117" spans="16:31" x14ac:dyDescent="0.3">
      <c r="P117" s="39"/>
      <c r="Q117" s="89"/>
      <c r="T117" s="98"/>
      <c r="U117" s="98"/>
      <c r="V117" s="39"/>
      <c r="W117" s="98"/>
      <c r="X117" s="98"/>
      <c r="Y117" s="98"/>
      <c r="Z117" s="98"/>
      <c r="AA117" s="39"/>
      <c r="AD117" s="224"/>
      <c r="AE117" s="117"/>
    </row>
    <row r="118" spans="16:31" x14ac:dyDescent="0.3">
      <c r="P118" s="39"/>
      <c r="Q118" s="89"/>
      <c r="T118" s="98"/>
      <c r="U118" s="98"/>
      <c r="V118" s="39"/>
      <c r="W118" s="98"/>
      <c r="X118" s="98"/>
      <c r="Y118" s="98"/>
      <c r="Z118" s="98"/>
      <c r="AA118" s="39"/>
      <c r="AD118" s="224"/>
      <c r="AE118" s="117"/>
    </row>
    <row r="119" spans="16:31" x14ac:dyDescent="0.3">
      <c r="P119" s="39"/>
      <c r="Q119" s="89"/>
      <c r="T119" s="98"/>
      <c r="U119" s="98"/>
      <c r="V119" s="39"/>
      <c r="W119" s="98"/>
      <c r="X119" s="98"/>
      <c r="Y119" s="98"/>
      <c r="Z119" s="98"/>
      <c r="AA119" s="39"/>
      <c r="AD119" s="224"/>
      <c r="AE119" s="117"/>
    </row>
    <row r="120" spans="16:31" x14ac:dyDescent="0.3">
      <c r="P120" s="39"/>
      <c r="Q120" s="89"/>
      <c r="T120" s="98"/>
      <c r="U120" s="98"/>
      <c r="V120" s="39"/>
      <c r="W120" s="98"/>
      <c r="X120" s="98"/>
      <c r="Y120" s="98"/>
      <c r="Z120" s="98"/>
      <c r="AA120" s="39"/>
      <c r="AD120" s="224"/>
      <c r="AE120" s="117"/>
    </row>
    <row r="121" spans="16:31" x14ac:dyDescent="0.3">
      <c r="P121" s="39"/>
      <c r="Q121" s="89"/>
      <c r="T121" s="98"/>
      <c r="U121" s="98"/>
      <c r="V121" s="39"/>
      <c r="W121" s="98"/>
      <c r="X121" s="98"/>
      <c r="Y121" s="98"/>
      <c r="Z121" s="98"/>
      <c r="AA121" s="39"/>
      <c r="AD121" s="224"/>
      <c r="AE121" s="117"/>
    </row>
    <row r="122" spans="16:31" x14ac:dyDescent="0.3">
      <c r="P122" s="39"/>
      <c r="Q122" s="89"/>
      <c r="T122" s="98"/>
      <c r="U122" s="98"/>
      <c r="V122" s="39"/>
      <c r="W122" s="98"/>
      <c r="X122" s="98"/>
      <c r="Y122" s="98"/>
      <c r="Z122" s="98"/>
      <c r="AA122" s="39"/>
      <c r="AD122" s="224"/>
      <c r="AE122" s="117"/>
    </row>
    <row r="123" spans="16:31" x14ac:dyDescent="0.3">
      <c r="P123" s="39"/>
      <c r="Q123" s="89"/>
      <c r="T123" s="98"/>
      <c r="U123" s="98"/>
      <c r="V123" s="39"/>
      <c r="W123" s="98"/>
      <c r="X123" s="98"/>
      <c r="Y123" s="98"/>
      <c r="Z123" s="98"/>
      <c r="AA123" s="39"/>
      <c r="AD123" s="224"/>
      <c r="AE123" s="117"/>
    </row>
    <row r="124" spans="16:31" x14ac:dyDescent="0.3">
      <c r="P124" s="39"/>
      <c r="Q124" s="89"/>
      <c r="T124" s="98"/>
      <c r="U124" s="98"/>
      <c r="V124" s="39"/>
      <c r="W124" s="98"/>
      <c r="X124" s="98"/>
      <c r="Y124" s="98"/>
      <c r="Z124" s="98"/>
      <c r="AA124" s="39"/>
      <c r="AD124" s="224"/>
      <c r="AE124" s="117"/>
    </row>
    <row r="125" spans="16:31" x14ac:dyDescent="0.3">
      <c r="P125" s="39"/>
      <c r="Q125" s="89"/>
      <c r="T125" s="98"/>
      <c r="U125" s="98"/>
      <c r="V125" s="39"/>
      <c r="W125" s="98"/>
      <c r="X125" s="98"/>
      <c r="Y125" s="98"/>
      <c r="Z125" s="98"/>
      <c r="AA125" s="39"/>
      <c r="AD125" s="224"/>
      <c r="AE125" s="117"/>
    </row>
    <row r="126" spans="16:31" x14ac:dyDescent="0.3">
      <c r="P126" s="39"/>
      <c r="Q126" s="89"/>
      <c r="T126" s="98"/>
      <c r="U126" s="98"/>
      <c r="V126" s="39"/>
      <c r="W126" s="98"/>
      <c r="X126" s="98"/>
      <c r="Y126" s="98"/>
      <c r="Z126" s="98"/>
      <c r="AA126" s="39"/>
      <c r="AD126" s="224"/>
      <c r="AE126" s="117"/>
    </row>
    <row r="127" spans="16:31" x14ac:dyDescent="0.3">
      <c r="P127" s="39"/>
      <c r="Q127" s="89"/>
      <c r="T127" s="98"/>
      <c r="U127" s="98"/>
      <c r="V127" s="39"/>
      <c r="W127" s="98"/>
      <c r="X127" s="98"/>
      <c r="Y127" s="98"/>
      <c r="Z127" s="98"/>
      <c r="AA127" s="39"/>
      <c r="AD127" s="224"/>
      <c r="AE127" s="117"/>
    </row>
    <row r="128" spans="16:31" x14ac:dyDescent="0.3">
      <c r="P128" s="39"/>
      <c r="Q128" s="89"/>
      <c r="T128" s="98"/>
      <c r="U128" s="98"/>
      <c r="V128" s="39"/>
      <c r="W128" s="98"/>
      <c r="X128" s="98"/>
      <c r="Y128" s="98"/>
      <c r="Z128" s="98"/>
      <c r="AA128" s="39"/>
      <c r="AD128" s="224"/>
      <c r="AE128" s="117"/>
    </row>
    <row r="129" spans="16:31" x14ac:dyDescent="0.3">
      <c r="P129" s="39"/>
      <c r="Q129" s="89"/>
      <c r="T129" s="98"/>
      <c r="U129" s="98"/>
      <c r="V129" s="39"/>
      <c r="W129" s="98"/>
      <c r="X129" s="98"/>
      <c r="Y129" s="98"/>
      <c r="Z129" s="98"/>
      <c r="AA129" s="39"/>
      <c r="AD129" s="224"/>
      <c r="AE129" s="117"/>
    </row>
    <row r="130" spans="16:31" x14ac:dyDescent="0.3">
      <c r="P130" s="39"/>
      <c r="Q130" s="89"/>
      <c r="T130" s="98"/>
      <c r="U130" s="98"/>
      <c r="V130" s="39"/>
      <c r="W130" s="98"/>
      <c r="X130" s="98"/>
      <c r="Y130" s="98"/>
      <c r="Z130" s="98"/>
      <c r="AA130" s="39"/>
      <c r="AD130" s="224"/>
      <c r="AE130" s="117"/>
    </row>
    <row r="131" spans="16:31" x14ac:dyDescent="0.3">
      <c r="P131" s="39"/>
      <c r="Q131" s="89"/>
      <c r="T131" s="98"/>
      <c r="U131" s="98"/>
      <c r="V131" s="39"/>
      <c r="W131" s="98"/>
      <c r="X131" s="98"/>
      <c r="Y131" s="98"/>
      <c r="Z131" s="98"/>
      <c r="AA131" s="39"/>
      <c r="AD131" s="224"/>
      <c r="AE131" s="117"/>
    </row>
    <row r="132" spans="16:31" x14ac:dyDescent="0.3">
      <c r="P132" s="39"/>
      <c r="Q132" s="89"/>
      <c r="T132" s="98"/>
      <c r="U132" s="98"/>
      <c r="V132" s="39"/>
      <c r="W132" s="98"/>
      <c r="X132" s="98"/>
      <c r="Y132" s="98"/>
      <c r="Z132" s="98"/>
      <c r="AA132" s="39"/>
      <c r="AD132" s="224"/>
      <c r="AE132" s="117"/>
    </row>
    <row r="133" spans="16:31" x14ac:dyDescent="0.3">
      <c r="P133" s="39"/>
      <c r="Q133" s="89"/>
      <c r="T133" s="98"/>
      <c r="U133" s="98"/>
      <c r="V133" s="39"/>
      <c r="W133" s="98"/>
      <c r="X133" s="98"/>
      <c r="Y133" s="98"/>
      <c r="Z133" s="98"/>
      <c r="AA133" s="39"/>
      <c r="AD133" s="224"/>
      <c r="AE133" s="117"/>
    </row>
    <row r="134" spans="16:31" x14ac:dyDescent="0.3">
      <c r="P134" s="39"/>
      <c r="Q134" s="89"/>
      <c r="T134" s="98"/>
      <c r="U134" s="98"/>
      <c r="V134" s="39"/>
      <c r="W134" s="98"/>
      <c r="X134" s="98"/>
      <c r="Y134" s="98"/>
      <c r="Z134" s="98"/>
      <c r="AA134" s="39"/>
      <c r="AD134" s="224"/>
      <c r="AE134" s="117"/>
    </row>
    <row r="135" spans="16:31" x14ac:dyDescent="0.3">
      <c r="P135" s="39"/>
      <c r="Q135" s="89"/>
      <c r="T135" s="98"/>
      <c r="U135" s="98"/>
      <c r="V135" s="39"/>
      <c r="W135" s="98"/>
      <c r="X135" s="98"/>
      <c r="Y135" s="98"/>
      <c r="Z135" s="98"/>
      <c r="AA135" s="39"/>
      <c r="AD135" s="224"/>
      <c r="AE135" s="117"/>
    </row>
    <row r="136" spans="16:31" x14ac:dyDescent="0.3">
      <c r="P136" s="39"/>
      <c r="Q136" s="89"/>
      <c r="T136" s="98"/>
      <c r="U136" s="98"/>
      <c r="V136" s="39"/>
      <c r="W136" s="98"/>
      <c r="X136" s="98"/>
      <c r="Y136" s="98"/>
      <c r="Z136" s="98"/>
      <c r="AA136" s="39"/>
      <c r="AD136" s="224"/>
      <c r="AE136" s="117"/>
    </row>
    <row r="137" spans="16:31" x14ac:dyDescent="0.3">
      <c r="P137" s="39"/>
      <c r="Q137" s="89"/>
      <c r="T137" s="98"/>
      <c r="U137" s="98"/>
      <c r="V137" s="39"/>
      <c r="W137" s="98"/>
      <c r="X137" s="98"/>
      <c r="Y137" s="98"/>
      <c r="Z137" s="98"/>
      <c r="AA137" s="39"/>
      <c r="AD137" s="224"/>
      <c r="AE137" s="117"/>
    </row>
    <row r="138" spans="16:31" x14ac:dyDescent="0.3">
      <c r="P138" s="39"/>
      <c r="Q138" s="89"/>
      <c r="T138" s="98"/>
      <c r="U138" s="98"/>
      <c r="V138" s="39"/>
      <c r="W138" s="98"/>
      <c r="X138" s="98"/>
      <c r="Y138" s="98"/>
      <c r="Z138" s="98"/>
      <c r="AA138" s="39"/>
      <c r="AD138" s="224"/>
      <c r="AE138" s="117"/>
    </row>
    <row r="139" spans="16:31" x14ac:dyDescent="0.3">
      <c r="P139" s="39"/>
      <c r="Q139" s="89"/>
      <c r="T139" s="98"/>
      <c r="U139" s="98"/>
      <c r="V139" s="39"/>
      <c r="W139" s="98"/>
      <c r="X139" s="98"/>
      <c r="Y139" s="98"/>
      <c r="Z139" s="98"/>
      <c r="AA139" s="39"/>
      <c r="AD139" s="224"/>
      <c r="AE139" s="117"/>
    </row>
    <row r="140" spans="16:31" x14ac:dyDescent="0.3">
      <c r="P140" s="39"/>
      <c r="Q140" s="89"/>
      <c r="T140" s="98"/>
      <c r="U140" s="98"/>
      <c r="V140" s="39"/>
      <c r="W140" s="98"/>
      <c r="X140" s="98"/>
      <c r="Y140" s="98"/>
      <c r="Z140" s="98"/>
      <c r="AA140" s="39"/>
      <c r="AD140" s="224"/>
      <c r="AE140" s="117"/>
    </row>
    <row r="141" spans="16:31" x14ac:dyDescent="0.3">
      <c r="P141" s="39"/>
      <c r="Q141" s="89"/>
      <c r="T141" s="98"/>
      <c r="U141" s="98"/>
      <c r="V141" s="39"/>
      <c r="W141" s="98"/>
      <c r="X141" s="98"/>
      <c r="Y141" s="98"/>
      <c r="Z141" s="98"/>
      <c r="AA141" s="39"/>
      <c r="AD141" s="224"/>
      <c r="AE141" s="117"/>
    </row>
    <row r="142" spans="16:31" x14ac:dyDescent="0.3">
      <c r="P142" s="39"/>
      <c r="Q142" s="89"/>
      <c r="T142" s="98"/>
      <c r="U142" s="98"/>
      <c r="V142" s="39"/>
      <c r="W142" s="98"/>
      <c r="X142" s="98"/>
      <c r="Y142" s="98"/>
      <c r="Z142" s="98"/>
      <c r="AA142" s="39"/>
      <c r="AD142" s="224"/>
      <c r="AE142" s="117"/>
    </row>
    <row r="143" spans="16:31" x14ac:dyDescent="0.3">
      <c r="P143" s="39"/>
      <c r="Q143" s="89"/>
      <c r="T143" s="98"/>
      <c r="U143" s="98"/>
      <c r="V143" s="39"/>
      <c r="W143" s="98"/>
      <c r="X143" s="98"/>
      <c r="Y143" s="98"/>
      <c r="Z143" s="98"/>
      <c r="AA143" s="39"/>
      <c r="AD143" s="224"/>
      <c r="AE143" s="117"/>
    </row>
    <row r="144" spans="16:31" x14ac:dyDescent="0.3">
      <c r="P144" s="39"/>
      <c r="Q144" s="89"/>
      <c r="T144" s="98"/>
      <c r="U144" s="98"/>
      <c r="V144" s="39"/>
      <c r="W144" s="98"/>
      <c r="X144" s="98"/>
      <c r="Y144" s="98"/>
      <c r="Z144" s="98"/>
      <c r="AA144" s="39"/>
      <c r="AD144" s="224"/>
      <c r="AE144" s="117"/>
    </row>
    <row r="145" spans="16:31" x14ac:dyDescent="0.3">
      <c r="P145" s="39"/>
      <c r="Q145" s="89"/>
      <c r="T145" s="98"/>
      <c r="U145" s="98"/>
      <c r="V145" s="39"/>
      <c r="W145" s="98"/>
      <c r="X145" s="98"/>
      <c r="Y145" s="98"/>
      <c r="Z145" s="98"/>
      <c r="AA145" s="39"/>
      <c r="AD145" s="224"/>
      <c r="AE145" s="117"/>
    </row>
    <row r="146" spans="16:31" x14ac:dyDescent="0.3">
      <c r="P146" s="39"/>
      <c r="Q146" s="89"/>
      <c r="T146" s="98"/>
      <c r="U146" s="98"/>
      <c r="V146" s="39"/>
      <c r="W146" s="98"/>
      <c r="X146" s="98"/>
      <c r="Y146" s="98"/>
      <c r="Z146" s="98"/>
      <c r="AA146" s="39"/>
      <c r="AD146" s="224"/>
      <c r="AE146" s="117"/>
    </row>
    <row r="147" spans="16:31" x14ac:dyDescent="0.3">
      <c r="P147" s="39"/>
      <c r="Q147" s="89"/>
      <c r="T147" s="98"/>
      <c r="U147" s="98"/>
      <c r="V147" s="39"/>
      <c r="W147" s="98"/>
      <c r="X147" s="98"/>
      <c r="Y147" s="98"/>
      <c r="Z147" s="98"/>
      <c r="AA147" s="39"/>
      <c r="AD147" s="224"/>
      <c r="AE147" s="117"/>
    </row>
    <row r="148" spans="16:31" x14ac:dyDescent="0.3">
      <c r="P148" s="39"/>
      <c r="Q148" s="89"/>
      <c r="T148" s="98"/>
      <c r="U148" s="98"/>
      <c r="V148" s="98"/>
      <c r="W148" s="98"/>
      <c r="X148" s="98"/>
      <c r="Y148" s="98"/>
      <c r="Z148" s="98"/>
      <c r="AA148" s="39"/>
      <c r="AD148" s="224"/>
      <c r="AE148" s="117"/>
    </row>
    <row r="149" spans="16:31" x14ac:dyDescent="0.3">
      <c r="P149" s="39"/>
      <c r="Q149" s="89"/>
      <c r="T149" s="98"/>
      <c r="U149" s="98"/>
      <c r="V149" s="98"/>
      <c r="W149" s="98"/>
      <c r="X149" s="98"/>
      <c r="Y149" s="98"/>
      <c r="Z149" s="98"/>
      <c r="AA149" s="39"/>
      <c r="AD149" s="224"/>
      <c r="AE149" s="117"/>
    </row>
    <row r="150" spans="16:31" x14ac:dyDescent="0.3">
      <c r="P150" s="39"/>
      <c r="Q150" s="89"/>
      <c r="T150" s="98"/>
      <c r="U150" s="98"/>
      <c r="V150" s="98"/>
      <c r="W150" s="98"/>
      <c r="X150" s="98"/>
      <c r="Y150" s="98"/>
      <c r="Z150" s="98"/>
      <c r="AA150" s="39"/>
      <c r="AD150" s="224"/>
      <c r="AE150" s="117"/>
    </row>
    <row r="151" spans="16:31" x14ac:dyDescent="0.3">
      <c r="P151" s="39"/>
      <c r="Q151" s="89"/>
      <c r="T151" s="98"/>
      <c r="U151" s="98"/>
      <c r="V151" s="98"/>
      <c r="W151" s="98"/>
      <c r="X151" s="98"/>
      <c r="Y151" s="98"/>
      <c r="Z151" s="98"/>
      <c r="AA151" s="39"/>
      <c r="AD151" s="224"/>
      <c r="AE151" s="117"/>
    </row>
    <row r="152" spans="16:31" x14ac:dyDescent="0.3">
      <c r="P152" s="39"/>
      <c r="Q152" s="89"/>
      <c r="T152" s="98"/>
      <c r="U152" s="98"/>
      <c r="V152" s="98"/>
      <c r="W152" s="98"/>
      <c r="X152" s="98"/>
      <c r="Y152" s="98"/>
      <c r="Z152" s="98"/>
      <c r="AA152" s="39"/>
      <c r="AD152" s="224"/>
      <c r="AE152" s="117"/>
    </row>
    <row r="153" spans="16:31" x14ac:dyDescent="0.3">
      <c r="P153" s="39"/>
      <c r="Q153" s="89"/>
      <c r="T153" s="98"/>
      <c r="U153" s="98"/>
      <c r="V153" s="98"/>
      <c r="W153" s="98"/>
      <c r="X153" s="98"/>
      <c r="Y153" s="98"/>
      <c r="Z153" s="98"/>
      <c r="AA153" s="39"/>
      <c r="AD153" s="224"/>
      <c r="AE153" s="117"/>
    </row>
    <row r="154" spans="16:31" x14ac:dyDescent="0.3">
      <c r="P154" s="39"/>
      <c r="Q154" s="89"/>
      <c r="T154" s="98"/>
      <c r="U154" s="98"/>
      <c r="V154" s="98"/>
      <c r="W154" s="98"/>
      <c r="X154" s="98"/>
      <c r="Y154" s="98"/>
      <c r="Z154" s="98"/>
      <c r="AA154" s="39"/>
      <c r="AD154" s="224"/>
      <c r="AE154" s="117"/>
    </row>
    <row r="155" spans="16:31" x14ac:dyDescent="0.3">
      <c r="P155" s="39"/>
      <c r="Q155" s="89"/>
      <c r="T155" s="98"/>
      <c r="U155" s="98"/>
      <c r="V155" s="98"/>
      <c r="W155" s="98"/>
      <c r="X155" s="98"/>
      <c r="Y155" s="98"/>
      <c r="Z155" s="98"/>
      <c r="AA155" s="39"/>
      <c r="AD155" s="224"/>
      <c r="AE155" s="117"/>
    </row>
    <row r="156" spans="16:31" x14ac:dyDescent="0.3">
      <c r="P156" s="39"/>
      <c r="Q156" s="89"/>
      <c r="T156" s="98"/>
      <c r="U156" s="98"/>
      <c r="V156" s="98"/>
      <c r="W156" s="98"/>
      <c r="X156" s="98"/>
      <c r="Y156" s="98"/>
      <c r="Z156" s="98"/>
      <c r="AA156" s="39"/>
      <c r="AD156" s="224"/>
      <c r="AE156" s="117"/>
    </row>
    <row r="157" spans="16:31" x14ac:dyDescent="0.3">
      <c r="P157" s="39"/>
      <c r="Q157" s="89"/>
      <c r="T157" s="98"/>
      <c r="U157" s="98"/>
      <c r="V157" s="98"/>
      <c r="W157" s="98"/>
      <c r="X157" s="98"/>
      <c r="Y157" s="98"/>
      <c r="Z157" s="98"/>
      <c r="AA157" s="39"/>
      <c r="AD157" s="224"/>
      <c r="AE157" s="117"/>
    </row>
    <row r="158" spans="16:31" x14ac:dyDescent="0.3">
      <c r="P158" s="39"/>
      <c r="Q158" s="89"/>
      <c r="T158" s="98"/>
      <c r="U158" s="98"/>
      <c r="V158" s="98"/>
      <c r="W158" s="98"/>
      <c r="X158" s="98"/>
      <c r="Y158" s="98"/>
      <c r="Z158" s="98"/>
      <c r="AA158" s="39"/>
      <c r="AD158" s="224"/>
      <c r="AE158" s="117"/>
    </row>
    <row r="159" spans="16:31" x14ac:dyDescent="0.3">
      <c r="P159" s="39"/>
      <c r="Q159" s="89"/>
      <c r="T159" s="98"/>
      <c r="U159" s="98"/>
      <c r="V159" s="98"/>
      <c r="W159" s="98"/>
      <c r="X159" s="98"/>
      <c r="Y159" s="98"/>
      <c r="Z159" s="98"/>
      <c r="AA159" s="39"/>
      <c r="AD159" s="224"/>
      <c r="AE159" s="117"/>
    </row>
    <row r="160" spans="16:31" x14ac:dyDescent="0.3">
      <c r="P160" s="39"/>
      <c r="Q160" s="89"/>
      <c r="T160" s="98"/>
      <c r="U160" s="98"/>
      <c r="V160" s="98"/>
      <c r="W160" s="98"/>
      <c r="X160" s="98"/>
      <c r="Y160" s="98"/>
      <c r="Z160" s="98"/>
      <c r="AA160" s="39"/>
      <c r="AD160" s="224"/>
      <c r="AE160" s="117"/>
    </row>
    <row r="161" spans="16:31" x14ac:dyDescent="0.3">
      <c r="P161" s="39"/>
      <c r="Q161" s="89"/>
      <c r="T161" s="98"/>
      <c r="U161" s="98"/>
      <c r="V161" s="98"/>
      <c r="W161" s="98"/>
      <c r="X161" s="98"/>
      <c r="Y161" s="98"/>
      <c r="Z161" s="98"/>
      <c r="AA161" s="39"/>
      <c r="AD161" s="224"/>
      <c r="AE161" s="117"/>
    </row>
    <row r="162" spans="16:31" x14ac:dyDescent="0.3">
      <c r="P162" s="39"/>
      <c r="Q162" s="89"/>
      <c r="T162" s="98"/>
      <c r="U162" s="98"/>
      <c r="V162" s="98"/>
      <c r="W162" s="98"/>
      <c r="X162" s="98"/>
      <c r="Y162" s="98"/>
      <c r="Z162" s="98"/>
      <c r="AA162" s="39"/>
      <c r="AD162" s="224"/>
      <c r="AE162" s="117"/>
    </row>
    <row r="163" spans="16:31" x14ac:dyDescent="0.3">
      <c r="P163" s="39"/>
      <c r="Q163" s="89"/>
      <c r="T163" s="98"/>
      <c r="U163" s="98"/>
      <c r="V163" s="98"/>
      <c r="W163" s="98"/>
      <c r="X163" s="98"/>
      <c r="Y163" s="98"/>
      <c r="Z163" s="98"/>
      <c r="AA163" s="39"/>
      <c r="AD163" s="224"/>
      <c r="AE163" s="117"/>
    </row>
    <row r="164" spans="16:31" x14ac:dyDescent="0.3">
      <c r="P164" s="39"/>
      <c r="Q164" s="89"/>
      <c r="T164" s="98"/>
      <c r="U164" s="98"/>
      <c r="V164" s="98"/>
      <c r="W164" s="98"/>
      <c r="X164" s="98"/>
      <c r="Y164" s="98"/>
      <c r="Z164" s="98"/>
      <c r="AA164" s="39"/>
      <c r="AD164" s="224"/>
      <c r="AE164" s="117"/>
    </row>
    <row r="165" spans="16:31" x14ac:dyDescent="0.3">
      <c r="P165" s="39"/>
      <c r="Q165" s="89"/>
      <c r="T165" s="98"/>
      <c r="U165" s="98"/>
      <c r="V165" s="98"/>
      <c r="W165" s="98"/>
      <c r="X165" s="98"/>
      <c r="Y165" s="98"/>
      <c r="Z165" s="98"/>
      <c r="AA165" s="39"/>
      <c r="AD165" s="224"/>
      <c r="AE165" s="117"/>
    </row>
    <row r="166" spans="16:31" x14ac:dyDescent="0.3">
      <c r="P166" s="39"/>
      <c r="Q166" s="89"/>
      <c r="T166" s="98"/>
      <c r="U166" s="98"/>
      <c r="V166" s="98"/>
      <c r="W166" s="98"/>
      <c r="X166" s="98"/>
      <c r="Y166" s="98"/>
      <c r="Z166" s="98"/>
      <c r="AA166" s="39"/>
      <c r="AD166" s="224"/>
      <c r="AE166" s="117"/>
    </row>
    <row r="167" spans="16:31" x14ac:dyDescent="0.3">
      <c r="P167" s="39"/>
      <c r="Q167" s="89"/>
      <c r="T167" s="98"/>
      <c r="U167" s="98"/>
      <c r="V167" s="98"/>
      <c r="W167" s="98"/>
      <c r="X167" s="98"/>
      <c r="Y167" s="98"/>
      <c r="Z167" s="98"/>
      <c r="AA167" s="39"/>
      <c r="AD167" s="224"/>
      <c r="AE167" s="117"/>
    </row>
    <row r="168" spans="16:31" x14ac:dyDescent="0.3">
      <c r="P168" s="39"/>
      <c r="Q168" s="89"/>
      <c r="T168" s="98"/>
      <c r="U168" s="98"/>
      <c r="V168" s="98"/>
      <c r="W168" s="98"/>
      <c r="X168" s="98"/>
      <c r="Y168" s="98"/>
      <c r="Z168" s="98"/>
      <c r="AA168" s="39"/>
      <c r="AD168" s="224"/>
      <c r="AE168" s="117"/>
    </row>
    <row r="169" spans="16:31" x14ac:dyDescent="0.3">
      <c r="P169" s="39"/>
      <c r="Q169" s="89"/>
      <c r="T169" s="98"/>
      <c r="U169" s="98"/>
      <c r="V169" s="98"/>
      <c r="W169" s="98"/>
      <c r="X169" s="98"/>
      <c r="Y169" s="98"/>
      <c r="Z169" s="98"/>
      <c r="AA169" s="39"/>
      <c r="AD169" s="224"/>
      <c r="AE169" s="117"/>
    </row>
    <row r="170" spans="16:31" x14ac:dyDescent="0.3">
      <c r="P170" s="39"/>
      <c r="Q170" s="89"/>
      <c r="T170" s="98"/>
      <c r="U170" s="98"/>
      <c r="V170" s="98"/>
      <c r="W170" s="98"/>
      <c r="X170" s="98"/>
      <c r="Y170" s="98"/>
      <c r="Z170" s="98"/>
      <c r="AA170" s="39"/>
      <c r="AD170" s="224"/>
      <c r="AE170" s="117"/>
    </row>
    <row r="171" spans="16:31" x14ac:dyDescent="0.3">
      <c r="P171" s="39"/>
      <c r="Q171" s="89"/>
      <c r="T171" s="98"/>
      <c r="U171" s="98"/>
      <c r="V171" s="98"/>
      <c r="W171" s="98"/>
      <c r="X171" s="98"/>
      <c r="Y171" s="98"/>
      <c r="Z171" s="98"/>
      <c r="AA171" s="39"/>
      <c r="AD171" s="224"/>
      <c r="AE171" s="117"/>
    </row>
    <row r="172" spans="16:31" x14ac:dyDescent="0.3">
      <c r="P172" s="39"/>
      <c r="Q172" s="89"/>
      <c r="T172" s="98"/>
      <c r="U172" s="98"/>
      <c r="V172" s="98"/>
      <c r="W172" s="98"/>
      <c r="X172" s="98"/>
      <c r="Y172" s="98"/>
      <c r="Z172" s="98"/>
      <c r="AA172" s="39"/>
      <c r="AD172" s="224"/>
      <c r="AE172" s="117"/>
    </row>
    <row r="173" spans="16:31" x14ac:dyDescent="0.3">
      <c r="P173" s="39"/>
      <c r="Q173" s="89"/>
      <c r="T173" s="98"/>
      <c r="U173" s="98"/>
      <c r="V173" s="98"/>
      <c r="W173" s="98"/>
      <c r="X173" s="98"/>
      <c r="Y173" s="98"/>
      <c r="Z173" s="98"/>
      <c r="AA173" s="39"/>
      <c r="AD173" s="224"/>
      <c r="AE173" s="117"/>
    </row>
    <row r="174" spans="16:31" x14ac:dyDescent="0.3">
      <c r="P174" s="39"/>
      <c r="Q174" s="89"/>
      <c r="T174" s="98"/>
      <c r="U174" s="98"/>
      <c r="V174" s="98"/>
      <c r="W174" s="98"/>
      <c r="X174" s="98"/>
      <c r="Y174" s="98"/>
      <c r="Z174" s="98"/>
      <c r="AA174" s="39"/>
      <c r="AD174" s="224"/>
      <c r="AE174" s="117"/>
    </row>
    <row r="175" spans="16:31" x14ac:dyDescent="0.3">
      <c r="P175" s="39"/>
      <c r="Q175" s="89"/>
      <c r="T175" s="98"/>
      <c r="U175" s="98"/>
      <c r="V175" s="98"/>
      <c r="W175" s="98"/>
      <c r="X175" s="98"/>
      <c r="Y175" s="98"/>
      <c r="Z175" s="98"/>
      <c r="AA175" s="39"/>
      <c r="AD175" s="224"/>
      <c r="AE175" s="117"/>
    </row>
    <row r="176" spans="16:31" x14ac:dyDescent="0.3">
      <c r="P176" s="39"/>
      <c r="Q176" s="89"/>
      <c r="T176" s="98"/>
      <c r="U176" s="98"/>
      <c r="V176" s="98"/>
      <c r="W176" s="98"/>
      <c r="X176" s="98"/>
      <c r="Y176" s="98"/>
      <c r="Z176" s="98"/>
      <c r="AA176" s="39"/>
      <c r="AD176" s="224"/>
      <c r="AE176" s="117"/>
    </row>
    <row r="177" spans="16:31" x14ac:dyDescent="0.3">
      <c r="P177" s="39"/>
      <c r="Q177" s="89"/>
      <c r="T177" s="98"/>
      <c r="U177" s="98"/>
      <c r="V177" s="98"/>
      <c r="W177" s="98"/>
      <c r="X177" s="98"/>
      <c r="Y177" s="98"/>
      <c r="Z177" s="98"/>
      <c r="AA177" s="39"/>
      <c r="AD177" s="224"/>
      <c r="AE177" s="117"/>
    </row>
    <row r="178" spans="16:31" x14ac:dyDescent="0.3">
      <c r="P178" s="39"/>
      <c r="Q178" s="89"/>
      <c r="T178" s="98"/>
      <c r="U178" s="98"/>
      <c r="V178" s="98"/>
      <c r="W178" s="98"/>
      <c r="X178" s="98"/>
      <c r="Y178" s="98"/>
      <c r="Z178" s="98"/>
      <c r="AA178" s="39"/>
      <c r="AD178" s="224"/>
      <c r="AE178" s="117"/>
    </row>
    <row r="179" spans="16:31" x14ac:dyDescent="0.3">
      <c r="P179" s="39"/>
      <c r="Q179" s="89"/>
      <c r="T179" s="98"/>
      <c r="U179" s="98"/>
      <c r="V179" s="98"/>
      <c r="W179" s="98"/>
      <c r="X179" s="98"/>
      <c r="Y179" s="98"/>
      <c r="Z179" s="98"/>
      <c r="AA179" s="39"/>
      <c r="AD179" s="224"/>
      <c r="AE179" s="117"/>
    </row>
    <row r="180" spans="16:31" x14ac:dyDescent="0.3">
      <c r="P180" s="39"/>
      <c r="Q180" s="89"/>
      <c r="T180" s="98"/>
      <c r="U180" s="98"/>
      <c r="V180" s="98"/>
      <c r="W180" s="98"/>
      <c r="X180" s="98"/>
      <c r="Y180" s="98"/>
      <c r="Z180" s="98"/>
      <c r="AA180" s="39"/>
      <c r="AD180" s="224"/>
      <c r="AE180" s="117"/>
    </row>
    <row r="181" spans="16:31" x14ac:dyDescent="0.3">
      <c r="P181" s="39"/>
      <c r="Q181" s="89"/>
      <c r="T181" s="98"/>
      <c r="U181" s="98"/>
      <c r="V181" s="98"/>
      <c r="W181" s="98"/>
      <c r="X181" s="98"/>
      <c r="Y181" s="98"/>
      <c r="Z181" s="98"/>
      <c r="AA181" s="39"/>
      <c r="AD181" s="224"/>
      <c r="AE181" s="117"/>
    </row>
    <row r="182" spans="16:31" x14ac:dyDescent="0.3">
      <c r="P182" s="39"/>
      <c r="Q182" s="89"/>
      <c r="T182" s="98"/>
      <c r="U182" s="98"/>
      <c r="V182" s="98"/>
      <c r="W182" s="98"/>
      <c r="X182" s="98"/>
      <c r="Y182" s="98"/>
      <c r="Z182" s="98"/>
      <c r="AA182" s="39"/>
      <c r="AD182" s="224"/>
      <c r="AE182" s="117"/>
    </row>
    <row r="183" spans="16:31" x14ac:dyDescent="0.3">
      <c r="P183" s="39"/>
      <c r="T183" s="98"/>
      <c r="U183" s="98"/>
      <c r="V183" s="98"/>
      <c r="W183" s="98"/>
      <c r="X183" s="98"/>
      <c r="Y183" s="98"/>
      <c r="Z183" s="98"/>
      <c r="AA183" s="39"/>
      <c r="AD183" s="224"/>
      <c r="AE183" s="117"/>
    </row>
    <row r="184" spans="16:31" x14ac:dyDescent="0.3">
      <c r="P184" s="39"/>
      <c r="T184" s="98"/>
      <c r="U184" s="98"/>
      <c r="V184" s="98"/>
      <c r="W184" s="98"/>
      <c r="X184" s="98"/>
      <c r="Y184" s="98"/>
      <c r="Z184" s="98"/>
      <c r="AA184" s="39"/>
      <c r="AD184" s="224"/>
      <c r="AE184" s="117"/>
    </row>
    <row r="185" spans="16:31" x14ac:dyDescent="0.3">
      <c r="P185" s="39"/>
      <c r="T185" s="98"/>
      <c r="U185" s="98"/>
      <c r="V185" s="98"/>
      <c r="W185" s="98"/>
      <c r="X185" s="98"/>
      <c r="Y185" s="98"/>
      <c r="Z185" s="98"/>
      <c r="AA185" s="39"/>
      <c r="AD185" s="224"/>
      <c r="AE185" s="117"/>
    </row>
    <row r="186" spans="16:31" x14ac:dyDescent="0.3">
      <c r="P186" s="39"/>
      <c r="T186" s="98"/>
      <c r="U186" s="98"/>
      <c r="V186" s="98"/>
      <c r="W186" s="98"/>
      <c r="X186" s="98"/>
      <c r="Y186" s="98"/>
      <c r="Z186" s="98"/>
      <c r="AA186" s="39"/>
      <c r="AD186" s="224"/>
      <c r="AE186" s="117"/>
    </row>
    <row r="187" spans="16:31" x14ac:dyDescent="0.3">
      <c r="P187" s="39"/>
      <c r="T187" s="98"/>
      <c r="U187" s="98"/>
      <c r="V187" s="98"/>
      <c r="W187" s="98"/>
      <c r="X187" s="98"/>
      <c r="Y187" s="98"/>
      <c r="Z187" s="98"/>
      <c r="AA187" s="39"/>
      <c r="AD187" s="224"/>
      <c r="AE187" s="117"/>
    </row>
    <row r="188" spans="16:31" x14ac:dyDescent="0.3">
      <c r="P188" s="39"/>
      <c r="T188" s="98"/>
      <c r="U188" s="98"/>
      <c r="V188" s="98"/>
      <c r="W188" s="98"/>
      <c r="X188" s="98"/>
      <c r="Y188" s="98"/>
      <c r="Z188" s="98"/>
      <c r="AA188" s="39"/>
      <c r="AD188" s="224"/>
      <c r="AE188" s="117"/>
    </row>
    <row r="189" spans="16:31" x14ac:dyDescent="0.3">
      <c r="P189" s="39"/>
      <c r="T189" s="98"/>
      <c r="U189" s="98"/>
      <c r="V189" s="98"/>
      <c r="W189" s="98"/>
      <c r="X189" s="98"/>
      <c r="Y189" s="98"/>
      <c r="Z189" s="98"/>
      <c r="AA189" s="39"/>
      <c r="AD189" s="224"/>
      <c r="AE189" s="117"/>
    </row>
    <row r="190" spans="16:31" x14ac:dyDescent="0.3">
      <c r="P190" s="39"/>
      <c r="T190" s="98"/>
      <c r="U190" s="98"/>
      <c r="V190" s="98"/>
      <c r="W190" s="98"/>
      <c r="X190" s="98"/>
      <c r="Y190" s="98"/>
      <c r="Z190" s="98"/>
      <c r="AA190" s="39"/>
    </row>
    <row r="191" spans="16:31" x14ac:dyDescent="0.3">
      <c r="P191" s="39"/>
      <c r="T191" s="98"/>
      <c r="U191" s="98"/>
      <c r="V191" s="98"/>
      <c r="W191" s="98"/>
      <c r="X191" s="98"/>
      <c r="Y191" s="98"/>
      <c r="Z191" s="98"/>
      <c r="AA191" s="39"/>
    </row>
    <row r="192" spans="16:31" x14ac:dyDescent="0.3">
      <c r="T192" s="98"/>
    </row>
    <row r="193" spans="20:20" x14ac:dyDescent="0.3">
      <c r="T193" s="98"/>
    </row>
    <row r="194" spans="20:20" x14ac:dyDescent="0.3">
      <c r="T194" s="98"/>
    </row>
    <row r="195" spans="20:20" x14ac:dyDescent="0.3">
      <c r="T195" s="98"/>
    </row>
    <row r="196" spans="20:20" x14ac:dyDescent="0.3">
      <c r="T196" s="98"/>
    </row>
    <row r="197" spans="20:20" x14ac:dyDescent="0.3">
      <c r="T197" s="98"/>
    </row>
  </sheetData>
  <phoneticPr fontId="19" type="noConversion"/>
  <conditionalFormatting sqref="B2:C81">
    <cfRule type="cellIs" priority="35" operator="equal">
      <formula>"OPEN"</formula>
    </cfRule>
    <cfRule type="cellIs" priority="36" operator="equal">
      <formula>"CLOSED"</formula>
    </cfRule>
  </conditionalFormatting>
  <conditionalFormatting sqref="S2:AF69 N2:O81 U70:AF74 S70:S79 T70:T197 X73:X191 Y75:AF76 U75:X191 AE76:AE189 Y77:AC79 AE77:AF79 AD77:AD189 Y80:AA191 P80:P1048576">
    <cfRule type="cellIs" priority="125" operator="greaterThan">
      <formula>1</formula>
    </cfRule>
    <cfRule type="cellIs" priority="126" operator="greaterThan">
      <formula>0.75</formula>
    </cfRule>
    <cfRule type="cellIs" priority="127" operator="equal">
      <formula>0</formula>
    </cfRule>
    <cfRule type="cellIs" priority="128" operator="lessThan">
      <formula>75</formula>
    </cfRule>
  </conditionalFormatting>
  <pageMargins left="0.7" right="0.7" top="0.75" bottom="0.75" header="0.3" footer="0.3"/>
  <pageSetup orientation="portrait" r:id="rId1"/>
  <headerFooter>
    <oddFooter>&amp;CSCIO-HDFO-002&amp;RREV.01-SEP-2025</oddFooter>
  </headerFooter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11E45BE-4215-40EF-96C4-3809DB62B778}">
          <x14:formula1>
            <xm:f>DATA!$B$3:$B$6</xm:f>
          </x14:formula1>
          <xm:sqref>EW2 EV3:EW64</xm:sqref>
        </x14:dataValidation>
        <x14:dataValidation type="list" allowBlank="1" showInputMessage="1" showErrorMessage="1" xr:uid="{E2A1EA09-F447-40D1-A9B5-411CB1266629}">
          <x14:formula1>
            <xm:f>DATA!$E$3:$E$5</xm:f>
          </x14:formula1>
          <xm:sqref>A2:A81</xm:sqref>
        </x14:dataValidation>
        <x14:dataValidation type="list" allowBlank="1" showInputMessage="1" showErrorMessage="1" xr:uid="{349476E6-82D7-4B29-8FE5-5B95299AC168}">
          <x14:formula1>
            <xm:f>DATA!$B$14:$B$19</xm:f>
          </x14:formula1>
          <xm:sqref>DN2:DN81 BA2:BA81 AM2:AM81 AH2:AH81 EP2:EP81 CE2:CE81 DI2:DI81 BK2:BK81 EB2:EB81 DB2:DB81 CJ2:CJ81 AT2:AT81 BU2:BU81 BZ2:BZ81 EI2:EI81 BF2:BF81 DU2:DU81 BP2:BP81 CU2:CU81</xm:sqref>
        </x14:dataValidation>
        <x14:dataValidation type="list" allowBlank="1" showInputMessage="1" showErrorMessage="1" xr:uid="{B1717D26-6F6E-437C-9C90-9443E2AAA7DD}">
          <x14:formula1>
            <xm:f>DATA!$F$3:$F$5</xm:f>
          </x14:formula1>
          <xm:sqref>B2:B81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F7C3-9216-485C-802E-5450E3EBC824}">
  <dimension ref="A1:AC2"/>
  <sheetViews>
    <sheetView showGridLines="0" zoomScale="85" zoomScaleNormal="85" workbookViewId="0">
      <selection activeCell="U25" sqref="U25"/>
    </sheetView>
  </sheetViews>
  <sheetFormatPr baseColWidth="10" defaultColWidth="11.44140625" defaultRowHeight="14.4" x14ac:dyDescent="0.3"/>
  <sheetData>
    <row r="1" spans="1:29" ht="77.25" customHeight="1" x14ac:dyDescent="0.3">
      <c r="A1" s="44" t="s">
        <v>373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29" s="45" customFormat="1" ht="6.75" customHeigh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9B88-AC24-4E08-893E-C84857D8B953}">
  <dimension ref="A1:AD12"/>
  <sheetViews>
    <sheetView showGridLines="0" tabSelected="1" zoomScale="85" zoomScaleNormal="85" workbookViewId="0">
      <selection activeCell="U21" sqref="U21"/>
    </sheetView>
  </sheetViews>
  <sheetFormatPr baseColWidth="10" defaultColWidth="11.44140625" defaultRowHeight="14.4" x14ac:dyDescent="0.3"/>
  <cols>
    <col min="22" max="22" width="12.5546875" bestFit="1" customWidth="1"/>
    <col min="23" max="23" width="17.109375" bestFit="1" customWidth="1"/>
    <col min="24" max="24" width="31.44140625" bestFit="1" customWidth="1"/>
    <col min="25" max="25" width="15.109375" customWidth="1"/>
    <col min="26" max="26" width="19.6640625" bestFit="1" customWidth="1"/>
    <col min="27" max="27" width="18.5546875" bestFit="1" customWidth="1"/>
    <col min="28" max="28" width="17.44140625" bestFit="1" customWidth="1"/>
    <col min="29" max="29" width="12" bestFit="1" customWidth="1"/>
  </cols>
  <sheetData>
    <row r="1" spans="1:30" ht="77.25" customHeight="1" x14ac:dyDescent="0.3">
      <c r="A1" s="44" t="s">
        <v>374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30" s="45" customFormat="1" ht="6.75" customHeight="1" x14ac:dyDescent="0.3"/>
    <row r="11" spans="1:30" x14ac:dyDescent="0.3">
      <c r="AD11" s="90"/>
    </row>
    <row r="12" spans="1:30" hidden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211F-4058-4FFE-9FF1-0F875379A495}">
  <dimension ref="A1:AC2"/>
  <sheetViews>
    <sheetView showGridLines="0" topLeftCell="A6" workbookViewId="0">
      <selection activeCell="Z28" sqref="Z28"/>
    </sheetView>
  </sheetViews>
  <sheetFormatPr baseColWidth="10" defaultColWidth="11.44140625" defaultRowHeight="14.4" x14ac:dyDescent="0.3"/>
  <sheetData>
    <row r="1" spans="1:29" ht="77.25" customHeight="1" x14ac:dyDescent="0.3">
      <c r="A1" s="44" t="s">
        <v>375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29" s="45" customFormat="1" ht="6.75" customHeigh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C574-A4FC-448F-81D0-7D32872BE392}">
  <dimension ref="B1:R27"/>
  <sheetViews>
    <sheetView showGridLines="0" topLeftCell="A5" workbookViewId="0">
      <selection activeCell="I17" sqref="I17"/>
    </sheetView>
  </sheetViews>
  <sheetFormatPr baseColWidth="10" defaultColWidth="11.44140625" defaultRowHeight="14.4" x14ac:dyDescent="0.3"/>
  <cols>
    <col min="1" max="1" width="0.88671875" customWidth="1"/>
    <col min="2" max="2" width="4.33203125" bestFit="1" customWidth="1"/>
    <col min="3" max="3" width="29.88671875" bestFit="1" customWidth="1"/>
    <col min="4" max="4" width="29.5546875" bestFit="1" customWidth="1"/>
    <col min="5" max="5" width="13.5546875" bestFit="1" customWidth="1"/>
    <col min="12" max="12" width="35.33203125" bestFit="1" customWidth="1"/>
  </cols>
  <sheetData>
    <row r="1" spans="2:18" ht="3.75" customHeight="1" thickBot="1" x14ac:dyDescent="0.35"/>
    <row r="2" spans="2:18" x14ac:dyDescent="0.3">
      <c r="B2" s="292" t="s">
        <v>376</v>
      </c>
      <c r="C2" s="293"/>
      <c r="D2" s="293"/>
      <c r="E2" s="294"/>
    </row>
    <row r="3" spans="2:18" ht="15" thickBot="1" x14ac:dyDescent="0.35">
      <c r="B3" s="295"/>
      <c r="C3" s="296"/>
      <c r="D3" s="296"/>
      <c r="E3" s="297"/>
    </row>
    <row r="4" spans="2:18" ht="8.25" customHeight="1" x14ac:dyDescent="0.3"/>
    <row r="5" spans="2:18" x14ac:dyDescent="0.3">
      <c r="B5" s="163" t="s">
        <v>377</v>
      </c>
      <c r="C5" s="164" t="s">
        <v>378</v>
      </c>
      <c r="D5" s="164" t="s">
        <v>379</v>
      </c>
      <c r="E5" s="171" t="s">
        <v>380</v>
      </c>
    </row>
    <row r="6" spans="2:18" x14ac:dyDescent="0.3">
      <c r="B6" s="165">
        <v>1</v>
      </c>
      <c r="C6" s="166" t="s">
        <v>381</v>
      </c>
      <c r="D6" s="167" t="s">
        <v>382</v>
      </c>
      <c r="E6" s="173" t="s">
        <v>383</v>
      </c>
    </row>
    <row r="7" spans="2:18" x14ac:dyDescent="0.3">
      <c r="B7" s="165">
        <v>1</v>
      </c>
      <c r="C7" s="166" t="s">
        <v>384</v>
      </c>
      <c r="D7" s="167" t="s">
        <v>385</v>
      </c>
      <c r="E7" s="172" t="s">
        <v>383</v>
      </c>
    </row>
    <row r="8" spans="2:18" x14ac:dyDescent="0.3">
      <c r="B8" s="165">
        <v>1</v>
      </c>
      <c r="C8" s="166" t="s">
        <v>386</v>
      </c>
      <c r="D8" s="167" t="s">
        <v>387</v>
      </c>
      <c r="E8" s="172" t="s">
        <v>383</v>
      </c>
    </row>
    <row r="9" spans="2:18" x14ac:dyDescent="0.3">
      <c r="B9" s="165">
        <v>1</v>
      </c>
      <c r="C9" s="166" t="s">
        <v>388</v>
      </c>
      <c r="D9" s="167" t="s">
        <v>389</v>
      </c>
      <c r="E9" s="172" t="s">
        <v>383</v>
      </c>
    </row>
    <row r="10" spans="2:18" x14ac:dyDescent="0.3">
      <c r="B10" s="165">
        <v>1</v>
      </c>
      <c r="C10" s="166" t="s">
        <v>390</v>
      </c>
      <c r="D10" s="167" t="s">
        <v>391</v>
      </c>
      <c r="E10" s="172" t="s">
        <v>383</v>
      </c>
    </row>
    <row r="11" spans="2:18" x14ac:dyDescent="0.3">
      <c r="B11" s="165">
        <v>1</v>
      </c>
      <c r="C11" s="166" t="s">
        <v>392</v>
      </c>
      <c r="D11" s="167" t="s">
        <v>393</v>
      </c>
      <c r="E11" s="172" t="s">
        <v>383</v>
      </c>
    </row>
    <row r="12" spans="2:18" x14ac:dyDescent="0.3">
      <c r="B12" s="165">
        <v>1</v>
      </c>
      <c r="C12" s="166" t="s">
        <v>392</v>
      </c>
      <c r="D12" s="167" t="s">
        <v>394</v>
      </c>
      <c r="E12" s="172" t="s">
        <v>383</v>
      </c>
    </row>
    <row r="13" spans="2:18" x14ac:dyDescent="0.3">
      <c r="B13" s="165">
        <v>1</v>
      </c>
      <c r="C13" s="166" t="s">
        <v>395</v>
      </c>
      <c r="D13" s="167" t="s">
        <v>396</v>
      </c>
      <c r="E13" s="174" t="s">
        <v>397</v>
      </c>
    </row>
    <row r="14" spans="2:18" x14ac:dyDescent="0.3">
      <c r="B14" s="165">
        <v>1</v>
      </c>
      <c r="C14" s="166" t="s">
        <v>398</v>
      </c>
      <c r="D14" s="167" t="s">
        <v>399</v>
      </c>
      <c r="E14" s="174" t="s">
        <v>397</v>
      </c>
    </row>
    <row r="15" spans="2:18" x14ac:dyDescent="0.3">
      <c r="B15" s="165">
        <v>2</v>
      </c>
      <c r="C15" s="166" t="s">
        <v>400</v>
      </c>
      <c r="D15" s="167" t="s">
        <v>401</v>
      </c>
      <c r="E15" s="174" t="s">
        <v>397</v>
      </c>
      <c r="R15" s="161"/>
    </row>
    <row r="16" spans="2:18" x14ac:dyDescent="0.3">
      <c r="B16" s="165">
        <v>2</v>
      </c>
      <c r="C16" s="166" t="s">
        <v>402</v>
      </c>
      <c r="D16" s="167" t="s">
        <v>403</v>
      </c>
      <c r="E16" s="172" t="s">
        <v>383</v>
      </c>
    </row>
    <row r="17" spans="2:5" x14ac:dyDescent="0.3">
      <c r="B17" s="165">
        <v>3</v>
      </c>
      <c r="C17" s="166" t="s">
        <v>404</v>
      </c>
      <c r="D17" s="167" t="s">
        <v>405</v>
      </c>
      <c r="E17" s="172" t="s">
        <v>383</v>
      </c>
    </row>
    <row r="18" spans="2:5" x14ac:dyDescent="0.3">
      <c r="B18" s="165">
        <v>4</v>
      </c>
      <c r="C18" s="166" t="s">
        <v>406</v>
      </c>
      <c r="D18" s="167" t="s">
        <v>407</v>
      </c>
      <c r="E18" s="172" t="s">
        <v>383</v>
      </c>
    </row>
    <row r="19" spans="2:5" x14ac:dyDescent="0.3">
      <c r="B19" s="165">
        <v>5</v>
      </c>
      <c r="C19" s="166" t="s">
        <v>408</v>
      </c>
      <c r="D19" s="167" t="s">
        <v>409</v>
      </c>
      <c r="E19" s="233" t="s">
        <v>397</v>
      </c>
    </row>
    <row r="20" spans="2:5" x14ac:dyDescent="0.3">
      <c r="B20" s="165">
        <v>5</v>
      </c>
      <c r="C20" s="166" t="s">
        <v>410</v>
      </c>
      <c r="D20" s="167" t="s">
        <v>411</v>
      </c>
      <c r="E20" s="234" t="s">
        <v>397</v>
      </c>
    </row>
    <row r="21" spans="2:5" x14ac:dyDescent="0.3">
      <c r="B21" s="165">
        <v>5</v>
      </c>
      <c r="C21" s="166" t="s">
        <v>395</v>
      </c>
      <c r="D21" s="167" t="s">
        <v>412</v>
      </c>
      <c r="E21" s="172" t="s">
        <v>383</v>
      </c>
    </row>
    <row r="22" spans="2:5" x14ac:dyDescent="0.3">
      <c r="B22" s="165">
        <v>6</v>
      </c>
      <c r="C22" s="166" t="s">
        <v>413</v>
      </c>
      <c r="D22" s="167" t="s">
        <v>414</v>
      </c>
      <c r="E22" s="174" t="s">
        <v>397</v>
      </c>
    </row>
    <row r="23" spans="2:5" x14ac:dyDescent="0.3">
      <c r="B23" s="165">
        <v>7</v>
      </c>
      <c r="C23" s="166" t="s">
        <v>415</v>
      </c>
      <c r="D23" s="167" t="s">
        <v>416</v>
      </c>
      <c r="E23" s="172" t="s">
        <v>383</v>
      </c>
    </row>
    <row r="24" spans="2:5" x14ac:dyDescent="0.3">
      <c r="B24" s="165">
        <v>7</v>
      </c>
      <c r="C24" s="166" t="s">
        <v>415</v>
      </c>
      <c r="D24" s="167" t="s">
        <v>417</v>
      </c>
      <c r="E24" s="172" t="s">
        <v>383</v>
      </c>
    </row>
    <row r="25" spans="2:5" x14ac:dyDescent="0.3">
      <c r="B25" s="165">
        <v>7</v>
      </c>
      <c r="C25" s="166" t="s">
        <v>415</v>
      </c>
      <c r="D25" s="167" t="s">
        <v>418</v>
      </c>
      <c r="E25" s="172" t="s">
        <v>383</v>
      </c>
    </row>
    <row r="26" spans="2:5" x14ac:dyDescent="0.3">
      <c r="B26" s="165">
        <v>8</v>
      </c>
      <c r="C26" s="166" t="s">
        <v>164</v>
      </c>
      <c r="D26" s="167" t="s">
        <v>419</v>
      </c>
      <c r="E26" s="174" t="s">
        <v>397</v>
      </c>
    </row>
    <row r="27" spans="2:5" x14ac:dyDescent="0.3">
      <c r="B27" s="168">
        <v>8</v>
      </c>
      <c r="C27" s="169" t="s">
        <v>164</v>
      </c>
      <c r="D27" s="170" t="s">
        <v>420</v>
      </c>
      <c r="E27" s="174" t="s">
        <v>397</v>
      </c>
    </row>
  </sheetData>
  <mergeCells count="1">
    <mergeCell ref="B2:E3"/>
  </mergeCells>
  <hyperlinks>
    <hyperlink ref="E6" r:id="rId1" xr:uid="{262607AD-4235-40B9-AC1B-F6E8E64D9065}"/>
    <hyperlink ref="E7" r:id="rId2" xr:uid="{24FE0139-1335-4445-A15C-D4AF897FFE35}"/>
    <hyperlink ref="E8" r:id="rId3" xr:uid="{5D706882-580C-4DAD-8F63-15789DD567F9}"/>
    <hyperlink ref="E9" r:id="rId4" xr:uid="{5D088CD9-2D1C-43FC-947C-50173020D12C}"/>
    <hyperlink ref="E10" r:id="rId5" xr:uid="{C67D3F09-397E-44F9-862F-3E6B74C0223C}"/>
    <hyperlink ref="E11" r:id="rId6" xr:uid="{CB93E239-5027-477E-A890-778892F6806D}"/>
    <hyperlink ref="E12" r:id="rId7" xr:uid="{F43CDA46-61AA-4DE4-AA4F-3B64C94135DD}"/>
    <hyperlink ref="E16" r:id="rId8" xr:uid="{50636FF0-6B53-4486-8DDF-FF375AD95D98}"/>
    <hyperlink ref="E17" r:id="rId9" xr:uid="{151D9810-CB64-404C-8525-350981C85438}"/>
    <hyperlink ref="E18" r:id="rId10" xr:uid="{753A8751-B252-4E10-9539-B76CE51EA106}"/>
    <hyperlink ref="E21" r:id="rId11" xr:uid="{E38F8D06-17AA-49A0-886E-04A5D0528763}"/>
    <hyperlink ref="E23" r:id="rId12" xr:uid="{436EC5A3-B95E-49D5-8BA4-1F2A7D4CBCCD}"/>
    <hyperlink ref="E24" r:id="rId13" xr:uid="{B35D3C23-9D22-4AB1-84FC-C6CE75E0E1A8}"/>
    <hyperlink ref="E25" r:id="rId14" xr:uid="{740A8BCB-FE73-44DF-BB89-93334835812A}"/>
  </hyperlinks>
  <pageMargins left="0.7" right="0.7" top="0.75" bottom="0.75" header="0.3" footer="0.3"/>
  <pageSetup orientation="portrait" verticalDpi="0" r:id="rId15"/>
  <tableParts count="1">
    <tablePart r:id="rId1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0B11-7456-4B30-8863-9EB8F11B6E0A}">
  <dimension ref="B1:K446"/>
  <sheetViews>
    <sheetView workbookViewId="0">
      <selection activeCell="K119" sqref="K119"/>
    </sheetView>
  </sheetViews>
  <sheetFormatPr baseColWidth="10" defaultColWidth="11.44140625" defaultRowHeight="14.4" x14ac:dyDescent="0.3"/>
  <cols>
    <col min="1" max="1" width="2" customWidth="1"/>
    <col min="2" max="2" width="22.109375" bestFit="1" customWidth="1"/>
    <col min="3" max="3" width="18.88671875" bestFit="1" customWidth="1"/>
    <col min="4" max="4" width="5.44140625" customWidth="1"/>
    <col min="5" max="6" width="18.88671875" bestFit="1" customWidth="1"/>
    <col min="7" max="7" width="4.6640625" customWidth="1"/>
    <col min="8" max="8" width="12" bestFit="1" customWidth="1"/>
    <col min="9" max="9" width="9.5546875" style="90" bestFit="1" customWidth="1"/>
    <col min="10" max="10" width="14.44140625" style="90" bestFit="1" customWidth="1"/>
    <col min="11" max="11" width="16.44140625" customWidth="1"/>
    <col min="12" max="12" width="12.88671875" customWidth="1"/>
  </cols>
  <sheetData>
    <row r="1" spans="2:11" ht="8.25" customHeight="1" thickBot="1" x14ac:dyDescent="0.35"/>
    <row r="2" spans="2:11" ht="15" thickBot="1" x14ac:dyDescent="0.35">
      <c r="B2" s="55" t="s">
        <v>421</v>
      </c>
      <c r="C2" s="56" t="s">
        <v>422</v>
      </c>
      <c r="E2" s="55" t="s">
        <v>26</v>
      </c>
      <c r="F2" s="56" t="s">
        <v>27</v>
      </c>
      <c r="G2" s="50"/>
      <c r="H2" s="53" t="s">
        <v>32</v>
      </c>
      <c r="I2" s="54" t="s">
        <v>423</v>
      </c>
      <c r="J2" s="54" t="s">
        <v>424</v>
      </c>
      <c r="K2" s="54" t="s">
        <v>425</v>
      </c>
    </row>
    <row r="3" spans="2:11" ht="15" customHeight="1" x14ac:dyDescent="0.3">
      <c r="B3" s="46" t="s">
        <v>197</v>
      </c>
      <c r="C3" s="47" t="s">
        <v>426</v>
      </c>
      <c r="E3" s="46" t="s">
        <v>180</v>
      </c>
      <c r="F3" s="47" t="s">
        <v>189</v>
      </c>
      <c r="H3" s="51">
        <v>3297</v>
      </c>
      <c r="I3" s="51"/>
      <c r="J3" s="51">
        <v>1</v>
      </c>
      <c r="K3" s="51"/>
    </row>
    <row r="4" spans="2:11" ht="15.75" customHeight="1" x14ac:dyDescent="0.3">
      <c r="B4" s="46" t="s">
        <v>187</v>
      </c>
      <c r="C4" s="47" t="s">
        <v>427</v>
      </c>
      <c r="E4" s="46" t="s">
        <v>188</v>
      </c>
      <c r="F4" s="47" t="s">
        <v>194</v>
      </c>
      <c r="H4" s="51">
        <v>3300</v>
      </c>
      <c r="I4" s="235">
        <f t="shared" ref="I4:I67" si="0">J4-K4</f>
        <v>284.5</v>
      </c>
      <c r="J4" s="51">
        <v>284.5</v>
      </c>
      <c r="K4" s="51"/>
    </row>
    <row r="5" spans="2:11" x14ac:dyDescent="0.3">
      <c r="B5" s="46" t="s">
        <v>186</v>
      </c>
      <c r="C5" s="47" t="s">
        <v>428</v>
      </c>
      <c r="E5" s="46" t="s">
        <v>429</v>
      </c>
      <c r="F5" s="47" t="s">
        <v>181</v>
      </c>
      <c r="H5" s="51">
        <v>3308</v>
      </c>
      <c r="I5" s="235">
        <f t="shared" si="0"/>
        <v>2</v>
      </c>
      <c r="J5" s="51">
        <v>2</v>
      </c>
      <c r="K5" s="51"/>
    </row>
    <row r="6" spans="2:11" ht="15" customHeight="1" x14ac:dyDescent="0.3">
      <c r="B6" s="46" t="s">
        <v>239</v>
      </c>
      <c r="C6" s="47" t="s">
        <v>430</v>
      </c>
      <c r="E6" s="46"/>
      <c r="F6" s="47"/>
      <c r="H6" s="51">
        <v>3321</v>
      </c>
      <c r="I6" s="235">
        <f t="shared" si="0"/>
        <v>1</v>
      </c>
      <c r="J6" s="51">
        <v>1</v>
      </c>
      <c r="K6" s="51"/>
    </row>
    <row r="7" spans="2:11" x14ac:dyDescent="0.3">
      <c r="B7" s="46"/>
      <c r="C7" s="47"/>
      <c r="E7" s="46"/>
      <c r="F7" s="47"/>
      <c r="H7" s="51">
        <v>3340</v>
      </c>
      <c r="I7" s="235">
        <f t="shared" si="0"/>
        <v>6</v>
      </c>
      <c r="J7" s="51">
        <v>6</v>
      </c>
      <c r="K7" s="51"/>
    </row>
    <row r="8" spans="2:11" ht="15" customHeight="1" x14ac:dyDescent="0.3">
      <c r="B8" s="46"/>
      <c r="C8" s="47"/>
      <c r="E8" s="46"/>
      <c r="F8" s="47"/>
      <c r="H8" s="51">
        <v>3341</v>
      </c>
      <c r="I8" s="235">
        <f t="shared" si="0"/>
        <v>15</v>
      </c>
      <c r="J8" s="51">
        <v>15</v>
      </c>
      <c r="K8" s="51"/>
    </row>
    <row r="9" spans="2:11" ht="15" customHeight="1" x14ac:dyDescent="0.3">
      <c r="B9" s="46"/>
      <c r="C9" s="47"/>
      <c r="E9" s="46"/>
      <c r="F9" s="47"/>
      <c r="H9" s="51">
        <v>3364</v>
      </c>
      <c r="I9" s="235">
        <f t="shared" si="0"/>
        <v>68</v>
      </c>
      <c r="J9" s="51">
        <v>68</v>
      </c>
      <c r="K9" s="51"/>
    </row>
    <row r="10" spans="2:11" ht="15" customHeight="1" x14ac:dyDescent="0.3">
      <c r="B10" s="46"/>
      <c r="C10" s="47"/>
      <c r="E10" s="46"/>
      <c r="F10" s="47"/>
      <c r="H10" s="51">
        <v>3365</v>
      </c>
      <c r="I10" s="51">
        <f t="shared" si="0"/>
        <v>1</v>
      </c>
      <c r="J10" s="91">
        <v>1</v>
      </c>
      <c r="K10" s="51"/>
    </row>
    <row r="11" spans="2:11" ht="15.75" customHeight="1" thickBot="1" x14ac:dyDescent="0.35">
      <c r="B11" s="48"/>
      <c r="C11" s="49"/>
      <c r="E11" s="48"/>
      <c r="F11" s="49"/>
      <c r="H11" s="51">
        <v>3366</v>
      </c>
      <c r="I11" s="235">
        <f t="shared" si="0"/>
        <v>17</v>
      </c>
      <c r="J11" s="51">
        <v>17</v>
      </c>
      <c r="K11" s="51"/>
    </row>
    <row r="12" spans="2:11" ht="15.75" customHeight="1" thickBot="1" x14ac:dyDescent="0.35">
      <c r="H12" s="51" t="s">
        <v>431</v>
      </c>
      <c r="I12" s="235">
        <f t="shared" si="0"/>
        <v>4</v>
      </c>
      <c r="J12" s="51">
        <v>4</v>
      </c>
      <c r="K12" s="51"/>
    </row>
    <row r="13" spans="2:11" x14ac:dyDescent="0.3">
      <c r="B13" s="52" t="s">
        <v>432</v>
      </c>
      <c r="C13" s="58" t="s">
        <v>433</v>
      </c>
      <c r="E13" s="52" t="s">
        <v>71</v>
      </c>
      <c r="F13" s="58" t="s">
        <v>433</v>
      </c>
      <c r="H13" s="51" t="s">
        <v>205</v>
      </c>
      <c r="I13" s="235">
        <f t="shared" si="0"/>
        <v>544.5</v>
      </c>
      <c r="J13" s="51">
        <v>544.5</v>
      </c>
      <c r="K13" s="51"/>
    </row>
    <row r="14" spans="2:11" x14ac:dyDescent="0.3">
      <c r="B14" s="46" t="s">
        <v>193</v>
      </c>
      <c r="C14" s="57">
        <v>0</v>
      </c>
      <c r="E14" s="46" t="s">
        <v>434</v>
      </c>
      <c r="F14" s="57">
        <v>0</v>
      </c>
      <c r="H14" s="51" t="s">
        <v>207</v>
      </c>
      <c r="I14" s="235">
        <f t="shared" si="0"/>
        <v>31.5</v>
      </c>
      <c r="J14" s="51">
        <v>31.5</v>
      </c>
      <c r="K14" s="51"/>
    </row>
    <row r="15" spans="2:11" ht="15" thickBot="1" x14ac:dyDescent="0.35">
      <c r="B15" s="46" t="s">
        <v>237</v>
      </c>
      <c r="C15" s="57">
        <v>25</v>
      </c>
      <c r="E15" s="48" t="s">
        <v>435</v>
      </c>
      <c r="F15" s="59">
        <v>100</v>
      </c>
      <c r="H15" s="51" t="s">
        <v>436</v>
      </c>
      <c r="I15" s="235">
        <f t="shared" si="0"/>
        <v>2</v>
      </c>
      <c r="J15" s="51">
        <v>2</v>
      </c>
      <c r="K15" s="51"/>
    </row>
    <row r="16" spans="2:11" x14ac:dyDescent="0.3">
      <c r="B16" s="46" t="s">
        <v>220</v>
      </c>
      <c r="C16" s="57">
        <v>50</v>
      </c>
      <c r="H16" s="51" t="s">
        <v>209</v>
      </c>
      <c r="I16" s="235">
        <f t="shared" si="0"/>
        <v>173</v>
      </c>
      <c r="J16" s="51">
        <v>173</v>
      </c>
      <c r="K16" s="51"/>
    </row>
    <row r="17" spans="2:11" x14ac:dyDescent="0.3">
      <c r="B17" s="46" t="s">
        <v>201</v>
      </c>
      <c r="C17" s="57">
        <v>75</v>
      </c>
      <c r="H17" s="51" t="s">
        <v>211</v>
      </c>
      <c r="I17" s="235">
        <f t="shared" si="0"/>
        <v>183</v>
      </c>
      <c r="J17" s="51">
        <v>183</v>
      </c>
      <c r="K17" s="51"/>
    </row>
    <row r="18" spans="2:11" x14ac:dyDescent="0.3">
      <c r="B18" s="46" t="s">
        <v>238</v>
      </c>
      <c r="C18" s="57">
        <v>90</v>
      </c>
      <c r="H18" s="51" t="s">
        <v>213</v>
      </c>
      <c r="I18" s="235">
        <f t="shared" si="0"/>
        <v>206</v>
      </c>
      <c r="J18" s="51">
        <v>206</v>
      </c>
      <c r="K18" s="51"/>
    </row>
    <row r="19" spans="2:11" ht="15.75" customHeight="1" thickBot="1" x14ac:dyDescent="0.35">
      <c r="B19" s="48" t="s">
        <v>185</v>
      </c>
      <c r="C19" s="59">
        <v>100</v>
      </c>
      <c r="H19" s="160" t="s">
        <v>437</v>
      </c>
      <c r="I19" s="235">
        <f t="shared" si="0"/>
        <v>1</v>
      </c>
      <c r="J19" s="51">
        <v>1</v>
      </c>
      <c r="K19" s="51"/>
    </row>
    <row r="20" spans="2:11" ht="15" customHeight="1" x14ac:dyDescent="0.3">
      <c r="H20" s="51" t="s">
        <v>438</v>
      </c>
      <c r="I20" s="235">
        <f t="shared" si="0"/>
        <v>11</v>
      </c>
      <c r="J20" s="51">
        <v>11</v>
      </c>
      <c r="K20" s="51"/>
    </row>
    <row r="21" spans="2:11" x14ac:dyDescent="0.3">
      <c r="H21" s="51" t="s">
        <v>219</v>
      </c>
      <c r="I21" s="235">
        <f t="shared" si="0"/>
        <v>48</v>
      </c>
      <c r="J21" s="51">
        <v>48</v>
      </c>
      <c r="K21" s="51"/>
    </row>
    <row r="22" spans="2:11" ht="15.75" customHeight="1" thickBot="1" x14ac:dyDescent="0.35">
      <c r="E22" s="90" t="s">
        <v>439</v>
      </c>
      <c r="F22" s="90" t="s">
        <v>440</v>
      </c>
      <c r="H22" s="51" t="s">
        <v>222</v>
      </c>
      <c r="I22" s="235">
        <f t="shared" si="0"/>
        <v>43.5</v>
      </c>
      <c r="J22" s="51">
        <v>43.5</v>
      </c>
      <c r="K22" s="51"/>
    </row>
    <row r="23" spans="2:11" ht="15.75" customHeight="1" thickBot="1" x14ac:dyDescent="0.35">
      <c r="C23" s="65" t="s">
        <v>441</v>
      </c>
      <c r="E23" s="65" t="s">
        <v>441</v>
      </c>
      <c r="F23" s="65" t="s">
        <v>441</v>
      </c>
      <c r="H23" s="51" t="s">
        <v>224</v>
      </c>
      <c r="I23" s="235">
        <f t="shared" si="0"/>
        <v>75</v>
      </c>
      <c r="J23" s="51">
        <v>75</v>
      </c>
      <c r="K23" s="51"/>
    </row>
    <row r="24" spans="2:11" x14ac:dyDescent="0.3">
      <c r="B24" s="60" t="s">
        <v>59</v>
      </c>
      <c r="C24" s="66">
        <v>0.05</v>
      </c>
      <c r="E24" s="66">
        <v>0.05</v>
      </c>
      <c r="F24" s="66">
        <v>0.02</v>
      </c>
      <c r="H24" s="51" t="s">
        <v>442</v>
      </c>
      <c r="I24" s="235">
        <f t="shared" si="0"/>
        <v>4.5</v>
      </c>
      <c r="J24" s="51">
        <v>4.5</v>
      </c>
      <c r="K24" s="51"/>
    </row>
    <row r="25" spans="2:11" x14ac:dyDescent="0.3">
      <c r="B25" s="61" t="s">
        <v>64</v>
      </c>
      <c r="C25" s="66">
        <v>0.05</v>
      </c>
      <c r="E25" s="66">
        <v>0.05</v>
      </c>
      <c r="F25" s="66">
        <v>0.02</v>
      </c>
      <c r="H25" s="51" t="s">
        <v>443</v>
      </c>
      <c r="I25" s="235">
        <f t="shared" si="0"/>
        <v>5.5</v>
      </c>
      <c r="J25" s="51">
        <v>5.5</v>
      </c>
      <c r="K25" s="51"/>
    </row>
    <row r="26" spans="2:11" x14ac:dyDescent="0.3">
      <c r="B26" s="61" t="s">
        <v>71</v>
      </c>
      <c r="C26" s="66">
        <v>0.01</v>
      </c>
      <c r="E26" s="66">
        <v>0.01</v>
      </c>
      <c r="F26" s="66">
        <v>0.01</v>
      </c>
      <c r="H26" s="51" t="s">
        <v>227</v>
      </c>
      <c r="I26" s="235">
        <f t="shared" si="0"/>
        <v>69.5</v>
      </c>
      <c r="J26" s="51">
        <v>69.5</v>
      </c>
      <c r="K26" s="51"/>
    </row>
    <row r="27" spans="2:11" x14ac:dyDescent="0.3">
      <c r="B27" s="62" t="s">
        <v>118</v>
      </c>
      <c r="C27" s="66">
        <v>0.54</v>
      </c>
      <c r="E27" s="66">
        <v>0.54</v>
      </c>
      <c r="F27" s="66">
        <v>0.52</v>
      </c>
      <c r="H27" s="51" t="s">
        <v>229</v>
      </c>
      <c r="I27" s="235">
        <f t="shared" si="0"/>
        <v>53.5</v>
      </c>
      <c r="J27" s="51">
        <v>53.5</v>
      </c>
      <c r="K27" s="51"/>
    </row>
    <row r="28" spans="2:11" x14ac:dyDescent="0.3">
      <c r="B28" s="62"/>
      <c r="C28" s="66"/>
      <c r="E28" s="66"/>
      <c r="F28" s="66"/>
      <c r="H28" s="51" t="s">
        <v>231</v>
      </c>
      <c r="I28" s="235">
        <f t="shared" si="0"/>
        <v>84.5</v>
      </c>
      <c r="J28" s="51">
        <v>84.5</v>
      </c>
      <c r="K28" s="51"/>
    </row>
    <row r="29" spans="2:11" x14ac:dyDescent="0.3">
      <c r="B29" s="63" t="s">
        <v>78</v>
      </c>
      <c r="C29" s="67">
        <v>0.01</v>
      </c>
      <c r="E29" s="67">
        <v>0.01</v>
      </c>
      <c r="F29" s="67">
        <v>0.01</v>
      </c>
      <c r="H29" s="51" t="s">
        <v>233</v>
      </c>
      <c r="I29" s="235">
        <f t="shared" si="0"/>
        <v>75</v>
      </c>
      <c r="J29" s="51">
        <v>75</v>
      </c>
      <c r="K29" s="51"/>
    </row>
    <row r="30" spans="2:11" x14ac:dyDescent="0.3">
      <c r="B30" s="63" t="s">
        <v>83</v>
      </c>
      <c r="C30" s="67">
        <v>0.08</v>
      </c>
      <c r="E30" s="67">
        <v>0.08</v>
      </c>
      <c r="F30" s="67">
        <v>0.08</v>
      </c>
      <c r="H30" s="51" t="s">
        <v>236</v>
      </c>
      <c r="I30" s="235">
        <f t="shared" si="0"/>
        <v>9</v>
      </c>
      <c r="J30" s="51">
        <v>9</v>
      </c>
      <c r="K30" s="51"/>
    </row>
    <row r="31" spans="2:11" x14ac:dyDescent="0.3">
      <c r="B31" s="63" t="s">
        <v>88</v>
      </c>
      <c r="C31" s="67">
        <v>0.18</v>
      </c>
      <c r="E31" s="67">
        <v>0.18</v>
      </c>
      <c r="F31" s="67">
        <v>0.18</v>
      </c>
      <c r="H31" s="51" t="s">
        <v>241</v>
      </c>
      <c r="I31" s="235">
        <f t="shared" si="0"/>
        <v>77.5</v>
      </c>
      <c r="J31" s="51">
        <v>77.5</v>
      </c>
      <c r="K31" s="51"/>
    </row>
    <row r="32" spans="2:11" x14ac:dyDescent="0.3">
      <c r="B32" s="63" t="s">
        <v>93</v>
      </c>
      <c r="C32" s="67">
        <v>0.28000000000000003</v>
      </c>
      <c r="E32" s="67">
        <v>0.28000000000000003</v>
      </c>
      <c r="F32" s="67">
        <v>0.28000000000000003</v>
      </c>
      <c r="H32" s="51" t="s">
        <v>242</v>
      </c>
      <c r="I32" s="235">
        <f t="shared" si="0"/>
        <v>70.5</v>
      </c>
      <c r="J32" s="51">
        <v>70.5</v>
      </c>
      <c r="K32" s="51"/>
    </row>
    <row r="33" spans="2:11" x14ac:dyDescent="0.3">
      <c r="B33" s="63" t="s">
        <v>98</v>
      </c>
      <c r="C33" s="67">
        <v>0.15</v>
      </c>
      <c r="E33" s="67">
        <v>0.15</v>
      </c>
      <c r="F33" s="67">
        <v>0.15</v>
      </c>
      <c r="H33" s="51" t="s">
        <v>444</v>
      </c>
      <c r="I33" s="235">
        <f t="shared" si="0"/>
        <v>7.5</v>
      </c>
      <c r="J33" s="51">
        <v>7.5</v>
      </c>
      <c r="K33" s="51"/>
    </row>
    <row r="34" spans="2:11" x14ac:dyDescent="0.3">
      <c r="B34" s="63" t="s">
        <v>103</v>
      </c>
      <c r="C34" s="67">
        <v>0.16</v>
      </c>
      <c r="E34" s="67">
        <v>0.16</v>
      </c>
      <c r="F34" s="67">
        <v>0.16</v>
      </c>
      <c r="H34" s="51" t="s">
        <v>246</v>
      </c>
      <c r="I34" s="235">
        <f t="shared" si="0"/>
        <v>4</v>
      </c>
      <c r="J34" s="51">
        <v>4</v>
      </c>
      <c r="K34" s="51"/>
    </row>
    <row r="35" spans="2:11" x14ac:dyDescent="0.3">
      <c r="B35" s="63" t="s">
        <v>108</v>
      </c>
      <c r="C35" s="67">
        <v>0.13</v>
      </c>
      <c r="E35" s="67">
        <v>0.13</v>
      </c>
      <c r="F35" s="67">
        <v>0.13</v>
      </c>
      <c r="H35" s="51" t="s">
        <v>248</v>
      </c>
      <c r="I35" s="235">
        <f t="shared" si="0"/>
        <v>3</v>
      </c>
      <c r="J35" s="51">
        <v>3</v>
      </c>
      <c r="K35" s="51"/>
    </row>
    <row r="36" spans="2:11" x14ac:dyDescent="0.3">
      <c r="B36" s="63" t="s">
        <v>113</v>
      </c>
      <c r="C36" s="67">
        <v>0.01</v>
      </c>
      <c r="E36" s="67">
        <v>0.01</v>
      </c>
      <c r="F36" s="67">
        <v>0.01</v>
      </c>
      <c r="H36" s="51" t="s">
        <v>250</v>
      </c>
      <c r="I36" s="235">
        <f t="shared" si="0"/>
        <v>3</v>
      </c>
      <c r="J36" s="51">
        <v>3</v>
      </c>
      <c r="K36" s="51"/>
    </row>
    <row r="37" spans="2:11" x14ac:dyDescent="0.3">
      <c r="B37" s="63"/>
      <c r="C37" s="67"/>
      <c r="E37" s="67"/>
      <c r="F37" s="67"/>
      <c r="H37" s="51" t="s">
        <v>445</v>
      </c>
      <c r="I37" s="235">
        <f t="shared" si="0"/>
        <v>2.5</v>
      </c>
      <c r="J37" s="51">
        <v>2.5</v>
      </c>
      <c r="K37" s="51"/>
    </row>
    <row r="38" spans="2:11" x14ac:dyDescent="0.3">
      <c r="B38" s="61" t="s">
        <v>124</v>
      </c>
      <c r="C38" s="66">
        <v>0.02</v>
      </c>
      <c r="E38" s="66">
        <v>0.02</v>
      </c>
      <c r="F38" s="66">
        <v>0.02</v>
      </c>
      <c r="H38" s="51" t="s">
        <v>446</v>
      </c>
      <c r="I38" s="235">
        <f t="shared" si="0"/>
        <v>3.5</v>
      </c>
      <c r="J38" s="51">
        <v>3.5</v>
      </c>
      <c r="K38" s="51"/>
    </row>
    <row r="39" spans="2:11" x14ac:dyDescent="0.3">
      <c r="B39" s="61" t="s">
        <v>131</v>
      </c>
      <c r="C39" s="66">
        <v>0.01</v>
      </c>
      <c r="E39" s="66">
        <v>0.01</v>
      </c>
      <c r="F39" s="66">
        <v>0.01</v>
      </c>
      <c r="H39" s="51" t="s">
        <v>447</v>
      </c>
      <c r="I39" s="235">
        <f t="shared" si="0"/>
        <v>1</v>
      </c>
      <c r="J39" s="51">
        <v>1</v>
      </c>
      <c r="K39" s="51"/>
    </row>
    <row r="40" spans="2:11" x14ac:dyDescent="0.3">
      <c r="B40" s="61" t="s">
        <v>138</v>
      </c>
      <c r="C40" s="66">
        <v>0.03</v>
      </c>
      <c r="E40" s="66">
        <v>0.03</v>
      </c>
      <c r="F40" s="66">
        <v>0.03</v>
      </c>
      <c r="H40" s="51" t="s">
        <v>448</v>
      </c>
      <c r="I40" s="235">
        <f t="shared" si="0"/>
        <v>1</v>
      </c>
      <c r="J40" s="51">
        <v>1</v>
      </c>
      <c r="K40" s="51"/>
    </row>
    <row r="41" spans="2:11" x14ac:dyDescent="0.3">
      <c r="B41" s="61" t="s">
        <v>143</v>
      </c>
      <c r="C41" s="66">
        <v>7.0000000000000007E-2</v>
      </c>
      <c r="E41" s="66">
        <v>7.0000000000000007E-2</v>
      </c>
      <c r="F41" s="66">
        <v>7.0000000000000007E-2</v>
      </c>
      <c r="H41" s="51" t="s">
        <v>449</v>
      </c>
      <c r="I41" s="235">
        <f t="shared" si="0"/>
        <v>2</v>
      </c>
      <c r="J41" s="51">
        <v>2</v>
      </c>
      <c r="K41" s="51"/>
    </row>
    <row r="42" spans="2:11" x14ac:dyDescent="0.3">
      <c r="B42" s="61" t="s">
        <v>150</v>
      </c>
      <c r="C42" s="66">
        <v>0.04</v>
      </c>
      <c r="E42" s="66">
        <v>0.04</v>
      </c>
      <c r="F42" s="66">
        <v>0.04</v>
      </c>
      <c r="H42" s="51" t="s">
        <v>450</v>
      </c>
      <c r="I42" s="235">
        <f t="shared" si="0"/>
        <v>1</v>
      </c>
      <c r="J42" s="51">
        <v>1</v>
      </c>
      <c r="K42" s="51"/>
    </row>
    <row r="43" spans="2:11" x14ac:dyDescent="0.3">
      <c r="B43" s="61" t="s">
        <v>157</v>
      </c>
      <c r="C43" s="66">
        <v>0.05</v>
      </c>
      <c r="E43" s="66">
        <v>0.05</v>
      </c>
      <c r="F43" s="66">
        <v>0.05</v>
      </c>
      <c r="H43" s="51" t="s">
        <v>451</v>
      </c>
      <c r="I43" s="235">
        <f t="shared" si="0"/>
        <v>3.5</v>
      </c>
      <c r="J43" s="51">
        <v>3.5</v>
      </c>
      <c r="K43" s="51"/>
    </row>
    <row r="44" spans="2:11" x14ac:dyDescent="0.3">
      <c r="B44" s="61" t="s">
        <v>164</v>
      </c>
      <c r="C44" s="66">
        <v>0.1</v>
      </c>
      <c r="E44" s="66">
        <v>0.1</v>
      </c>
      <c r="F44" s="66">
        <v>0.18</v>
      </c>
      <c r="H44" s="51" t="s">
        <v>452</v>
      </c>
      <c r="I44" s="235">
        <f t="shared" si="0"/>
        <v>1</v>
      </c>
      <c r="J44" s="51">
        <v>1</v>
      </c>
      <c r="K44" s="51"/>
    </row>
    <row r="45" spans="2:11" ht="15" thickBot="1" x14ac:dyDescent="0.35">
      <c r="B45" s="64" t="s">
        <v>171</v>
      </c>
      <c r="C45" s="68">
        <v>0.03</v>
      </c>
      <c r="E45" s="68">
        <v>0.03</v>
      </c>
      <c r="F45" s="68">
        <v>0.03</v>
      </c>
      <c r="H45" s="51" t="s">
        <v>453</v>
      </c>
      <c r="I45" s="235">
        <f t="shared" si="0"/>
        <v>0.5</v>
      </c>
      <c r="J45" s="51">
        <v>0.5</v>
      </c>
      <c r="K45" s="51"/>
    </row>
    <row r="46" spans="2:11" x14ac:dyDescent="0.3">
      <c r="H46" s="51" t="s">
        <v>454</v>
      </c>
      <c r="I46" s="235">
        <f t="shared" si="0"/>
        <v>1</v>
      </c>
      <c r="J46" s="51">
        <v>1</v>
      </c>
      <c r="K46" s="51"/>
    </row>
    <row r="47" spans="2:11" x14ac:dyDescent="0.3">
      <c r="E47" s="159"/>
      <c r="H47" s="51" t="s">
        <v>455</v>
      </c>
      <c r="I47" s="235">
        <f t="shared" si="0"/>
        <v>2</v>
      </c>
      <c r="J47" s="51">
        <v>2</v>
      </c>
      <c r="K47" s="51"/>
    </row>
    <row r="48" spans="2:11" ht="15" customHeight="1" x14ac:dyDescent="0.3">
      <c r="H48" s="51" t="s">
        <v>456</v>
      </c>
      <c r="I48" s="235">
        <f t="shared" si="0"/>
        <v>2</v>
      </c>
      <c r="J48" s="51">
        <v>2</v>
      </c>
      <c r="K48" s="51"/>
    </row>
    <row r="49" spans="8:11" ht="15" customHeight="1" x14ac:dyDescent="0.3">
      <c r="H49" s="51" t="s">
        <v>457</v>
      </c>
      <c r="I49" s="235">
        <f t="shared" si="0"/>
        <v>6</v>
      </c>
      <c r="J49" s="51">
        <v>6</v>
      </c>
      <c r="K49" s="51"/>
    </row>
    <row r="50" spans="8:11" ht="15" customHeight="1" x14ac:dyDescent="0.3">
      <c r="H50" s="51" t="s">
        <v>458</v>
      </c>
      <c r="I50" s="235">
        <f t="shared" si="0"/>
        <v>18</v>
      </c>
      <c r="J50" s="51">
        <v>18</v>
      </c>
      <c r="K50" s="51"/>
    </row>
    <row r="51" spans="8:11" ht="15" customHeight="1" x14ac:dyDescent="0.3">
      <c r="H51" s="51" t="s">
        <v>459</v>
      </c>
      <c r="I51" s="235">
        <f t="shared" si="0"/>
        <v>19</v>
      </c>
      <c r="J51" s="51">
        <v>19</v>
      </c>
      <c r="K51" s="51"/>
    </row>
    <row r="52" spans="8:11" x14ac:dyDescent="0.3">
      <c r="H52" s="51" t="s">
        <v>460</v>
      </c>
      <c r="I52" s="235">
        <f t="shared" si="0"/>
        <v>19</v>
      </c>
      <c r="J52" s="51">
        <v>19</v>
      </c>
      <c r="K52" s="51"/>
    </row>
    <row r="53" spans="8:11" x14ac:dyDescent="0.3">
      <c r="H53" s="51" t="s">
        <v>461</v>
      </c>
      <c r="I53" s="235">
        <f t="shared" si="0"/>
        <v>6</v>
      </c>
      <c r="J53" s="51">
        <v>6</v>
      </c>
      <c r="K53" s="51"/>
    </row>
    <row r="54" spans="8:11" x14ac:dyDescent="0.3">
      <c r="H54" s="51" t="s">
        <v>462</v>
      </c>
      <c r="I54" s="235">
        <f t="shared" si="0"/>
        <v>1</v>
      </c>
      <c r="J54" s="51">
        <v>1</v>
      </c>
      <c r="K54" s="51"/>
    </row>
    <row r="55" spans="8:11" x14ac:dyDescent="0.3">
      <c r="H55" s="51" t="s">
        <v>463</v>
      </c>
      <c r="I55" s="235">
        <f t="shared" si="0"/>
        <v>1</v>
      </c>
      <c r="J55" s="51">
        <v>1</v>
      </c>
      <c r="K55" s="51"/>
    </row>
    <row r="56" spans="8:11" x14ac:dyDescent="0.3">
      <c r="H56" s="51" t="s">
        <v>464</v>
      </c>
      <c r="I56" s="235">
        <f t="shared" si="0"/>
        <v>1</v>
      </c>
      <c r="J56" s="51">
        <v>1</v>
      </c>
      <c r="K56" s="51"/>
    </row>
    <row r="57" spans="8:11" x14ac:dyDescent="0.3">
      <c r="H57" s="51" t="s">
        <v>465</v>
      </c>
      <c r="I57" s="235">
        <f t="shared" si="0"/>
        <v>1</v>
      </c>
      <c r="J57" s="51">
        <v>1</v>
      </c>
      <c r="K57" s="51"/>
    </row>
    <row r="58" spans="8:11" x14ac:dyDescent="0.3">
      <c r="H58" s="51" t="s">
        <v>466</v>
      </c>
      <c r="I58" s="235">
        <f t="shared" si="0"/>
        <v>1</v>
      </c>
      <c r="J58" s="51">
        <v>1</v>
      </c>
      <c r="K58" s="51"/>
    </row>
    <row r="59" spans="8:11" x14ac:dyDescent="0.3">
      <c r="H59" s="51" t="s">
        <v>467</v>
      </c>
      <c r="I59" s="235">
        <f t="shared" si="0"/>
        <v>1</v>
      </c>
      <c r="J59" s="51">
        <v>1</v>
      </c>
      <c r="K59" s="51"/>
    </row>
    <row r="60" spans="8:11" x14ac:dyDescent="0.3">
      <c r="H60" s="51" t="s">
        <v>468</v>
      </c>
      <c r="I60" s="235">
        <f t="shared" si="0"/>
        <v>1</v>
      </c>
      <c r="J60" s="51">
        <v>1</v>
      </c>
      <c r="K60" s="51"/>
    </row>
    <row r="61" spans="8:11" x14ac:dyDescent="0.3">
      <c r="H61" s="51" t="s">
        <v>469</v>
      </c>
      <c r="I61" s="235">
        <f t="shared" si="0"/>
        <v>3</v>
      </c>
      <c r="J61" s="51">
        <v>3</v>
      </c>
      <c r="K61" s="51"/>
    </row>
    <row r="62" spans="8:11" x14ac:dyDescent="0.3">
      <c r="H62" s="51" t="s">
        <v>470</v>
      </c>
      <c r="I62" s="235">
        <f t="shared" si="0"/>
        <v>6</v>
      </c>
      <c r="J62" s="51">
        <v>6</v>
      </c>
      <c r="K62" s="51"/>
    </row>
    <row r="63" spans="8:11" x14ac:dyDescent="0.3">
      <c r="H63" s="51" t="s">
        <v>254</v>
      </c>
      <c r="I63" s="235">
        <f t="shared" si="0"/>
        <v>20.5</v>
      </c>
      <c r="J63" s="51">
        <v>20.5</v>
      </c>
      <c r="K63" s="51"/>
    </row>
    <row r="64" spans="8:11" x14ac:dyDescent="0.3">
      <c r="H64" s="51" t="s">
        <v>256</v>
      </c>
      <c r="I64" s="235">
        <f t="shared" si="0"/>
        <v>14.5</v>
      </c>
      <c r="J64" s="51">
        <v>14.5</v>
      </c>
      <c r="K64" s="51"/>
    </row>
    <row r="65" spans="8:11" x14ac:dyDescent="0.3">
      <c r="H65" s="51" t="s">
        <v>258</v>
      </c>
      <c r="I65" s="235">
        <f t="shared" si="0"/>
        <v>21</v>
      </c>
      <c r="J65" s="51">
        <v>21</v>
      </c>
      <c r="K65" s="51"/>
    </row>
    <row r="66" spans="8:11" x14ac:dyDescent="0.3">
      <c r="H66" s="51" t="s">
        <v>260</v>
      </c>
      <c r="I66" s="235">
        <f t="shared" si="0"/>
        <v>12.5</v>
      </c>
      <c r="J66" s="51">
        <v>12.5</v>
      </c>
      <c r="K66" s="51"/>
    </row>
    <row r="67" spans="8:11" x14ac:dyDescent="0.3">
      <c r="H67" s="51" t="s">
        <v>262</v>
      </c>
      <c r="I67" s="235">
        <f t="shared" si="0"/>
        <v>13</v>
      </c>
      <c r="J67" s="51">
        <v>13</v>
      </c>
      <c r="K67" s="51"/>
    </row>
    <row r="68" spans="8:11" x14ac:dyDescent="0.3">
      <c r="H68" s="51" t="s">
        <v>264</v>
      </c>
      <c r="I68" s="235">
        <f t="shared" ref="I68:I131" si="1">J68-K68</f>
        <v>14.5</v>
      </c>
      <c r="J68" s="51">
        <v>14.5</v>
      </c>
      <c r="K68" s="51"/>
    </row>
    <row r="69" spans="8:11" x14ac:dyDescent="0.3">
      <c r="H69" s="51" t="s">
        <v>266</v>
      </c>
      <c r="I69" s="235">
        <f t="shared" si="1"/>
        <v>13</v>
      </c>
      <c r="J69" s="51">
        <v>13</v>
      </c>
      <c r="K69" s="51"/>
    </row>
    <row r="70" spans="8:11" x14ac:dyDescent="0.3">
      <c r="H70" s="51" t="s">
        <v>268</v>
      </c>
      <c r="I70" s="235">
        <f t="shared" si="1"/>
        <v>17</v>
      </c>
      <c r="J70" s="51">
        <v>17</v>
      </c>
      <c r="K70" s="51"/>
    </row>
    <row r="71" spans="8:11" x14ac:dyDescent="0.3">
      <c r="H71" s="51" t="s">
        <v>270</v>
      </c>
      <c r="I71" s="235">
        <f t="shared" si="1"/>
        <v>11</v>
      </c>
      <c r="J71" s="51">
        <v>11</v>
      </c>
      <c r="K71" s="51"/>
    </row>
    <row r="72" spans="8:11" x14ac:dyDescent="0.3">
      <c r="H72" s="51" t="s">
        <v>272</v>
      </c>
      <c r="I72" s="235">
        <f t="shared" si="1"/>
        <v>11</v>
      </c>
      <c r="J72" s="51">
        <v>11</v>
      </c>
      <c r="K72" s="51"/>
    </row>
    <row r="73" spans="8:11" x14ac:dyDescent="0.3">
      <c r="H73" s="51" t="s">
        <v>274</v>
      </c>
      <c r="I73" s="235">
        <f t="shared" si="1"/>
        <v>10.5</v>
      </c>
      <c r="J73" s="51">
        <v>10.5</v>
      </c>
      <c r="K73" s="51"/>
    </row>
    <row r="74" spans="8:11" x14ac:dyDescent="0.3">
      <c r="H74" s="51" t="s">
        <v>276</v>
      </c>
      <c r="I74" s="235">
        <f t="shared" si="1"/>
        <v>6</v>
      </c>
      <c r="J74" s="51">
        <v>11</v>
      </c>
      <c r="K74" s="51">
        <v>5</v>
      </c>
    </row>
    <row r="75" spans="8:11" x14ac:dyDescent="0.3">
      <c r="H75" s="51" t="s">
        <v>278</v>
      </c>
      <c r="I75" s="235">
        <f t="shared" si="1"/>
        <v>6</v>
      </c>
      <c r="J75" s="51">
        <v>6</v>
      </c>
      <c r="K75" s="51"/>
    </row>
    <row r="76" spans="8:11" x14ac:dyDescent="0.3">
      <c r="H76" s="51" t="s">
        <v>280</v>
      </c>
      <c r="I76" s="235">
        <f t="shared" si="1"/>
        <v>5</v>
      </c>
      <c r="J76" s="51">
        <v>5</v>
      </c>
      <c r="K76" s="51"/>
    </row>
    <row r="77" spans="8:11" x14ac:dyDescent="0.3">
      <c r="H77" s="51" t="s">
        <v>471</v>
      </c>
      <c r="I77" s="235">
        <f t="shared" si="1"/>
        <v>3</v>
      </c>
      <c r="J77" s="51">
        <v>3</v>
      </c>
      <c r="K77" s="51"/>
    </row>
    <row r="78" spans="8:11" x14ac:dyDescent="0.3">
      <c r="H78" s="51" t="s">
        <v>283</v>
      </c>
      <c r="I78" s="235">
        <f t="shared" si="1"/>
        <v>28</v>
      </c>
      <c r="J78" s="51">
        <v>28</v>
      </c>
      <c r="K78" s="51"/>
    </row>
    <row r="79" spans="8:11" x14ac:dyDescent="0.3">
      <c r="H79" s="51" t="s">
        <v>285</v>
      </c>
      <c r="I79" s="235">
        <f t="shared" si="1"/>
        <v>19</v>
      </c>
      <c r="J79" s="51">
        <v>19</v>
      </c>
      <c r="K79" s="51"/>
    </row>
    <row r="80" spans="8:11" x14ac:dyDescent="0.3">
      <c r="H80" s="51" t="s">
        <v>287</v>
      </c>
      <c r="I80" s="235">
        <f t="shared" si="1"/>
        <v>30</v>
      </c>
      <c r="J80" s="51">
        <v>30</v>
      </c>
      <c r="K80" s="51"/>
    </row>
    <row r="81" spans="8:11" x14ac:dyDescent="0.3">
      <c r="H81" s="51" t="s">
        <v>289</v>
      </c>
      <c r="I81" s="235">
        <f t="shared" si="1"/>
        <v>24.5</v>
      </c>
      <c r="J81" s="51">
        <v>32</v>
      </c>
      <c r="K81" s="51">
        <v>7.5</v>
      </c>
    </row>
    <row r="82" spans="8:11" x14ac:dyDescent="0.3">
      <c r="H82" s="51" t="s">
        <v>291</v>
      </c>
      <c r="I82" s="235">
        <f t="shared" si="1"/>
        <v>20</v>
      </c>
      <c r="J82" s="51">
        <v>22.5</v>
      </c>
      <c r="K82" s="51">
        <v>2.5</v>
      </c>
    </row>
    <row r="83" spans="8:11" x14ac:dyDescent="0.3">
      <c r="H83" s="51" t="s">
        <v>293</v>
      </c>
      <c r="I83" s="235">
        <f t="shared" si="1"/>
        <v>19</v>
      </c>
      <c r="J83" s="51">
        <v>21.5</v>
      </c>
      <c r="K83" s="51">
        <v>2.5</v>
      </c>
    </row>
    <row r="84" spans="8:11" x14ac:dyDescent="0.3">
      <c r="H84" s="51" t="s">
        <v>295</v>
      </c>
      <c r="I84" s="235">
        <f t="shared" si="1"/>
        <v>29</v>
      </c>
      <c r="J84" s="51">
        <v>31</v>
      </c>
      <c r="K84" s="51">
        <v>2</v>
      </c>
    </row>
    <row r="85" spans="8:11" x14ac:dyDescent="0.3">
      <c r="H85" s="51" t="s">
        <v>297</v>
      </c>
      <c r="I85" s="235">
        <f t="shared" si="1"/>
        <v>18.75</v>
      </c>
      <c r="J85" s="51">
        <v>18.75</v>
      </c>
      <c r="K85" s="51"/>
    </row>
    <row r="86" spans="8:11" x14ac:dyDescent="0.3">
      <c r="H86" s="51" t="s">
        <v>299</v>
      </c>
      <c r="I86" s="235">
        <f t="shared" si="1"/>
        <v>27.25</v>
      </c>
      <c r="J86" s="51">
        <v>27.25</v>
      </c>
      <c r="K86" s="51"/>
    </row>
    <row r="87" spans="8:11" x14ac:dyDescent="0.3">
      <c r="H87" s="51" t="s">
        <v>301</v>
      </c>
      <c r="I87" s="235">
        <f t="shared" si="1"/>
        <v>9.25</v>
      </c>
      <c r="J87" s="51">
        <v>9.25</v>
      </c>
      <c r="K87" s="51"/>
    </row>
    <row r="88" spans="8:11" x14ac:dyDescent="0.3">
      <c r="H88" s="51" t="s">
        <v>303</v>
      </c>
      <c r="I88" s="235">
        <f t="shared" si="1"/>
        <v>9.25</v>
      </c>
      <c r="J88" s="51">
        <v>9.25</v>
      </c>
      <c r="K88" s="51"/>
    </row>
    <row r="89" spans="8:11" x14ac:dyDescent="0.3">
      <c r="H89" s="51" t="s">
        <v>472</v>
      </c>
      <c r="I89" s="235">
        <f t="shared" si="1"/>
        <v>1</v>
      </c>
      <c r="J89" s="51">
        <v>1</v>
      </c>
      <c r="K89" s="51"/>
    </row>
    <row r="90" spans="8:11" x14ac:dyDescent="0.3">
      <c r="H90" s="51" t="s">
        <v>307</v>
      </c>
      <c r="I90" s="235">
        <f t="shared" si="1"/>
        <v>12.5</v>
      </c>
      <c r="J90" s="51">
        <v>12.5</v>
      </c>
      <c r="K90" s="51"/>
    </row>
    <row r="91" spans="8:11" x14ac:dyDescent="0.3">
      <c r="H91" s="51" t="s">
        <v>309</v>
      </c>
      <c r="I91" s="235">
        <f t="shared" si="1"/>
        <v>7</v>
      </c>
      <c r="J91" s="51">
        <v>7</v>
      </c>
      <c r="K91" s="51"/>
    </row>
    <row r="92" spans="8:11" x14ac:dyDescent="0.3">
      <c r="H92" s="51" t="s">
        <v>311</v>
      </c>
      <c r="I92" s="235">
        <f t="shared" si="1"/>
        <v>12</v>
      </c>
      <c r="J92" s="51">
        <v>12</v>
      </c>
      <c r="K92" s="51"/>
    </row>
    <row r="93" spans="8:11" x14ac:dyDescent="0.3">
      <c r="H93" s="51" t="s">
        <v>313</v>
      </c>
      <c r="I93" s="235">
        <f t="shared" si="1"/>
        <v>5.5</v>
      </c>
      <c r="J93" s="51">
        <v>5.5</v>
      </c>
      <c r="K93" s="51"/>
    </row>
    <row r="94" spans="8:11" x14ac:dyDescent="0.3">
      <c r="H94" s="51" t="s">
        <v>315</v>
      </c>
      <c r="I94" s="235">
        <f t="shared" si="1"/>
        <v>10.5</v>
      </c>
      <c r="J94" s="51">
        <v>10.5</v>
      </c>
      <c r="K94" s="51"/>
    </row>
    <row r="95" spans="8:11" x14ac:dyDescent="0.3">
      <c r="H95" s="51" t="s">
        <v>317</v>
      </c>
      <c r="I95" s="235">
        <f t="shared" si="1"/>
        <v>10.5</v>
      </c>
      <c r="J95" s="51">
        <v>10.5</v>
      </c>
      <c r="K95" s="51"/>
    </row>
    <row r="96" spans="8:11" x14ac:dyDescent="0.3">
      <c r="H96" s="51" t="s">
        <v>319</v>
      </c>
      <c r="I96" s="235">
        <f t="shared" si="1"/>
        <v>8.5</v>
      </c>
      <c r="J96" s="51">
        <v>8.5</v>
      </c>
      <c r="K96" s="51"/>
    </row>
    <row r="97" spans="8:11" x14ac:dyDescent="0.3">
      <c r="H97" s="51" t="s">
        <v>321</v>
      </c>
      <c r="I97" s="235">
        <f t="shared" si="1"/>
        <v>10</v>
      </c>
      <c r="J97" s="51">
        <v>10</v>
      </c>
      <c r="K97" s="51"/>
    </row>
    <row r="98" spans="8:11" x14ac:dyDescent="0.3">
      <c r="H98" s="51" t="s">
        <v>323</v>
      </c>
      <c r="I98" s="235">
        <f t="shared" si="1"/>
        <v>11</v>
      </c>
      <c r="J98" s="51">
        <v>11</v>
      </c>
      <c r="K98" s="51"/>
    </row>
    <row r="99" spans="8:11" x14ac:dyDescent="0.3">
      <c r="H99" s="51" t="s">
        <v>325</v>
      </c>
      <c r="I99" s="235">
        <f t="shared" si="1"/>
        <v>11.5</v>
      </c>
      <c r="J99" s="51">
        <v>11.5</v>
      </c>
      <c r="K99" s="51"/>
    </row>
    <row r="100" spans="8:11" x14ac:dyDescent="0.3">
      <c r="H100" s="51" t="s">
        <v>327</v>
      </c>
      <c r="I100" s="235">
        <f t="shared" si="1"/>
        <v>11.5</v>
      </c>
      <c r="J100" s="51">
        <v>11.5</v>
      </c>
      <c r="K100" s="51"/>
    </row>
    <row r="101" spans="8:11" x14ac:dyDescent="0.3">
      <c r="H101" s="51" t="s">
        <v>329</v>
      </c>
      <c r="I101" s="235">
        <f t="shared" si="1"/>
        <v>9.5</v>
      </c>
      <c r="J101" s="51">
        <v>9.5</v>
      </c>
      <c r="K101" s="51"/>
    </row>
    <row r="102" spans="8:11" x14ac:dyDescent="0.3">
      <c r="H102" s="51" t="s">
        <v>331</v>
      </c>
      <c r="I102" s="235">
        <f t="shared" si="1"/>
        <v>10.5</v>
      </c>
      <c r="J102" s="51">
        <v>10.5</v>
      </c>
      <c r="K102" s="51"/>
    </row>
    <row r="103" spans="8:11" x14ac:dyDescent="0.3">
      <c r="H103" s="51" t="s">
        <v>333</v>
      </c>
      <c r="I103" s="235">
        <f t="shared" si="1"/>
        <v>13</v>
      </c>
      <c r="J103" s="51">
        <v>13</v>
      </c>
      <c r="K103" s="51"/>
    </row>
    <row r="104" spans="8:11" x14ac:dyDescent="0.3">
      <c r="H104" s="51" t="s">
        <v>335</v>
      </c>
      <c r="I104" s="235">
        <f t="shared" si="1"/>
        <v>12.5</v>
      </c>
      <c r="J104" s="51">
        <v>12.5</v>
      </c>
      <c r="K104" s="51"/>
    </row>
    <row r="105" spans="8:11" x14ac:dyDescent="0.3">
      <c r="H105" s="51" t="s">
        <v>337</v>
      </c>
      <c r="I105" s="235">
        <f t="shared" si="1"/>
        <v>11.5</v>
      </c>
      <c r="J105" s="51">
        <v>11.5</v>
      </c>
      <c r="K105" s="51"/>
    </row>
    <row r="106" spans="8:11" x14ac:dyDescent="0.3">
      <c r="H106" s="51" t="s">
        <v>339</v>
      </c>
      <c r="I106" s="235">
        <f t="shared" si="1"/>
        <v>12.5</v>
      </c>
      <c r="J106" s="51">
        <v>12.5</v>
      </c>
      <c r="K106" s="51"/>
    </row>
    <row r="107" spans="8:11" x14ac:dyDescent="0.3">
      <c r="H107" s="51" t="s">
        <v>341</v>
      </c>
      <c r="I107" s="235">
        <f t="shared" si="1"/>
        <v>11.5</v>
      </c>
      <c r="J107" s="51">
        <v>11.5</v>
      </c>
      <c r="K107" s="51"/>
    </row>
    <row r="108" spans="8:11" x14ac:dyDescent="0.3">
      <c r="H108" s="51" t="s">
        <v>343</v>
      </c>
      <c r="I108" s="235">
        <f t="shared" si="1"/>
        <v>12</v>
      </c>
      <c r="J108" s="51">
        <v>12</v>
      </c>
      <c r="K108" s="51"/>
    </row>
    <row r="109" spans="8:11" x14ac:dyDescent="0.3">
      <c r="H109" s="51" t="s">
        <v>345</v>
      </c>
      <c r="I109" s="235">
        <f t="shared" si="1"/>
        <v>11.5</v>
      </c>
      <c r="J109" s="51">
        <v>11.5</v>
      </c>
      <c r="K109" s="51"/>
    </row>
    <row r="110" spans="8:11" x14ac:dyDescent="0.3">
      <c r="H110" s="51" t="s">
        <v>347</v>
      </c>
      <c r="I110" s="235">
        <f t="shared" si="1"/>
        <v>9</v>
      </c>
      <c r="J110" s="51">
        <v>9</v>
      </c>
      <c r="K110" s="51"/>
    </row>
    <row r="111" spans="8:11" x14ac:dyDescent="0.3">
      <c r="H111" s="51" t="s">
        <v>349</v>
      </c>
      <c r="I111" s="235">
        <f t="shared" si="1"/>
        <v>9</v>
      </c>
      <c r="J111" s="51">
        <v>9</v>
      </c>
      <c r="K111" s="51"/>
    </row>
    <row r="112" spans="8:11" x14ac:dyDescent="0.3">
      <c r="H112" s="51" t="s">
        <v>350</v>
      </c>
      <c r="I112" s="235">
        <f t="shared" si="1"/>
        <v>7</v>
      </c>
      <c r="J112" s="51">
        <v>7</v>
      </c>
      <c r="K112" s="51"/>
    </row>
    <row r="113" spans="8:11" x14ac:dyDescent="0.3">
      <c r="H113" s="51" t="s">
        <v>351</v>
      </c>
      <c r="I113" s="235">
        <f t="shared" si="1"/>
        <v>4.5</v>
      </c>
      <c r="J113" s="51">
        <v>4.5</v>
      </c>
      <c r="K113" s="51"/>
    </row>
    <row r="114" spans="8:11" x14ac:dyDescent="0.3">
      <c r="H114" s="51" t="s">
        <v>473</v>
      </c>
      <c r="I114" s="51">
        <f t="shared" si="1"/>
        <v>1</v>
      </c>
      <c r="J114" s="91">
        <v>1</v>
      </c>
      <c r="K114" s="51"/>
    </row>
    <row r="115" spans="8:11" x14ac:dyDescent="0.3">
      <c r="H115" s="51" t="s">
        <v>474</v>
      </c>
      <c r="I115" s="235">
        <f t="shared" si="1"/>
        <v>2</v>
      </c>
      <c r="J115" s="51">
        <v>2</v>
      </c>
      <c r="K115" s="51"/>
    </row>
    <row r="116" spans="8:11" x14ac:dyDescent="0.3">
      <c r="H116" s="51" t="s">
        <v>475</v>
      </c>
      <c r="I116" s="235">
        <f t="shared" si="1"/>
        <v>3</v>
      </c>
      <c r="J116" s="51">
        <v>3</v>
      </c>
      <c r="K116" s="51"/>
    </row>
    <row r="117" spans="8:11" x14ac:dyDescent="0.3">
      <c r="H117" s="51" t="s">
        <v>476</v>
      </c>
      <c r="I117" s="235">
        <f t="shared" si="1"/>
        <v>2</v>
      </c>
      <c r="J117" s="51">
        <v>2</v>
      </c>
      <c r="K117" s="51"/>
    </row>
    <row r="118" spans="8:11" x14ac:dyDescent="0.3">
      <c r="H118" s="51" t="s">
        <v>477</v>
      </c>
      <c r="I118" s="235">
        <f t="shared" si="1"/>
        <v>2.5</v>
      </c>
      <c r="J118" s="51">
        <v>2.5</v>
      </c>
      <c r="K118" s="51"/>
    </row>
    <row r="119" spans="8:11" x14ac:dyDescent="0.3">
      <c r="H119" s="51" t="s">
        <v>478</v>
      </c>
      <c r="I119" s="235">
        <f t="shared" si="1"/>
        <v>2</v>
      </c>
      <c r="J119" s="51">
        <v>2</v>
      </c>
      <c r="K119" s="51"/>
    </row>
    <row r="120" spans="8:11" x14ac:dyDescent="0.3">
      <c r="H120" s="51" t="s">
        <v>479</v>
      </c>
      <c r="I120" s="235">
        <f t="shared" si="1"/>
        <v>1</v>
      </c>
      <c r="J120" s="51">
        <v>1</v>
      </c>
      <c r="K120" s="51"/>
    </row>
    <row r="121" spans="8:11" x14ac:dyDescent="0.3">
      <c r="H121" s="51" t="s">
        <v>480</v>
      </c>
      <c r="I121" s="51">
        <f t="shared" si="1"/>
        <v>1.5</v>
      </c>
      <c r="J121" s="91">
        <v>1.5</v>
      </c>
      <c r="K121" s="51"/>
    </row>
    <row r="122" spans="8:11" x14ac:dyDescent="0.3">
      <c r="H122" s="51" t="s">
        <v>481</v>
      </c>
      <c r="I122" s="235">
        <f t="shared" si="1"/>
        <v>3.5</v>
      </c>
      <c r="J122" s="51">
        <v>3.5</v>
      </c>
      <c r="K122" s="51"/>
    </row>
    <row r="123" spans="8:11" x14ac:dyDescent="0.3">
      <c r="H123" s="51" t="s">
        <v>482</v>
      </c>
      <c r="I123" s="235">
        <f t="shared" si="1"/>
        <v>2</v>
      </c>
      <c r="J123" s="51">
        <v>2</v>
      </c>
      <c r="K123" s="51"/>
    </row>
    <row r="124" spans="8:11" x14ac:dyDescent="0.3">
      <c r="H124" s="51" t="s">
        <v>483</v>
      </c>
      <c r="I124" s="51">
        <f t="shared" si="1"/>
        <v>1</v>
      </c>
      <c r="J124" s="91">
        <v>1</v>
      </c>
      <c r="K124" s="51"/>
    </row>
    <row r="125" spans="8:11" x14ac:dyDescent="0.3">
      <c r="H125" s="51" t="s">
        <v>484</v>
      </c>
      <c r="I125" s="235">
        <f t="shared" si="1"/>
        <v>1</v>
      </c>
      <c r="J125" s="51">
        <v>1</v>
      </c>
      <c r="K125" s="51"/>
    </row>
    <row r="126" spans="8:11" x14ac:dyDescent="0.3">
      <c r="H126" s="51" t="s">
        <v>485</v>
      </c>
      <c r="I126" s="51">
        <f t="shared" si="1"/>
        <v>1</v>
      </c>
      <c r="J126" s="91">
        <v>1</v>
      </c>
      <c r="K126" s="51"/>
    </row>
    <row r="127" spans="8:11" x14ac:dyDescent="0.3">
      <c r="H127" s="51" t="s">
        <v>486</v>
      </c>
      <c r="I127" s="235">
        <f t="shared" si="1"/>
        <v>1</v>
      </c>
      <c r="J127" s="51">
        <v>1</v>
      </c>
      <c r="K127" s="51"/>
    </row>
    <row r="128" spans="8:11" x14ac:dyDescent="0.3">
      <c r="H128" s="51" t="s">
        <v>487</v>
      </c>
      <c r="I128" s="235">
        <f t="shared" si="1"/>
        <v>1</v>
      </c>
      <c r="J128" s="51">
        <v>1</v>
      </c>
      <c r="K128" s="51"/>
    </row>
    <row r="129" spans="8:11" x14ac:dyDescent="0.3">
      <c r="H129" s="51" t="s">
        <v>488</v>
      </c>
      <c r="I129" s="235">
        <f t="shared" si="1"/>
        <v>4.5</v>
      </c>
      <c r="J129" s="51">
        <v>4.5</v>
      </c>
      <c r="K129" s="51"/>
    </row>
    <row r="130" spans="8:11" x14ac:dyDescent="0.3">
      <c r="H130" s="51" t="s">
        <v>489</v>
      </c>
      <c r="I130" s="235">
        <f t="shared" si="1"/>
        <v>3</v>
      </c>
      <c r="J130" s="51">
        <v>3</v>
      </c>
      <c r="K130" s="51"/>
    </row>
    <row r="131" spans="8:11" x14ac:dyDescent="0.3">
      <c r="H131" s="51" t="s">
        <v>490</v>
      </c>
      <c r="I131" s="235">
        <f t="shared" si="1"/>
        <v>1</v>
      </c>
      <c r="J131" s="51">
        <v>1</v>
      </c>
      <c r="K131" s="51"/>
    </row>
    <row r="132" spans="8:11" x14ac:dyDescent="0.3">
      <c r="H132" s="51" t="s">
        <v>491</v>
      </c>
      <c r="I132" s="235">
        <f t="shared" ref="I132:I195" si="2">J132-K132</f>
        <v>2</v>
      </c>
      <c r="J132" s="51">
        <v>2</v>
      </c>
      <c r="K132" s="51"/>
    </row>
    <row r="133" spans="8:11" x14ac:dyDescent="0.3">
      <c r="H133" s="51" t="s">
        <v>355</v>
      </c>
      <c r="I133" s="235">
        <f t="shared" si="2"/>
        <v>40.5</v>
      </c>
      <c r="J133" s="51">
        <v>40.5</v>
      </c>
      <c r="K133" s="51"/>
    </row>
    <row r="134" spans="8:11" x14ac:dyDescent="0.3">
      <c r="H134" s="51" t="s">
        <v>357</v>
      </c>
      <c r="I134" s="235">
        <f t="shared" si="2"/>
        <v>24</v>
      </c>
      <c r="J134" s="51">
        <v>24</v>
      </c>
      <c r="K134" s="51"/>
    </row>
    <row r="135" spans="8:11" x14ac:dyDescent="0.3">
      <c r="H135" s="51" t="s">
        <v>492</v>
      </c>
      <c r="I135" s="235">
        <f t="shared" si="2"/>
        <v>1.5</v>
      </c>
      <c r="J135" s="51">
        <v>1.5</v>
      </c>
      <c r="K135" s="51"/>
    </row>
    <row r="136" spans="8:11" x14ac:dyDescent="0.3">
      <c r="H136" s="51" t="s">
        <v>361</v>
      </c>
      <c r="I136" s="235">
        <f t="shared" si="2"/>
        <v>11</v>
      </c>
      <c r="J136" s="51">
        <v>11</v>
      </c>
      <c r="K136" s="51"/>
    </row>
    <row r="137" spans="8:11" x14ac:dyDescent="0.3">
      <c r="H137" s="51" t="s">
        <v>363</v>
      </c>
      <c r="I137" s="235">
        <f t="shared" si="2"/>
        <v>11</v>
      </c>
      <c r="J137" s="51">
        <v>11</v>
      </c>
      <c r="K137" s="51"/>
    </row>
    <row r="138" spans="8:11" x14ac:dyDescent="0.3">
      <c r="H138" s="51" t="s">
        <v>365</v>
      </c>
      <c r="I138" s="235">
        <f t="shared" si="2"/>
        <v>11</v>
      </c>
      <c r="J138" s="51">
        <v>11</v>
      </c>
      <c r="K138" s="51"/>
    </row>
    <row r="139" spans="8:11" x14ac:dyDescent="0.3">
      <c r="H139" s="51" t="s">
        <v>366</v>
      </c>
      <c r="I139" s="235">
        <f t="shared" si="2"/>
        <v>10</v>
      </c>
      <c r="J139" s="51">
        <v>10</v>
      </c>
      <c r="K139" s="51"/>
    </row>
    <row r="140" spans="8:11" x14ac:dyDescent="0.3">
      <c r="H140" s="51" t="s">
        <v>370</v>
      </c>
      <c r="I140" s="235">
        <f t="shared" si="2"/>
        <v>28</v>
      </c>
      <c r="J140" s="51">
        <v>29</v>
      </c>
      <c r="K140" s="51">
        <v>1</v>
      </c>
    </row>
    <row r="141" spans="8:11" x14ac:dyDescent="0.3">
      <c r="H141" s="51" t="s">
        <v>372</v>
      </c>
      <c r="I141" s="235">
        <f t="shared" si="2"/>
        <v>27</v>
      </c>
      <c r="J141" s="51">
        <v>30</v>
      </c>
      <c r="K141" s="51">
        <v>3</v>
      </c>
    </row>
    <row r="142" spans="8:11" x14ac:dyDescent="0.3">
      <c r="H142" s="51"/>
      <c r="I142" s="51">
        <f t="shared" si="2"/>
        <v>0</v>
      </c>
      <c r="J142" s="91"/>
      <c r="K142" s="51"/>
    </row>
    <row r="143" spans="8:11" x14ac:dyDescent="0.3">
      <c r="H143" s="51"/>
      <c r="I143" s="51">
        <f t="shared" si="2"/>
        <v>0</v>
      </c>
      <c r="J143" s="91"/>
      <c r="K143" s="51"/>
    </row>
    <row r="144" spans="8:11" x14ac:dyDescent="0.3">
      <c r="H144" s="51"/>
      <c r="I144" s="51">
        <f t="shared" si="2"/>
        <v>0</v>
      </c>
      <c r="J144" s="91"/>
      <c r="K144" s="51"/>
    </row>
    <row r="145" spans="8:11" x14ac:dyDescent="0.3">
      <c r="H145" s="51"/>
      <c r="I145" s="51">
        <f t="shared" si="2"/>
        <v>0</v>
      </c>
      <c r="J145" s="91"/>
      <c r="K145" s="51"/>
    </row>
    <row r="146" spans="8:11" x14ac:dyDescent="0.3">
      <c r="H146" s="51"/>
      <c r="I146" s="51">
        <f t="shared" si="2"/>
        <v>0</v>
      </c>
      <c r="J146" s="91"/>
      <c r="K146" s="51"/>
    </row>
    <row r="147" spans="8:11" x14ac:dyDescent="0.3">
      <c r="H147" s="51"/>
      <c r="I147" s="51">
        <f t="shared" si="2"/>
        <v>0</v>
      </c>
      <c r="J147" s="91"/>
      <c r="K147" s="51"/>
    </row>
    <row r="148" spans="8:11" x14ac:dyDescent="0.3">
      <c r="H148" s="51"/>
      <c r="I148" s="51">
        <f t="shared" si="2"/>
        <v>0</v>
      </c>
      <c r="J148" s="91"/>
      <c r="K148" s="51"/>
    </row>
    <row r="149" spans="8:11" x14ac:dyDescent="0.3">
      <c r="H149" s="51"/>
      <c r="I149" s="51">
        <f t="shared" si="2"/>
        <v>0</v>
      </c>
      <c r="J149" s="91"/>
      <c r="K149" s="51"/>
    </row>
    <row r="150" spans="8:11" x14ac:dyDescent="0.3">
      <c r="H150" s="51"/>
      <c r="I150" s="51">
        <f t="shared" si="2"/>
        <v>0</v>
      </c>
      <c r="J150" s="91"/>
      <c r="K150" s="51"/>
    </row>
    <row r="151" spans="8:11" x14ac:dyDescent="0.3">
      <c r="H151" s="51"/>
      <c r="I151" s="51">
        <f t="shared" si="2"/>
        <v>0</v>
      </c>
      <c r="J151" s="91"/>
      <c r="K151" s="51"/>
    </row>
    <row r="152" spans="8:11" x14ac:dyDescent="0.3">
      <c r="H152" s="51"/>
      <c r="I152" s="51">
        <f t="shared" si="2"/>
        <v>0</v>
      </c>
      <c r="J152" s="91"/>
      <c r="K152" s="51"/>
    </row>
    <row r="153" spans="8:11" x14ac:dyDescent="0.3">
      <c r="H153" s="51"/>
      <c r="I153" s="51">
        <f t="shared" si="2"/>
        <v>0</v>
      </c>
      <c r="J153" s="91"/>
      <c r="K153" s="51"/>
    </row>
    <row r="154" spans="8:11" x14ac:dyDescent="0.3">
      <c r="H154" s="51"/>
      <c r="I154" s="51">
        <f t="shared" si="2"/>
        <v>0</v>
      </c>
      <c r="J154" s="91"/>
      <c r="K154" s="51"/>
    </row>
    <row r="155" spans="8:11" x14ac:dyDescent="0.3">
      <c r="H155" s="51"/>
      <c r="I155" s="51">
        <f t="shared" si="2"/>
        <v>0</v>
      </c>
      <c r="J155" s="91"/>
      <c r="K155" s="51"/>
    </row>
    <row r="156" spans="8:11" x14ac:dyDescent="0.3">
      <c r="H156" s="51"/>
      <c r="I156" s="51">
        <f t="shared" si="2"/>
        <v>0</v>
      </c>
      <c r="J156" s="91"/>
      <c r="K156" s="51"/>
    </row>
    <row r="157" spans="8:11" x14ac:dyDescent="0.3">
      <c r="H157" s="51"/>
      <c r="I157" s="51">
        <f t="shared" si="2"/>
        <v>0</v>
      </c>
      <c r="J157" s="91"/>
      <c r="K157" s="51"/>
    </row>
    <row r="158" spans="8:11" x14ac:dyDescent="0.3">
      <c r="H158" s="51"/>
      <c r="I158" s="51">
        <f t="shared" si="2"/>
        <v>0</v>
      </c>
      <c r="J158" s="91"/>
      <c r="K158" s="51"/>
    </row>
    <row r="159" spans="8:11" x14ac:dyDescent="0.3">
      <c r="H159" s="51"/>
      <c r="I159" s="51">
        <f t="shared" si="2"/>
        <v>0</v>
      </c>
      <c r="J159" s="91"/>
      <c r="K159" s="51"/>
    </row>
    <row r="160" spans="8:11" x14ac:dyDescent="0.3">
      <c r="H160" s="51"/>
      <c r="I160" s="51">
        <f t="shared" si="2"/>
        <v>0</v>
      </c>
      <c r="J160" s="91"/>
      <c r="K160" s="51"/>
    </row>
    <row r="161" spans="8:11" x14ac:dyDescent="0.3">
      <c r="H161" s="51"/>
      <c r="I161" s="51">
        <f t="shared" si="2"/>
        <v>0</v>
      </c>
      <c r="J161" s="91"/>
      <c r="K161" s="51"/>
    </row>
    <row r="162" spans="8:11" x14ac:dyDescent="0.3">
      <c r="H162" s="51"/>
      <c r="I162" s="51">
        <f t="shared" si="2"/>
        <v>0</v>
      </c>
      <c r="J162" s="91"/>
      <c r="K162" s="51"/>
    </row>
    <row r="163" spans="8:11" x14ac:dyDescent="0.3">
      <c r="H163" s="51"/>
      <c r="I163" s="51">
        <f t="shared" si="2"/>
        <v>0</v>
      </c>
      <c r="J163" s="91"/>
      <c r="K163" s="51"/>
    </row>
    <row r="164" spans="8:11" x14ac:dyDescent="0.3">
      <c r="H164" s="51"/>
      <c r="I164" s="51">
        <f t="shared" si="2"/>
        <v>0</v>
      </c>
      <c r="J164" s="91"/>
      <c r="K164" s="51"/>
    </row>
    <row r="165" spans="8:11" x14ac:dyDescent="0.3">
      <c r="H165" s="51"/>
      <c r="I165" s="51">
        <f t="shared" si="2"/>
        <v>0</v>
      </c>
      <c r="J165" s="91"/>
      <c r="K165" s="51"/>
    </row>
    <row r="166" spans="8:11" x14ac:dyDescent="0.3">
      <c r="H166" s="51"/>
      <c r="I166" s="51">
        <f t="shared" si="2"/>
        <v>0</v>
      </c>
      <c r="J166" s="91"/>
      <c r="K166" s="51"/>
    </row>
    <row r="167" spans="8:11" x14ac:dyDescent="0.3">
      <c r="H167" s="51"/>
      <c r="I167" s="51">
        <f t="shared" si="2"/>
        <v>0</v>
      </c>
      <c r="J167" s="91"/>
      <c r="K167" s="51"/>
    </row>
    <row r="168" spans="8:11" x14ac:dyDescent="0.3">
      <c r="H168" s="51"/>
      <c r="I168" s="51">
        <f t="shared" si="2"/>
        <v>0</v>
      </c>
      <c r="J168" s="91"/>
      <c r="K168" s="51"/>
    </row>
    <row r="169" spans="8:11" x14ac:dyDescent="0.3">
      <c r="H169" s="51"/>
      <c r="I169" s="51">
        <f t="shared" si="2"/>
        <v>0</v>
      </c>
      <c r="J169" s="91"/>
      <c r="K169" s="51"/>
    </row>
    <row r="170" spans="8:11" x14ac:dyDescent="0.3">
      <c r="H170" s="51"/>
      <c r="I170" s="51">
        <f t="shared" si="2"/>
        <v>0</v>
      </c>
      <c r="J170" s="91"/>
      <c r="K170" s="51"/>
    </row>
    <row r="171" spans="8:11" x14ac:dyDescent="0.3">
      <c r="H171" s="51"/>
      <c r="I171" s="51">
        <f t="shared" si="2"/>
        <v>0</v>
      </c>
      <c r="J171" s="91"/>
      <c r="K171" s="51"/>
    </row>
    <row r="172" spans="8:11" x14ac:dyDescent="0.3">
      <c r="H172" s="51"/>
      <c r="I172" s="51">
        <f t="shared" si="2"/>
        <v>0</v>
      </c>
      <c r="J172" s="91"/>
      <c r="K172" s="51"/>
    </row>
    <row r="173" spans="8:11" x14ac:dyDescent="0.3">
      <c r="H173" s="51"/>
      <c r="I173" s="51">
        <f t="shared" si="2"/>
        <v>0</v>
      </c>
      <c r="J173" s="91"/>
      <c r="K173" s="51"/>
    </row>
    <row r="174" spans="8:11" x14ac:dyDescent="0.3">
      <c r="H174" s="51"/>
      <c r="I174" s="51">
        <f t="shared" si="2"/>
        <v>0</v>
      </c>
      <c r="J174" s="91"/>
      <c r="K174" s="51"/>
    </row>
    <row r="175" spans="8:11" x14ac:dyDescent="0.3">
      <c r="H175" s="51"/>
      <c r="I175" s="51">
        <f t="shared" si="2"/>
        <v>0</v>
      </c>
      <c r="J175" s="91"/>
      <c r="K175" s="51"/>
    </row>
    <row r="176" spans="8:11" x14ac:dyDescent="0.3">
      <c r="H176" s="51"/>
      <c r="I176" s="51">
        <f t="shared" si="2"/>
        <v>0</v>
      </c>
      <c r="J176" s="91"/>
      <c r="K176" s="51"/>
    </row>
    <row r="177" spans="8:11" x14ac:dyDescent="0.3">
      <c r="H177" s="51"/>
      <c r="I177" s="51">
        <f t="shared" si="2"/>
        <v>0</v>
      </c>
      <c r="J177" s="91"/>
      <c r="K177" s="51"/>
    </row>
    <row r="178" spans="8:11" x14ac:dyDescent="0.3">
      <c r="H178" s="51"/>
      <c r="I178" s="51">
        <f t="shared" si="2"/>
        <v>0</v>
      </c>
      <c r="J178" s="91"/>
      <c r="K178" s="51"/>
    </row>
    <row r="179" spans="8:11" x14ac:dyDescent="0.3">
      <c r="H179" s="51"/>
      <c r="I179" s="51">
        <f t="shared" si="2"/>
        <v>0</v>
      </c>
      <c r="J179" s="91"/>
      <c r="K179" s="51"/>
    </row>
    <row r="180" spans="8:11" x14ac:dyDescent="0.3">
      <c r="H180" s="51"/>
      <c r="I180" s="51">
        <f t="shared" si="2"/>
        <v>0</v>
      </c>
      <c r="J180" s="91"/>
      <c r="K180" s="51"/>
    </row>
    <row r="181" spans="8:11" x14ac:dyDescent="0.3">
      <c r="H181" s="51"/>
      <c r="I181" s="51">
        <f t="shared" si="2"/>
        <v>0</v>
      </c>
      <c r="J181" s="91"/>
      <c r="K181" s="51"/>
    </row>
    <row r="182" spans="8:11" x14ac:dyDescent="0.3">
      <c r="H182" s="51"/>
      <c r="I182" s="51">
        <f t="shared" si="2"/>
        <v>0</v>
      </c>
      <c r="J182" s="91"/>
      <c r="K182" s="51"/>
    </row>
    <row r="183" spans="8:11" x14ac:dyDescent="0.3">
      <c r="H183" s="51"/>
      <c r="I183" s="51">
        <f t="shared" si="2"/>
        <v>0</v>
      </c>
      <c r="J183" s="91"/>
      <c r="K183" s="51"/>
    </row>
    <row r="184" spans="8:11" x14ac:dyDescent="0.3">
      <c r="H184" s="51"/>
      <c r="I184" s="51">
        <f t="shared" si="2"/>
        <v>0</v>
      </c>
      <c r="J184" s="91"/>
      <c r="K184" s="51"/>
    </row>
    <row r="185" spans="8:11" x14ac:dyDescent="0.3">
      <c r="H185" s="51"/>
      <c r="I185" s="51">
        <f t="shared" si="2"/>
        <v>0</v>
      </c>
      <c r="J185" s="91"/>
      <c r="K185" s="51"/>
    </row>
    <row r="186" spans="8:11" x14ac:dyDescent="0.3">
      <c r="H186" s="51"/>
      <c r="I186" s="51">
        <f t="shared" si="2"/>
        <v>0</v>
      </c>
      <c r="J186" s="91"/>
      <c r="K186" s="51"/>
    </row>
    <row r="187" spans="8:11" x14ac:dyDescent="0.3">
      <c r="H187" s="51"/>
      <c r="I187" s="51">
        <f t="shared" si="2"/>
        <v>0</v>
      </c>
      <c r="J187" s="91"/>
      <c r="K187" s="51"/>
    </row>
    <row r="188" spans="8:11" x14ac:dyDescent="0.3">
      <c r="H188" s="51"/>
      <c r="I188" s="51">
        <f t="shared" si="2"/>
        <v>0</v>
      </c>
      <c r="J188" s="91"/>
      <c r="K188" s="51"/>
    </row>
    <row r="189" spans="8:11" x14ac:dyDescent="0.3">
      <c r="H189" s="51"/>
      <c r="I189" s="51">
        <f t="shared" si="2"/>
        <v>0</v>
      </c>
      <c r="J189" s="91"/>
      <c r="K189" s="51"/>
    </row>
    <row r="190" spans="8:11" x14ac:dyDescent="0.3">
      <c r="H190" s="51"/>
      <c r="I190" s="51">
        <f t="shared" si="2"/>
        <v>0</v>
      </c>
      <c r="J190" s="91"/>
      <c r="K190" s="51"/>
    </row>
    <row r="191" spans="8:11" x14ac:dyDescent="0.3">
      <c r="H191" s="51"/>
      <c r="I191" s="51">
        <f t="shared" si="2"/>
        <v>0</v>
      </c>
      <c r="J191" s="91"/>
      <c r="K191" s="51"/>
    </row>
    <row r="192" spans="8:11" x14ac:dyDescent="0.3">
      <c r="H192" s="51"/>
      <c r="I192" s="51">
        <f t="shared" si="2"/>
        <v>0</v>
      </c>
      <c r="J192" s="91"/>
      <c r="K192" s="51"/>
    </row>
    <row r="193" spans="8:11" x14ac:dyDescent="0.3">
      <c r="H193" s="51"/>
      <c r="I193" s="51">
        <f t="shared" si="2"/>
        <v>0</v>
      </c>
      <c r="J193" s="91"/>
      <c r="K193" s="51"/>
    </row>
    <row r="194" spans="8:11" x14ac:dyDescent="0.3">
      <c r="H194" s="51"/>
      <c r="I194" s="51">
        <f t="shared" si="2"/>
        <v>0</v>
      </c>
      <c r="J194" s="91"/>
      <c r="K194" s="51"/>
    </row>
    <row r="195" spans="8:11" x14ac:dyDescent="0.3">
      <c r="H195" s="51"/>
      <c r="I195" s="51">
        <f t="shared" si="2"/>
        <v>0</v>
      </c>
      <c r="J195" s="91"/>
      <c r="K195" s="51"/>
    </row>
    <row r="196" spans="8:11" x14ac:dyDescent="0.3">
      <c r="H196" s="51"/>
      <c r="I196" s="51">
        <f t="shared" ref="I196:I259" si="3">J196-K196</f>
        <v>0</v>
      </c>
      <c r="J196" s="91"/>
      <c r="K196" s="51"/>
    </row>
    <row r="197" spans="8:11" x14ac:dyDescent="0.3">
      <c r="H197" s="51"/>
      <c r="I197" s="51">
        <f t="shared" si="3"/>
        <v>0</v>
      </c>
      <c r="J197" s="91"/>
      <c r="K197" s="51"/>
    </row>
    <row r="198" spans="8:11" x14ac:dyDescent="0.3">
      <c r="H198" s="51"/>
      <c r="I198" s="51">
        <f t="shared" si="3"/>
        <v>0</v>
      </c>
      <c r="J198" s="91"/>
      <c r="K198" s="51"/>
    </row>
    <row r="199" spans="8:11" x14ac:dyDescent="0.3">
      <c r="H199" s="51"/>
      <c r="I199" s="51">
        <f t="shared" si="3"/>
        <v>0</v>
      </c>
      <c r="J199" s="91"/>
      <c r="K199" s="51"/>
    </row>
    <row r="200" spans="8:11" x14ac:dyDescent="0.3">
      <c r="H200" s="51"/>
      <c r="I200" s="51">
        <f t="shared" si="3"/>
        <v>0</v>
      </c>
      <c r="J200" s="91"/>
      <c r="K200" s="51"/>
    </row>
    <row r="201" spans="8:11" x14ac:dyDescent="0.3">
      <c r="H201" s="51"/>
      <c r="I201" s="51">
        <f t="shared" si="3"/>
        <v>0</v>
      </c>
      <c r="J201" s="91"/>
      <c r="K201" s="51"/>
    </row>
    <row r="202" spans="8:11" x14ac:dyDescent="0.3">
      <c r="H202" s="51"/>
      <c r="I202" s="51">
        <f t="shared" si="3"/>
        <v>0</v>
      </c>
      <c r="J202" s="91"/>
      <c r="K202" s="51"/>
    </row>
    <row r="203" spans="8:11" x14ac:dyDescent="0.3">
      <c r="H203" s="51"/>
      <c r="I203" s="51">
        <f t="shared" si="3"/>
        <v>0</v>
      </c>
      <c r="J203" s="91"/>
      <c r="K203" s="51"/>
    </row>
    <row r="204" spans="8:11" x14ac:dyDescent="0.3">
      <c r="H204" s="51"/>
      <c r="I204" s="51">
        <f t="shared" si="3"/>
        <v>0</v>
      </c>
      <c r="J204" s="91"/>
      <c r="K204" s="51"/>
    </row>
    <row r="205" spans="8:11" x14ac:dyDescent="0.3">
      <c r="H205" s="51"/>
      <c r="I205" s="51">
        <f t="shared" si="3"/>
        <v>0</v>
      </c>
      <c r="J205" s="91"/>
      <c r="K205" s="51"/>
    </row>
    <row r="206" spans="8:11" x14ac:dyDescent="0.3">
      <c r="H206" s="51"/>
      <c r="I206" s="51">
        <f t="shared" si="3"/>
        <v>0</v>
      </c>
      <c r="J206" s="91"/>
      <c r="K206" s="51"/>
    </row>
    <row r="207" spans="8:11" x14ac:dyDescent="0.3">
      <c r="H207" s="51"/>
      <c r="I207" s="51">
        <f t="shared" si="3"/>
        <v>0</v>
      </c>
      <c r="J207" s="91"/>
      <c r="K207" s="51"/>
    </row>
    <row r="208" spans="8:11" x14ac:dyDescent="0.3">
      <c r="H208" s="51"/>
      <c r="I208" s="51">
        <f t="shared" si="3"/>
        <v>0</v>
      </c>
      <c r="J208" s="91"/>
      <c r="K208" s="51"/>
    </row>
    <row r="209" spans="8:11" x14ac:dyDescent="0.3">
      <c r="H209" s="51"/>
      <c r="I209" s="51">
        <f t="shared" si="3"/>
        <v>0</v>
      </c>
      <c r="J209" s="91"/>
      <c r="K209" s="51"/>
    </row>
    <row r="210" spans="8:11" x14ac:dyDescent="0.3">
      <c r="H210" s="51"/>
      <c r="I210" s="51">
        <f t="shared" si="3"/>
        <v>0</v>
      </c>
      <c r="J210" s="91"/>
      <c r="K210" s="51"/>
    </row>
    <row r="211" spans="8:11" x14ac:dyDescent="0.3">
      <c r="H211" s="51"/>
      <c r="I211" s="51">
        <f t="shared" si="3"/>
        <v>0</v>
      </c>
      <c r="J211" s="91"/>
      <c r="K211" s="51"/>
    </row>
    <row r="212" spans="8:11" x14ac:dyDescent="0.3">
      <c r="H212" s="51"/>
      <c r="I212" s="51">
        <f t="shared" si="3"/>
        <v>0</v>
      </c>
      <c r="J212" s="91"/>
      <c r="K212" s="51"/>
    </row>
    <row r="213" spans="8:11" x14ac:dyDescent="0.3">
      <c r="H213" s="51"/>
      <c r="I213" s="51">
        <f t="shared" si="3"/>
        <v>0</v>
      </c>
      <c r="J213" s="91"/>
      <c r="K213" s="51"/>
    </row>
    <row r="214" spans="8:11" x14ac:dyDescent="0.3">
      <c r="H214" s="51"/>
      <c r="I214" s="51">
        <f t="shared" si="3"/>
        <v>0</v>
      </c>
      <c r="J214" s="91"/>
      <c r="K214" s="51"/>
    </row>
    <row r="215" spans="8:11" x14ac:dyDescent="0.3">
      <c r="H215" s="51"/>
      <c r="I215" s="51">
        <f t="shared" si="3"/>
        <v>0</v>
      </c>
      <c r="J215" s="91"/>
      <c r="K215" s="51"/>
    </row>
    <row r="216" spans="8:11" x14ac:dyDescent="0.3">
      <c r="H216" s="51"/>
      <c r="I216" s="51">
        <f t="shared" si="3"/>
        <v>0</v>
      </c>
      <c r="J216" s="91"/>
      <c r="K216" s="51"/>
    </row>
    <row r="217" spans="8:11" x14ac:dyDescent="0.3">
      <c r="H217" s="51"/>
      <c r="I217" s="51">
        <f t="shared" si="3"/>
        <v>0</v>
      </c>
      <c r="J217" s="91"/>
      <c r="K217" s="51"/>
    </row>
    <row r="218" spans="8:11" x14ac:dyDescent="0.3">
      <c r="H218" s="51"/>
      <c r="I218" s="51">
        <f t="shared" si="3"/>
        <v>0</v>
      </c>
      <c r="J218" s="91"/>
      <c r="K218" s="51"/>
    </row>
    <row r="219" spans="8:11" x14ac:dyDescent="0.3">
      <c r="H219" s="51"/>
      <c r="I219" s="51">
        <f t="shared" si="3"/>
        <v>0</v>
      </c>
      <c r="J219" s="91"/>
      <c r="K219" s="51"/>
    </row>
    <row r="220" spans="8:11" x14ac:dyDescent="0.3">
      <c r="H220" s="51"/>
      <c r="I220" s="51">
        <f t="shared" si="3"/>
        <v>0</v>
      </c>
      <c r="J220" s="91"/>
      <c r="K220" s="51"/>
    </row>
    <row r="221" spans="8:11" x14ac:dyDescent="0.3">
      <c r="H221" s="51"/>
      <c r="I221" s="51">
        <f t="shared" si="3"/>
        <v>0</v>
      </c>
      <c r="J221" s="91"/>
      <c r="K221" s="51"/>
    </row>
    <row r="222" spans="8:11" x14ac:dyDescent="0.3">
      <c r="H222" s="51"/>
      <c r="I222" s="51">
        <f t="shared" si="3"/>
        <v>0</v>
      </c>
      <c r="J222" s="91"/>
      <c r="K222" s="51"/>
    </row>
    <row r="223" spans="8:11" x14ac:dyDescent="0.3">
      <c r="H223" s="51"/>
      <c r="I223" s="51">
        <f t="shared" si="3"/>
        <v>0</v>
      </c>
      <c r="J223" s="91"/>
      <c r="K223" s="51"/>
    </row>
    <row r="224" spans="8:11" x14ac:dyDescent="0.3">
      <c r="H224" s="51"/>
      <c r="I224" s="51">
        <f t="shared" si="3"/>
        <v>0</v>
      </c>
      <c r="J224" s="91"/>
      <c r="K224" s="51"/>
    </row>
    <row r="225" spans="8:11" x14ac:dyDescent="0.3">
      <c r="H225" s="51"/>
      <c r="I225" s="51">
        <f t="shared" si="3"/>
        <v>0</v>
      </c>
      <c r="J225" s="91"/>
      <c r="K225" s="51"/>
    </row>
    <row r="226" spans="8:11" x14ac:dyDescent="0.3">
      <c r="H226" s="51"/>
      <c r="I226" s="51">
        <f t="shared" si="3"/>
        <v>0</v>
      </c>
      <c r="J226" s="91"/>
      <c r="K226" s="51"/>
    </row>
    <row r="227" spans="8:11" x14ac:dyDescent="0.3">
      <c r="H227" s="51"/>
      <c r="I227" s="51">
        <f t="shared" si="3"/>
        <v>0</v>
      </c>
      <c r="J227" s="91"/>
      <c r="K227" s="51"/>
    </row>
    <row r="228" spans="8:11" x14ac:dyDescent="0.3">
      <c r="H228" s="51"/>
      <c r="I228" s="51">
        <f t="shared" si="3"/>
        <v>0</v>
      </c>
      <c r="J228" s="91"/>
      <c r="K228" s="51"/>
    </row>
    <row r="229" spans="8:11" x14ac:dyDescent="0.3">
      <c r="H229" s="51"/>
      <c r="I229" s="51">
        <f t="shared" si="3"/>
        <v>0</v>
      </c>
      <c r="J229" s="91"/>
      <c r="K229" s="51"/>
    </row>
    <row r="230" spans="8:11" x14ac:dyDescent="0.3">
      <c r="H230" s="51"/>
      <c r="I230" s="51">
        <f t="shared" si="3"/>
        <v>0</v>
      </c>
      <c r="J230" s="91"/>
      <c r="K230" s="51"/>
    </row>
    <row r="231" spans="8:11" x14ac:dyDescent="0.3">
      <c r="H231" s="51"/>
      <c r="I231" s="51">
        <f t="shared" si="3"/>
        <v>0</v>
      </c>
      <c r="J231" s="91"/>
      <c r="K231" s="51"/>
    </row>
    <row r="232" spans="8:11" x14ac:dyDescent="0.3">
      <c r="H232" s="51"/>
      <c r="I232" s="51">
        <f t="shared" si="3"/>
        <v>0</v>
      </c>
      <c r="J232" s="91"/>
      <c r="K232" s="51"/>
    </row>
    <row r="233" spans="8:11" x14ac:dyDescent="0.3">
      <c r="H233" s="51"/>
      <c r="I233" s="51">
        <f t="shared" si="3"/>
        <v>0</v>
      </c>
      <c r="J233" s="91"/>
      <c r="K233" s="51"/>
    </row>
    <row r="234" spans="8:11" x14ac:dyDescent="0.3">
      <c r="H234" s="51"/>
      <c r="I234" s="51">
        <f t="shared" si="3"/>
        <v>0</v>
      </c>
      <c r="J234" s="91"/>
      <c r="K234" s="51"/>
    </row>
    <row r="235" spans="8:11" x14ac:dyDescent="0.3">
      <c r="H235" s="51"/>
      <c r="I235" s="51">
        <f t="shared" si="3"/>
        <v>0</v>
      </c>
      <c r="J235" s="91"/>
      <c r="K235" s="51"/>
    </row>
    <row r="236" spans="8:11" x14ac:dyDescent="0.3">
      <c r="H236" s="51"/>
      <c r="I236" s="51">
        <f t="shared" si="3"/>
        <v>0</v>
      </c>
      <c r="J236" s="91"/>
      <c r="K236" s="51"/>
    </row>
    <row r="237" spans="8:11" x14ac:dyDescent="0.3">
      <c r="H237" s="51"/>
      <c r="I237" s="51">
        <f t="shared" si="3"/>
        <v>0</v>
      </c>
      <c r="J237" s="91"/>
      <c r="K237" s="51"/>
    </row>
    <row r="238" spans="8:11" x14ac:dyDescent="0.3">
      <c r="H238" s="51"/>
      <c r="I238" s="51">
        <f t="shared" si="3"/>
        <v>0</v>
      </c>
      <c r="J238" s="91"/>
      <c r="K238" s="51"/>
    </row>
    <row r="239" spans="8:11" x14ac:dyDescent="0.3">
      <c r="H239" s="51"/>
      <c r="I239" s="51">
        <f t="shared" si="3"/>
        <v>0</v>
      </c>
      <c r="J239" s="91"/>
      <c r="K239" s="51"/>
    </row>
    <row r="240" spans="8:11" x14ac:dyDescent="0.3">
      <c r="H240" s="51"/>
      <c r="I240" s="51">
        <f t="shared" si="3"/>
        <v>0</v>
      </c>
      <c r="J240" s="91"/>
      <c r="K240" s="51"/>
    </row>
    <row r="241" spans="8:11" x14ac:dyDescent="0.3">
      <c r="H241" s="51"/>
      <c r="I241" s="51">
        <f t="shared" si="3"/>
        <v>0</v>
      </c>
      <c r="J241" s="91"/>
      <c r="K241" s="51"/>
    </row>
    <row r="242" spans="8:11" x14ac:dyDescent="0.3">
      <c r="H242" s="51"/>
      <c r="I242" s="51">
        <f t="shared" si="3"/>
        <v>0</v>
      </c>
      <c r="J242" s="91"/>
      <c r="K242" s="51"/>
    </row>
    <row r="243" spans="8:11" x14ac:dyDescent="0.3">
      <c r="H243" s="51"/>
      <c r="I243" s="51">
        <f t="shared" si="3"/>
        <v>0</v>
      </c>
      <c r="J243" s="91"/>
      <c r="K243" s="51"/>
    </row>
    <row r="244" spans="8:11" x14ac:dyDescent="0.3">
      <c r="H244" s="51"/>
      <c r="I244" s="51">
        <f t="shared" si="3"/>
        <v>0</v>
      </c>
      <c r="J244" s="91"/>
      <c r="K244" s="51"/>
    </row>
    <row r="245" spans="8:11" x14ac:dyDescent="0.3">
      <c r="H245" s="51"/>
      <c r="I245" s="51">
        <f t="shared" si="3"/>
        <v>0</v>
      </c>
      <c r="J245" s="91"/>
      <c r="K245" s="51"/>
    </row>
    <row r="246" spans="8:11" x14ac:dyDescent="0.3">
      <c r="H246" s="51"/>
      <c r="I246" s="51">
        <f t="shared" si="3"/>
        <v>0</v>
      </c>
      <c r="J246" s="91"/>
      <c r="K246" s="51"/>
    </row>
    <row r="247" spans="8:11" x14ac:dyDescent="0.3">
      <c r="H247" s="51"/>
      <c r="I247" s="51">
        <f t="shared" si="3"/>
        <v>0</v>
      </c>
      <c r="J247" s="91"/>
      <c r="K247" s="51"/>
    </row>
    <row r="248" spans="8:11" x14ac:dyDescent="0.3">
      <c r="H248" s="51"/>
      <c r="I248" s="51">
        <f t="shared" si="3"/>
        <v>0</v>
      </c>
      <c r="J248" s="91"/>
      <c r="K248" s="51"/>
    </row>
    <row r="249" spans="8:11" x14ac:dyDescent="0.3">
      <c r="H249" s="51"/>
      <c r="I249" s="51">
        <f t="shared" si="3"/>
        <v>0</v>
      </c>
      <c r="J249" s="91"/>
      <c r="K249" s="51"/>
    </row>
    <row r="250" spans="8:11" x14ac:dyDescent="0.3">
      <c r="H250" s="51"/>
      <c r="I250" s="51">
        <f t="shared" si="3"/>
        <v>0</v>
      </c>
      <c r="J250" s="91"/>
      <c r="K250" s="51"/>
    </row>
    <row r="251" spans="8:11" x14ac:dyDescent="0.3">
      <c r="H251" s="51"/>
      <c r="I251" s="51">
        <f t="shared" si="3"/>
        <v>0</v>
      </c>
      <c r="J251" s="91"/>
      <c r="K251" s="51"/>
    </row>
    <row r="252" spans="8:11" x14ac:dyDescent="0.3">
      <c r="H252" s="51"/>
      <c r="I252" s="51">
        <f t="shared" si="3"/>
        <v>0</v>
      </c>
      <c r="J252" s="91"/>
      <c r="K252" s="51"/>
    </row>
    <row r="253" spans="8:11" x14ac:dyDescent="0.3">
      <c r="H253" s="51"/>
      <c r="I253" s="51">
        <f t="shared" si="3"/>
        <v>0</v>
      </c>
      <c r="J253" s="91"/>
      <c r="K253" s="51"/>
    </row>
    <row r="254" spans="8:11" x14ac:dyDescent="0.3">
      <c r="H254" s="51"/>
      <c r="I254" s="51">
        <f t="shared" si="3"/>
        <v>0</v>
      </c>
      <c r="J254" s="91"/>
      <c r="K254" s="51"/>
    </row>
    <row r="255" spans="8:11" x14ac:dyDescent="0.3">
      <c r="H255" s="51"/>
      <c r="I255" s="51">
        <f t="shared" si="3"/>
        <v>0</v>
      </c>
      <c r="J255" s="91"/>
      <c r="K255" s="51"/>
    </row>
    <row r="256" spans="8:11" x14ac:dyDescent="0.3">
      <c r="H256" s="51"/>
      <c r="I256" s="51">
        <f t="shared" si="3"/>
        <v>0</v>
      </c>
      <c r="J256" s="91"/>
      <c r="K256" s="51"/>
    </row>
    <row r="257" spans="8:11" x14ac:dyDescent="0.3">
      <c r="H257" s="51"/>
      <c r="I257" s="51">
        <f t="shared" si="3"/>
        <v>0</v>
      </c>
      <c r="J257" s="91"/>
      <c r="K257" s="51"/>
    </row>
    <row r="258" spans="8:11" x14ac:dyDescent="0.3">
      <c r="H258" s="51"/>
      <c r="I258" s="51">
        <f t="shared" si="3"/>
        <v>0</v>
      </c>
      <c r="J258" s="91"/>
      <c r="K258" s="51"/>
    </row>
    <row r="259" spans="8:11" x14ac:dyDescent="0.3">
      <c r="H259" s="51"/>
      <c r="I259" s="51">
        <f t="shared" si="3"/>
        <v>0</v>
      </c>
      <c r="J259" s="91"/>
      <c r="K259" s="51"/>
    </row>
    <row r="260" spans="8:11" x14ac:dyDescent="0.3">
      <c r="H260" s="51"/>
      <c r="I260" s="51">
        <f t="shared" ref="I260:I323" si="4">J260-K260</f>
        <v>0</v>
      </c>
      <c r="J260" s="91"/>
      <c r="K260" s="51"/>
    </row>
    <row r="261" spans="8:11" x14ac:dyDescent="0.3">
      <c r="H261" s="51"/>
      <c r="I261" s="51">
        <f t="shared" si="4"/>
        <v>0</v>
      </c>
      <c r="J261" s="91"/>
      <c r="K261" s="51"/>
    </row>
    <row r="262" spans="8:11" x14ac:dyDescent="0.3">
      <c r="H262" s="51"/>
      <c r="I262" s="51">
        <f t="shared" si="4"/>
        <v>0</v>
      </c>
      <c r="J262" s="91"/>
      <c r="K262" s="51"/>
    </row>
    <row r="263" spans="8:11" x14ac:dyDescent="0.3">
      <c r="H263" s="51"/>
      <c r="I263" s="51">
        <f t="shared" si="4"/>
        <v>0</v>
      </c>
      <c r="J263" s="91"/>
      <c r="K263" s="51"/>
    </row>
    <row r="264" spans="8:11" x14ac:dyDescent="0.3">
      <c r="H264" s="51"/>
      <c r="I264" s="51">
        <f t="shared" si="4"/>
        <v>0</v>
      </c>
      <c r="J264" s="91"/>
      <c r="K264" s="51"/>
    </row>
    <row r="265" spans="8:11" x14ac:dyDescent="0.3">
      <c r="H265" s="51"/>
      <c r="I265" s="51">
        <f t="shared" si="4"/>
        <v>0</v>
      </c>
      <c r="J265" s="91"/>
      <c r="K265" s="51"/>
    </row>
    <row r="266" spans="8:11" x14ac:dyDescent="0.3">
      <c r="H266" s="51"/>
      <c r="I266" s="51">
        <f t="shared" si="4"/>
        <v>0</v>
      </c>
      <c r="J266" s="91"/>
      <c r="K266" s="51"/>
    </row>
    <row r="267" spans="8:11" x14ac:dyDescent="0.3">
      <c r="H267" s="51"/>
      <c r="I267" s="51">
        <f t="shared" si="4"/>
        <v>0</v>
      </c>
      <c r="J267" s="91"/>
      <c r="K267" s="51"/>
    </row>
    <row r="268" spans="8:11" x14ac:dyDescent="0.3">
      <c r="H268" s="51"/>
      <c r="I268" s="51">
        <f t="shared" si="4"/>
        <v>0</v>
      </c>
      <c r="J268" s="91"/>
      <c r="K268" s="51"/>
    </row>
    <row r="269" spans="8:11" x14ac:dyDescent="0.3">
      <c r="H269" s="51"/>
      <c r="I269" s="51">
        <f t="shared" si="4"/>
        <v>0</v>
      </c>
      <c r="J269" s="91"/>
      <c r="K269" s="51"/>
    </row>
    <row r="270" spans="8:11" x14ac:dyDescent="0.3">
      <c r="H270" s="51"/>
      <c r="I270" s="51">
        <f t="shared" si="4"/>
        <v>0</v>
      </c>
      <c r="J270" s="91"/>
      <c r="K270" s="51"/>
    </row>
    <row r="271" spans="8:11" x14ac:dyDescent="0.3">
      <c r="H271" s="51"/>
      <c r="I271" s="51">
        <f t="shared" si="4"/>
        <v>0</v>
      </c>
      <c r="J271" s="91"/>
      <c r="K271" s="51"/>
    </row>
    <row r="272" spans="8:11" x14ac:dyDescent="0.3">
      <c r="H272" s="51"/>
      <c r="I272" s="51">
        <f t="shared" si="4"/>
        <v>0</v>
      </c>
      <c r="J272" s="91"/>
      <c r="K272" s="51"/>
    </row>
    <row r="273" spans="8:11" x14ac:dyDescent="0.3">
      <c r="H273" s="51"/>
      <c r="I273" s="51">
        <f t="shared" si="4"/>
        <v>0</v>
      </c>
      <c r="J273" s="91"/>
      <c r="K273" s="51"/>
    </row>
    <row r="274" spans="8:11" x14ac:dyDescent="0.3">
      <c r="H274" s="51"/>
      <c r="I274" s="51">
        <f t="shared" si="4"/>
        <v>0</v>
      </c>
      <c r="J274" s="91"/>
      <c r="K274" s="51"/>
    </row>
    <row r="275" spans="8:11" x14ac:dyDescent="0.3">
      <c r="H275" s="51"/>
      <c r="I275" s="51">
        <f t="shared" si="4"/>
        <v>0</v>
      </c>
      <c r="J275" s="91"/>
      <c r="K275" s="51"/>
    </row>
    <row r="276" spans="8:11" x14ac:dyDescent="0.3">
      <c r="H276" s="51"/>
      <c r="I276" s="51">
        <f t="shared" si="4"/>
        <v>0</v>
      </c>
      <c r="J276" s="91"/>
      <c r="K276" s="51"/>
    </row>
    <row r="277" spans="8:11" x14ac:dyDescent="0.3">
      <c r="H277" s="51"/>
      <c r="I277" s="51">
        <f t="shared" si="4"/>
        <v>0</v>
      </c>
      <c r="J277" s="91"/>
      <c r="K277" s="51"/>
    </row>
    <row r="278" spans="8:11" x14ac:dyDescent="0.3">
      <c r="H278" s="51"/>
      <c r="I278" s="51">
        <f t="shared" si="4"/>
        <v>0</v>
      </c>
      <c r="J278" s="91"/>
      <c r="K278" s="51"/>
    </row>
    <row r="279" spans="8:11" x14ac:dyDescent="0.3">
      <c r="H279" s="51"/>
      <c r="I279" s="51">
        <f t="shared" si="4"/>
        <v>0</v>
      </c>
      <c r="J279" s="91"/>
      <c r="K279" s="51"/>
    </row>
    <row r="280" spans="8:11" x14ac:dyDescent="0.3">
      <c r="H280" s="51"/>
      <c r="I280" s="51">
        <f t="shared" si="4"/>
        <v>0</v>
      </c>
      <c r="J280" s="91"/>
      <c r="K280" s="51"/>
    </row>
    <row r="281" spans="8:11" x14ac:dyDescent="0.3">
      <c r="H281" s="51"/>
      <c r="I281" s="51">
        <f t="shared" si="4"/>
        <v>0</v>
      </c>
      <c r="J281" s="91"/>
      <c r="K281" s="51"/>
    </row>
    <row r="282" spans="8:11" x14ac:dyDescent="0.3">
      <c r="H282" s="51"/>
      <c r="I282" s="51">
        <f t="shared" si="4"/>
        <v>0</v>
      </c>
      <c r="J282" s="91"/>
      <c r="K282" s="51"/>
    </row>
    <row r="283" spans="8:11" x14ac:dyDescent="0.3">
      <c r="H283" s="51"/>
      <c r="I283" s="51">
        <f t="shared" si="4"/>
        <v>0</v>
      </c>
      <c r="J283" s="91"/>
      <c r="K283" s="51"/>
    </row>
    <row r="284" spans="8:11" x14ac:dyDescent="0.3">
      <c r="H284" s="51"/>
      <c r="I284" s="51">
        <f t="shared" si="4"/>
        <v>0</v>
      </c>
      <c r="J284" s="91"/>
      <c r="K284" s="51"/>
    </row>
    <row r="285" spans="8:11" x14ac:dyDescent="0.3">
      <c r="H285" s="51"/>
      <c r="I285" s="51">
        <f t="shared" si="4"/>
        <v>0</v>
      </c>
      <c r="J285" s="91"/>
      <c r="K285" s="51"/>
    </row>
    <row r="286" spans="8:11" x14ac:dyDescent="0.3">
      <c r="H286" s="51"/>
      <c r="I286" s="51">
        <f t="shared" si="4"/>
        <v>0</v>
      </c>
      <c r="J286" s="91"/>
      <c r="K286" s="51"/>
    </row>
    <row r="287" spans="8:11" x14ac:dyDescent="0.3">
      <c r="H287" s="51"/>
      <c r="I287" s="51">
        <f t="shared" si="4"/>
        <v>0</v>
      </c>
      <c r="J287" s="91"/>
      <c r="K287" s="51"/>
    </row>
    <row r="288" spans="8:11" x14ac:dyDescent="0.3">
      <c r="H288" s="51"/>
      <c r="I288" s="51">
        <f t="shared" si="4"/>
        <v>0</v>
      </c>
      <c r="J288" s="91"/>
      <c r="K288" s="51"/>
    </row>
    <row r="289" spans="8:11" x14ac:dyDescent="0.3">
      <c r="H289" s="51"/>
      <c r="I289" s="51">
        <f t="shared" si="4"/>
        <v>0</v>
      </c>
      <c r="J289" s="91"/>
      <c r="K289" s="51"/>
    </row>
    <row r="290" spans="8:11" x14ac:dyDescent="0.3">
      <c r="H290" s="51"/>
      <c r="I290" s="51">
        <f t="shared" si="4"/>
        <v>0</v>
      </c>
      <c r="J290" s="91"/>
      <c r="K290" s="51"/>
    </row>
    <row r="291" spans="8:11" x14ac:dyDescent="0.3">
      <c r="H291" s="51"/>
      <c r="I291" s="51">
        <f t="shared" si="4"/>
        <v>0</v>
      </c>
      <c r="J291" s="91"/>
      <c r="K291" s="51"/>
    </row>
    <row r="292" spans="8:11" x14ac:dyDescent="0.3">
      <c r="H292" s="51"/>
      <c r="I292" s="51">
        <f t="shared" si="4"/>
        <v>0</v>
      </c>
      <c r="J292" s="91"/>
      <c r="K292" s="51"/>
    </row>
    <row r="293" spans="8:11" x14ac:dyDescent="0.3">
      <c r="H293" s="51"/>
      <c r="I293" s="51">
        <f t="shared" si="4"/>
        <v>0</v>
      </c>
      <c r="J293" s="91"/>
      <c r="K293" s="51"/>
    </row>
    <row r="294" spans="8:11" x14ac:dyDescent="0.3">
      <c r="H294" s="51"/>
      <c r="I294" s="51">
        <f t="shared" si="4"/>
        <v>0</v>
      </c>
      <c r="J294" s="91"/>
      <c r="K294" s="51"/>
    </row>
    <row r="295" spans="8:11" x14ac:dyDescent="0.3">
      <c r="H295" s="51"/>
      <c r="I295" s="51">
        <f t="shared" si="4"/>
        <v>0</v>
      </c>
      <c r="J295" s="91"/>
      <c r="K295" s="51"/>
    </row>
    <row r="296" spans="8:11" x14ac:dyDescent="0.3">
      <c r="H296" s="51"/>
      <c r="I296" s="51">
        <f t="shared" si="4"/>
        <v>0</v>
      </c>
      <c r="J296" s="91"/>
      <c r="K296" s="51"/>
    </row>
    <row r="297" spans="8:11" x14ac:dyDescent="0.3">
      <c r="H297" s="51"/>
      <c r="I297" s="51">
        <f t="shared" si="4"/>
        <v>0</v>
      </c>
      <c r="J297" s="91"/>
      <c r="K297" s="51"/>
    </row>
    <row r="298" spans="8:11" x14ac:dyDescent="0.3">
      <c r="H298" s="51"/>
      <c r="I298" s="51">
        <f t="shared" si="4"/>
        <v>0</v>
      </c>
      <c r="J298" s="91"/>
      <c r="K298" s="51"/>
    </row>
    <row r="299" spans="8:11" x14ac:dyDescent="0.3">
      <c r="H299" s="51"/>
      <c r="I299" s="51">
        <f t="shared" si="4"/>
        <v>0</v>
      </c>
      <c r="J299" s="91"/>
      <c r="K299" s="51"/>
    </row>
    <row r="300" spans="8:11" x14ac:dyDescent="0.3">
      <c r="H300" s="51"/>
      <c r="I300" s="51">
        <f t="shared" si="4"/>
        <v>0</v>
      </c>
      <c r="J300" s="91"/>
      <c r="K300" s="51"/>
    </row>
    <row r="301" spans="8:11" x14ac:dyDescent="0.3">
      <c r="H301" s="51"/>
      <c r="I301" s="51">
        <f t="shared" si="4"/>
        <v>0</v>
      </c>
      <c r="J301" s="91"/>
      <c r="K301" s="51"/>
    </row>
    <row r="302" spans="8:11" x14ac:dyDescent="0.3">
      <c r="H302" s="51"/>
      <c r="I302" s="51">
        <f t="shared" si="4"/>
        <v>0</v>
      </c>
      <c r="J302" s="91"/>
      <c r="K302" s="51"/>
    </row>
    <row r="303" spans="8:11" x14ac:dyDescent="0.3">
      <c r="H303" s="51"/>
      <c r="I303" s="51">
        <f t="shared" si="4"/>
        <v>0</v>
      </c>
      <c r="J303" s="91"/>
      <c r="K303" s="51"/>
    </row>
    <row r="304" spans="8:11" x14ac:dyDescent="0.3">
      <c r="H304" s="51"/>
      <c r="I304" s="51">
        <f t="shared" si="4"/>
        <v>0</v>
      </c>
      <c r="J304" s="91"/>
      <c r="K304" s="51"/>
    </row>
    <row r="305" spans="8:11" x14ac:dyDescent="0.3">
      <c r="H305" s="51"/>
      <c r="I305" s="51">
        <f t="shared" si="4"/>
        <v>0</v>
      </c>
      <c r="J305" s="91"/>
      <c r="K305" s="51"/>
    </row>
    <row r="306" spans="8:11" x14ac:dyDescent="0.3">
      <c r="H306" s="51"/>
      <c r="I306" s="51">
        <f t="shared" si="4"/>
        <v>0</v>
      </c>
      <c r="J306" s="91"/>
      <c r="K306" s="51"/>
    </row>
    <row r="307" spans="8:11" x14ac:dyDescent="0.3">
      <c r="H307" s="51"/>
      <c r="I307" s="51">
        <f t="shared" si="4"/>
        <v>0</v>
      </c>
      <c r="J307" s="91"/>
      <c r="K307" s="51"/>
    </row>
    <row r="308" spans="8:11" x14ac:dyDescent="0.3">
      <c r="H308" s="51"/>
      <c r="I308" s="51">
        <f t="shared" si="4"/>
        <v>0</v>
      </c>
      <c r="J308" s="91"/>
      <c r="K308" s="51"/>
    </row>
    <row r="309" spans="8:11" x14ac:dyDescent="0.3">
      <c r="H309" s="51"/>
      <c r="I309" s="51">
        <f t="shared" si="4"/>
        <v>0</v>
      </c>
      <c r="J309" s="91"/>
      <c r="K309" s="51"/>
    </row>
    <row r="310" spans="8:11" x14ac:dyDescent="0.3">
      <c r="H310" s="51"/>
      <c r="I310" s="51">
        <f t="shared" si="4"/>
        <v>0</v>
      </c>
      <c r="J310" s="91"/>
      <c r="K310" s="51"/>
    </row>
    <row r="311" spans="8:11" x14ac:dyDescent="0.3">
      <c r="H311" s="51"/>
      <c r="I311" s="51">
        <f t="shared" si="4"/>
        <v>0</v>
      </c>
      <c r="J311" s="91"/>
      <c r="K311" s="51"/>
    </row>
    <row r="312" spans="8:11" x14ac:dyDescent="0.3">
      <c r="H312" s="51"/>
      <c r="I312" s="51">
        <f t="shared" si="4"/>
        <v>0</v>
      </c>
      <c r="J312" s="91"/>
      <c r="K312" s="51"/>
    </row>
    <row r="313" spans="8:11" x14ac:dyDescent="0.3">
      <c r="H313" s="51"/>
      <c r="I313" s="51">
        <f t="shared" si="4"/>
        <v>0</v>
      </c>
      <c r="J313" s="91"/>
      <c r="K313" s="51"/>
    </row>
    <row r="314" spans="8:11" x14ac:dyDescent="0.3">
      <c r="H314" s="51"/>
      <c r="I314" s="51">
        <f t="shared" si="4"/>
        <v>0</v>
      </c>
      <c r="J314" s="91"/>
      <c r="K314" s="51"/>
    </row>
    <row r="315" spans="8:11" x14ac:dyDescent="0.3">
      <c r="H315" s="51"/>
      <c r="I315" s="51">
        <f t="shared" si="4"/>
        <v>0</v>
      </c>
      <c r="J315" s="91"/>
      <c r="K315" s="51"/>
    </row>
    <row r="316" spans="8:11" x14ac:dyDescent="0.3">
      <c r="H316" s="51"/>
      <c r="I316" s="51">
        <f t="shared" si="4"/>
        <v>0</v>
      </c>
      <c r="J316" s="91"/>
      <c r="K316" s="51"/>
    </row>
    <row r="317" spans="8:11" x14ac:dyDescent="0.3">
      <c r="H317" s="51"/>
      <c r="I317" s="51">
        <f t="shared" si="4"/>
        <v>0</v>
      </c>
      <c r="J317" s="91"/>
      <c r="K317" s="51"/>
    </row>
    <row r="318" spans="8:11" x14ac:dyDescent="0.3">
      <c r="H318" s="51"/>
      <c r="I318" s="51">
        <f t="shared" si="4"/>
        <v>0</v>
      </c>
      <c r="J318" s="91"/>
      <c r="K318" s="51"/>
    </row>
    <row r="319" spans="8:11" x14ac:dyDescent="0.3">
      <c r="H319" s="51"/>
      <c r="I319" s="51">
        <f t="shared" si="4"/>
        <v>0</v>
      </c>
      <c r="J319" s="91"/>
      <c r="K319" s="51"/>
    </row>
    <row r="320" spans="8:11" x14ac:dyDescent="0.3">
      <c r="H320" s="51"/>
      <c r="I320" s="51">
        <f t="shared" si="4"/>
        <v>0</v>
      </c>
      <c r="J320" s="91"/>
      <c r="K320" s="51"/>
    </row>
    <row r="321" spans="8:11" x14ac:dyDescent="0.3">
      <c r="H321" s="51"/>
      <c r="I321" s="51">
        <f t="shared" si="4"/>
        <v>0</v>
      </c>
      <c r="J321" s="91"/>
      <c r="K321" s="51"/>
    </row>
    <row r="322" spans="8:11" x14ac:dyDescent="0.3">
      <c r="H322" s="51"/>
      <c r="I322" s="51">
        <f t="shared" si="4"/>
        <v>0</v>
      </c>
      <c r="J322" s="91"/>
      <c r="K322" s="51"/>
    </row>
    <row r="323" spans="8:11" x14ac:dyDescent="0.3">
      <c r="H323" s="51"/>
      <c r="I323" s="51">
        <f t="shared" si="4"/>
        <v>0</v>
      </c>
      <c r="J323" s="91"/>
      <c r="K323" s="51"/>
    </row>
    <row r="324" spans="8:11" x14ac:dyDescent="0.3">
      <c r="H324" s="51"/>
      <c r="I324" s="51">
        <f t="shared" ref="I324:I387" si="5">J324-K324</f>
        <v>0</v>
      </c>
      <c r="J324" s="91"/>
      <c r="K324" s="51"/>
    </row>
    <row r="325" spans="8:11" x14ac:dyDescent="0.3">
      <c r="H325" s="51"/>
      <c r="I325" s="51">
        <f t="shared" si="5"/>
        <v>0</v>
      </c>
      <c r="J325" s="91"/>
      <c r="K325" s="51"/>
    </row>
    <row r="326" spans="8:11" x14ac:dyDescent="0.3">
      <c r="H326" s="51"/>
      <c r="I326" s="51">
        <f t="shared" si="5"/>
        <v>0</v>
      </c>
      <c r="J326" s="91"/>
      <c r="K326" s="51"/>
    </row>
    <row r="327" spans="8:11" x14ac:dyDescent="0.3">
      <c r="H327" s="51"/>
      <c r="I327" s="51">
        <f t="shared" si="5"/>
        <v>0</v>
      </c>
      <c r="J327" s="91"/>
      <c r="K327" s="51"/>
    </row>
    <row r="328" spans="8:11" x14ac:dyDescent="0.3">
      <c r="H328" s="51"/>
      <c r="I328" s="51">
        <f t="shared" si="5"/>
        <v>0</v>
      </c>
      <c r="J328" s="91"/>
      <c r="K328" s="51"/>
    </row>
    <row r="329" spans="8:11" x14ac:dyDescent="0.3">
      <c r="H329" s="51"/>
      <c r="I329" s="51">
        <f t="shared" si="5"/>
        <v>0</v>
      </c>
      <c r="J329" s="91"/>
      <c r="K329" s="51"/>
    </row>
    <row r="330" spans="8:11" x14ac:dyDescent="0.3">
      <c r="H330" s="51"/>
      <c r="I330" s="51">
        <f t="shared" si="5"/>
        <v>0</v>
      </c>
      <c r="J330" s="91"/>
      <c r="K330" s="51"/>
    </row>
    <row r="331" spans="8:11" x14ac:dyDescent="0.3">
      <c r="H331" s="51"/>
      <c r="I331" s="51">
        <f t="shared" si="5"/>
        <v>0</v>
      </c>
      <c r="J331" s="91"/>
      <c r="K331" s="51"/>
    </row>
    <row r="332" spans="8:11" x14ac:dyDescent="0.3">
      <c r="H332" s="51"/>
      <c r="I332" s="51">
        <f t="shared" si="5"/>
        <v>0</v>
      </c>
      <c r="J332" s="91"/>
      <c r="K332" s="51"/>
    </row>
    <row r="333" spans="8:11" x14ac:dyDescent="0.3">
      <c r="H333" s="51"/>
      <c r="I333" s="51">
        <f t="shared" si="5"/>
        <v>0</v>
      </c>
      <c r="J333" s="91"/>
      <c r="K333" s="51"/>
    </row>
    <row r="334" spans="8:11" x14ac:dyDescent="0.3">
      <c r="H334" s="51"/>
      <c r="I334" s="51">
        <f t="shared" si="5"/>
        <v>0</v>
      </c>
      <c r="J334" s="91"/>
      <c r="K334" s="51"/>
    </row>
    <row r="335" spans="8:11" x14ac:dyDescent="0.3">
      <c r="H335" s="51"/>
      <c r="I335" s="51">
        <f t="shared" si="5"/>
        <v>0</v>
      </c>
      <c r="J335" s="91"/>
      <c r="K335" s="51"/>
    </row>
    <row r="336" spans="8:11" x14ac:dyDescent="0.3">
      <c r="H336" s="51"/>
      <c r="I336" s="51">
        <f t="shared" si="5"/>
        <v>0</v>
      </c>
      <c r="J336" s="91"/>
      <c r="K336" s="51"/>
    </row>
    <row r="337" spans="8:11" x14ac:dyDescent="0.3">
      <c r="H337" s="51"/>
      <c r="I337" s="51">
        <f t="shared" si="5"/>
        <v>0</v>
      </c>
      <c r="J337" s="91"/>
      <c r="K337" s="51"/>
    </row>
    <row r="338" spans="8:11" x14ac:dyDescent="0.3">
      <c r="H338" s="51"/>
      <c r="I338" s="51">
        <f t="shared" si="5"/>
        <v>0</v>
      </c>
      <c r="J338" s="91"/>
      <c r="K338" s="51"/>
    </row>
    <row r="339" spans="8:11" x14ac:dyDescent="0.3">
      <c r="H339" s="51"/>
      <c r="I339" s="51">
        <f t="shared" si="5"/>
        <v>0</v>
      </c>
      <c r="J339" s="91"/>
      <c r="K339" s="51"/>
    </row>
    <row r="340" spans="8:11" x14ac:dyDescent="0.3">
      <c r="H340" s="51"/>
      <c r="I340" s="51">
        <f t="shared" si="5"/>
        <v>0</v>
      </c>
      <c r="J340" s="91"/>
      <c r="K340" s="51"/>
    </row>
    <row r="341" spans="8:11" x14ac:dyDescent="0.3">
      <c r="H341" s="51"/>
      <c r="I341" s="51">
        <f t="shared" si="5"/>
        <v>0</v>
      </c>
      <c r="J341" s="91"/>
      <c r="K341" s="51"/>
    </row>
    <row r="342" spans="8:11" x14ac:dyDescent="0.3">
      <c r="H342" s="51"/>
      <c r="I342" s="51">
        <f t="shared" si="5"/>
        <v>0</v>
      </c>
      <c r="J342" s="91"/>
      <c r="K342" s="51"/>
    </row>
    <row r="343" spans="8:11" x14ac:dyDescent="0.3">
      <c r="H343" s="51"/>
      <c r="I343" s="51">
        <f t="shared" si="5"/>
        <v>0</v>
      </c>
      <c r="J343" s="91"/>
      <c r="K343" s="51"/>
    </row>
    <row r="344" spans="8:11" x14ac:dyDescent="0.3">
      <c r="H344" s="51"/>
      <c r="I344" s="51">
        <f t="shared" si="5"/>
        <v>0</v>
      </c>
      <c r="J344" s="91"/>
      <c r="K344" s="51"/>
    </row>
    <row r="345" spans="8:11" x14ac:dyDescent="0.3">
      <c r="H345" s="51"/>
      <c r="I345" s="51">
        <f t="shared" si="5"/>
        <v>0</v>
      </c>
      <c r="J345" s="91"/>
      <c r="K345" s="51"/>
    </row>
    <row r="346" spans="8:11" x14ac:dyDescent="0.3">
      <c r="H346" s="51"/>
      <c r="I346" s="51">
        <f t="shared" si="5"/>
        <v>0</v>
      </c>
      <c r="J346" s="91"/>
      <c r="K346" s="51"/>
    </row>
    <row r="347" spans="8:11" x14ac:dyDescent="0.3">
      <c r="H347" s="51"/>
      <c r="I347" s="51">
        <f t="shared" si="5"/>
        <v>0</v>
      </c>
      <c r="J347" s="91"/>
      <c r="K347" s="51"/>
    </row>
    <row r="348" spans="8:11" x14ac:dyDescent="0.3">
      <c r="H348" s="51"/>
      <c r="I348" s="51">
        <f t="shared" si="5"/>
        <v>0</v>
      </c>
      <c r="J348" s="91"/>
      <c r="K348" s="51"/>
    </row>
    <row r="349" spans="8:11" x14ac:dyDescent="0.3">
      <c r="H349" s="51"/>
      <c r="I349" s="51">
        <f t="shared" si="5"/>
        <v>0</v>
      </c>
      <c r="J349" s="91"/>
      <c r="K349" s="51"/>
    </row>
    <row r="350" spans="8:11" x14ac:dyDescent="0.3">
      <c r="H350" s="51"/>
      <c r="I350" s="51">
        <f t="shared" si="5"/>
        <v>0</v>
      </c>
      <c r="J350" s="91"/>
      <c r="K350" s="51"/>
    </row>
    <row r="351" spans="8:11" x14ac:dyDescent="0.3">
      <c r="H351" s="51"/>
      <c r="I351" s="51">
        <f t="shared" si="5"/>
        <v>0</v>
      </c>
      <c r="J351" s="91"/>
      <c r="K351" s="51"/>
    </row>
    <row r="352" spans="8:11" x14ac:dyDescent="0.3">
      <c r="H352" s="51"/>
      <c r="I352" s="51">
        <f t="shared" si="5"/>
        <v>0</v>
      </c>
      <c r="J352" s="91"/>
      <c r="K352" s="51"/>
    </row>
    <row r="353" spans="8:11" x14ac:dyDescent="0.3">
      <c r="H353" s="51"/>
      <c r="I353" s="51">
        <f t="shared" si="5"/>
        <v>0</v>
      </c>
      <c r="J353" s="91"/>
      <c r="K353" s="51"/>
    </row>
    <row r="354" spans="8:11" x14ac:dyDescent="0.3">
      <c r="H354" s="51"/>
      <c r="I354" s="51">
        <f t="shared" si="5"/>
        <v>0</v>
      </c>
      <c r="J354" s="91"/>
      <c r="K354" s="51"/>
    </row>
    <row r="355" spans="8:11" x14ac:dyDescent="0.3">
      <c r="H355" s="51"/>
      <c r="I355" s="51">
        <f t="shared" si="5"/>
        <v>0</v>
      </c>
      <c r="J355" s="91"/>
      <c r="K355" s="51"/>
    </row>
    <row r="356" spans="8:11" x14ac:dyDescent="0.3">
      <c r="H356" s="51"/>
      <c r="I356" s="51">
        <f t="shared" si="5"/>
        <v>0</v>
      </c>
      <c r="J356" s="91"/>
      <c r="K356" s="51"/>
    </row>
    <row r="357" spans="8:11" x14ac:dyDescent="0.3">
      <c r="H357" s="51"/>
      <c r="I357" s="51">
        <f t="shared" si="5"/>
        <v>0</v>
      </c>
      <c r="J357" s="91"/>
      <c r="K357" s="51"/>
    </row>
    <row r="358" spans="8:11" x14ac:dyDescent="0.3">
      <c r="H358" s="51"/>
      <c r="I358" s="51">
        <f t="shared" si="5"/>
        <v>0</v>
      </c>
      <c r="J358" s="91"/>
      <c r="K358" s="51"/>
    </row>
    <row r="359" spans="8:11" x14ac:dyDescent="0.3">
      <c r="H359" s="51"/>
      <c r="I359" s="51">
        <f t="shared" si="5"/>
        <v>0</v>
      </c>
      <c r="J359" s="91"/>
      <c r="K359" s="51"/>
    </row>
    <row r="360" spans="8:11" x14ac:dyDescent="0.3">
      <c r="H360" s="51"/>
      <c r="I360" s="51">
        <f t="shared" si="5"/>
        <v>0</v>
      </c>
      <c r="J360" s="91"/>
      <c r="K360" s="51"/>
    </row>
    <row r="361" spans="8:11" x14ac:dyDescent="0.3">
      <c r="H361" s="51"/>
      <c r="I361" s="51">
        <f t="shared" si="5"/>
        <v>0</v>
      </c>
      <c r="J361" s="91"/>
      <c r="K361" s="51"/>
    </row>
    <row r="362" spans="8:11" x14ac:dyDescent="0.3">
      <c r="H362" s="51"/>
      <c r="I362" s="51">
        <f t="shared" si="5"/>
        <v>0</v>
      </c>
      <c r="J362" s="91"/>
      <c r="K362" s="51"/>
    </row>
    <row r="363" spans="8:11" x14ac:dyDescent="0.3">
      <c r="H363" s="51"/>
      <c r="I363" s="51">
        <f t="shared" si="5"/>
        <v>0</v>
      </c>
      <c r="J363" s="91"/>
      <c r="K363" s="51"/>
    </row>
    <row r="364" spans="8:11" x14ac:dyDescent="0.3">
      <c r="H364" s="51"/>
      <c r="I364" s="51">
        <f t="shared" si="5"/>
        <v>0</v>
      </c>
      <c r="J364" s="91"/>
      <c r="K364" s="51"/>
    </row>
    <row r="365" spans="8:11" x14ac:dyDescent="0.3">
      <c r="H365" s="51"/>
      <c r="I365" s="51">
        <f t="shared" si="5"/>
        <v>0</v>
      </c>
      <c r="J365" s="91"/>
      <c r="K365" s="51"/>
    </row>
    <row r="366" spans="8:11" x14ac:dyDescent="0.3">
      <c r="H366" s="51"/>
      <c r="I366" s="51">
        <f t="shared" si="5"/>
        <v>0</v>
      </c>
      <c r="J366" s="91"/>
      <c r="K366" s="51"/>
    </row>
    <row r="367" spans="8:11" x14ac:dyDescent="0.3">
      <c r="H367" s="51"/>
      <c r="I367" s="51">
        <f t="shared" si="5"/>
        <v>0</v>
      </c>
      <c r="J367" s="91"/>
      <c r="K367" s="51"/>
    </row>
    <row r="368" spans="8:11" x14ac:dyDescent="0.3">
      <c r="H368" s="51"/>
      <c r="I368" s="51">
        <f t="shared" si="5"/>
        <v>0</v>
      </c>
      <c r="J368" s="91"/>
      <c r="K368" s="51"/>
    </row>
    <row r="369" spans="8:11" x14ac:dyDescent="0.3">
      <c r="H369" s="51"/>
      <c r="I369" s="51">
        <f t="shared" si="5"/>
        <v>0</v>
      </c>
      <c r="J369" s="91"/>
      <c r="K369" s="51"/>
    </row>
    <row r="370" spans="8:11" x14ac:dyDescent="0.3">
      <c r="H370" s="51"/>
      <c r="I370" s="51">
        <f t="shared" si="5"/>
        <v>0</v>
      </c>
      <c r="J370" s="91"/>
      <c r="K370" s="51"/>
    </row>
    <row r="371" spans="8:11" x14ac:dyDescent="0.3">
      <c r="H371" s="51"/>
      <c r="I371" s="51">
        <f t="shared" si="5"/>
        <v>0</v>
      </c>
      <c r="J371" s="91"/>
      <c r="K371" s="51"/>
    </row>
    <row r="372" spans="8:11" x14ac:dyDescent="0.3">
      <c r="H372" s="51"/>
      <c r="I372" s="51">
        <f t="shared" si="5"/>
        <v>0</v>
      </c>
      <c r="J372" s="91"/>
      <c r="K372" s="51"/>
    </row>
    <row r="373" spans="8:11" x14ac:dyDescent="0.3">
      <c r="H373" s="51"/>
      <c r="I373" s="51">
        <f t="shared" si="5"/>
        <v>0</v>
      </c>
      <c r="J373" s="91"/>
      <c r="K373" s="51"/>
    </row>
    <row r="374" spans="8:11" x14ac:dyDescent="0.3">
      <c r="H374" s="51"/>
      <c r="I374" s="51">
        <f t="shared" si="5"/>
        <v>0</v>
      </c>
      <c r="J374" s="91"/>
      <c r="K374" s="51"/>
    </row>
    <row r="375" spans="8:11" x14ac:dyDescent="0.3">
      <c r="H375" s="51"/>
      <c r="I375" s="51">
        <f t="shared" si="5"/>
        <v>0</v>
      </c>
      <c r="J375" s="91"/>
      <c r="K375" s="51"/>
    </row>
    <row r="376" spans="8:11" x14ac:dyDescent="0.3">
      <c r="H376" s="51"/>
      <c r="I376" s="51">
        <f t="shared" si="5"/>
        <v>0</v>
      </c>
      <c r="J376" s="91"/>
      <c r="K376" s="51"/>
    </row>
    <row r="377" spans="8:11" x14ac:dyDescent="0.3">
      <c r="H377" s="51"/>
      <c r="I377" s="51">
        <f t="shared" si="5"/>
        <v>0</v>
      </c>
      <c r="J377" s="91"/>
      <c r="K377" s="51"/>
    </row>
    <row r="378" spans="8:11" x14ac:dyDescent="0.3">
      <c r="H378" s="51"/>
      <c r="I378" s="51">
        <f t="shared" si="5"/>
        <v>0</v>
      </c>
      <c r="J378" s="91"/>
      <c r="K378" s="51"/>
    </row>
    <row r="379" spans="8:11" x14ac:dyDescent="0.3">
      <c r="H379" s="51"/>
      <c r="I379" s="51">
        <f t="shared" si="5"/>
        <v>0</v>
      </c>
      <c r="J379" s="91"/>
      <c r="K379" s="51"/>
    </row>
    <row r="380" spans="8:11" x14ac:dyDescent="0.3">
      <c r="H380" s="51"/>
      <c r="I380" s="51">
        <f t="shared" si="5"/>
        <v>0</v>
      </c>
      <c r="J380" s="91"/>
      <c r="K380" s="51"/>
    </row>
    <row r="381" spans="8:11" x14ac:dyDescent="0.3">
      <c r="H381" s="51"/>
      <c r="I381" s="51">
        <f t="shared" si="5"/>
        <v>0</v>
      </c>
      <c r="J381" s="91"/>
      <c r="K381" s="51"/>
    </row>
    <row r="382" spans="8:11" x14ac:dyDescent="0.3">
      <c r="H382" s="51"/>
      <c r="I382" s="51">
        <f t="shared" si="5"/>
        <v>0</v>
      </c>
      <c r="J382" s="91"/>
      <c r="K382" s="51"/>
    </row>
    <row r="383" spans="8:11" x14ac:dyDescent="0.3">
      <c r="H383" s="51"/>
      <c r="I383" s="51">
        <f t="shared" si="5"/>
        <v>0</v>
      </c>
      <c r="J383" s="91"/>
      <c r="K383" s="51"/>
    </row>
    <row r="384" spans="8:11" x14ac:dyDescent="0.3">
      <c r="H384" s="51"/>
      <c r="I384" s="51">
        <f t="shared" si="5"/>
        <v>0</v>
      </c>
      <c r="J384" s="91"/>
      <c r="K384" s="51"/>
    </row>
    <row r="385" spans="8:11" x14ac:dyDescent="0.3">
      <c r="H385" s="51"/>
      <c r="I385" s="51">
        <f t="shared" si="5"/>
        <v>0</v>
      </c>
      <c r="J385" s="91"/>
      <c r="K385" s="51"/>
    </row>
    <row r="386" spans="8:11" x14ac:dyDescent="0.3">
      <c r="H386" s="51"/>
      <c r="I386" s="51">
        <f t="shared" si="5"/>
        <v>0</v>
      </c>
      <c r="J386" s="91"/>
      <c r="K386" s="51"/>
    </row>
    <row r="387" spans="8:11" x14ac:dyDescent="0.3">
      <c r="H387" s="51"/>
      <c r="I387" s="51">
        <f t="shared" si="5"/>
        <v>0</v>
      </c>
      <c r="J387" s="91"/>
      <c r="K387" s="51"/>
    </row>
    <row r="388" spans="8:11" x14ac:dyDescent="0.3">
      <c r="H388" s="51"/>
      <c r="I388" s="51">
        <f t="shared" ref="I388:I446" si="6">J388-K388</f>
        <v>0</v>
      </c>
      <c r="J388" s="91"/>
      <c r="K388" s="51"/>
    </row>
    <row r="389" spans="8:11" x14ac:dyDescent="0.3">
      <c r="H389" s="51"/>
      <c r="I389" s="51">
        <f t="shared" si="6"/>
        <v>0</v>
      </c>
      <c r="J389" s="91"/>
      <c r="K389" s="51"/>
    </row>
    <row r="390" spans="8:11" x14ac:dyDescent="0.3">
      <c r="H390" s="51"/>
      <c r="I390" s="51">
        <f t="shared" si="6"/>
        <v>0</v>
      </c>
      <c r="J390" s="91"/>
      <c r="K390" s="51"/>
    </row>
    <row r="391" spans="8:11" x14ac:dyDescent="0.3">
      <c r="H391" s="51"/>
      <c r="I391" s="51">
        <f t="shared" si="6"/>
        <v>0</v>
      </c>
      <c r="J391" s="91"/>
      <c r="K391" s="51"/>
    </row>
    <row r="392" spans="8:11" x14ac:dyDescent="0.3">
      <c r="H392" s="51"/>
      <c r="I392" s="51">
        <f t="shared" si="6"/>
        <v>0</v>
      </c>
      <c r="J392" s="91"/>
      <c r="K392" s="51"/>
    </row>
    <row r="393" spans="8:11" x14ac:dyDescent="0.3">
      <c r="H393" s="51"/>
      <c r="I393" s="51">
        <f t="shared" si="6"/>
        <v>0</v>
      </c>
      <c r="J393" s="91"/>
      <c r="K393" s="51"/>
    </row>
    <row r="394" spans="8:11" x14ac:dyDescent="0.3">
      <c r="H394" s="51"/>
      <c r="I394" s="51">
        <f t="shared" si="6"/>
        <v>0</v>
      </c>
      <c r="J394" s="91"/>
      <c r="K394" s="51"/>
    </row>
    <row r="395" spans="8:11" x14ac:dyDescent="0.3">
      <c r="H395" s="51"/>
      <c r="I395" s="51">
        <f t="shared" si="6"/>
        <v>0</v>
      </c>
      <c r="J395" s="91"/>
      <c r="K395" s="51"/>
    </row>
    <row r="396" spans="8:11" x14ac:dyDescent="0.3">
      <c r="H396" s="51"/>
      <c r="I396" s="51">
        <f t="shared" si="6"/>
        <v>0</v>
      </c>
      <c r="J396" s="91"/>
      <c r="K396" s="51"/>
    </row>
    <row r="397" spans="8:11" x14ac:dyDescent="0.3">
      <c r="H397" s="51"/>
      <c r="I397" s="51">
        <f t="shared" si="6"/>
        <v>0</v>
      </c>
      <c r="J397" s="91"/>
      <c r="K397" s="51"/>
    </row>
    <row r="398" spans="8:11" x14ac:dyDescent="0.3">
      <c r="H398" s="51"/>
      <c r="I398" s="51">
        <f t="shared" si="6"/>
        <v>0</v>
      </c>
      <c r="J398" s="91"/>
      <c r="K398" s="51"/>
    </row>
    <row r="399" spans="8:11" x14ac:dyDescent="0.3">
      <c r="H399" s="51"/>
      <c r="I399" s="51">
        <f t="shared" si="6"/>
        <v>0</v>
      </c>
      <c r="J399" s="91"/>
      <c r="K399" s="51"/>
    </row>
    <row r="400" spans="8:11" x14ac:dyDescent="0.3">
      <c r="H400" s="51"/>
      <c r="I400" s="51">
        <f t="shared" si="6"/>
        <v>0</v>
      </c>
      <c r="J400" s="91"/>
      <c r="K400" s="51"/>
    </row>
    <row r="401" spans="8:11" x14ac:dyDescent="0.3">
      <c r="H401" s="51"/>
      <c r="I401" s="51">
        <f t="shared" si="6"/>
        <v>0</v>
      </c>
      <c r="J401" s="91"/>
      <c r="K401" s="51"/>
    </row>
    <row r="402" spans="8:11" x14ac:dyDescent="0.3">
      <c r="H402" s="51"/>
      <c r="I402" s="51">
        <f t="shared" si="6"/>
        <v>0</v>
      </c>
      <c r="J402" s="91"/>
      <c r="K402" s="51"/>
    </row>
    <row r="403" spans="8:11" x14ac:dyDescent="0.3">
      <c r="H403" s="51"/>
      <c r="I403" s="51">
        <f t="shared" si="6"/>
        <v>0</v>
      </c>
      <c r="J403" s="91"/>
      <c r="K403" s="51"/>
    </row>
    <row r="404" spans="8:11" x14ac:dyDescent="0.3">
      <c r="H404" s="51"/>
      <c r="I404" s="51">
        <f t="shared" si="6"/>
        <v>0</v>
      </c>
      <c r="J404" s="91"/>
      <c r="K404" s="51"/>
    </row>
    <row r="405" spans="8:11" x14ac:dyDescent="0.3">
      <c r="H405" s="51"/>
      <c r="I405" s="51">
        <f t="shared" si="6"/>
        <v>0</v>
      </c>
      <c r="J405" s="91"/>
      <c r="K405" s="51"/>
    </row>
    <row r="406" spans="8:11" x14ac:dyDescent="0.3">
      <c r="H406" s="51"/>
      <c r="I406" s="51">
        <f t="shared" si="6"/>
        <v>0</v>
      </c>
      <c r="J406" s="91"/>
      <c r="K406" s="51"/>
    </row>
    <row r="407" spans="8:11" x14ac:dyDescent="0.3">
      <c r="H407" s="51"/>
      <c r="I407" s="51">
        <f t="shared" si="6"/>
        <v>0</v>
      </c>
      <c r="J407" s="91"/>
      <c r="K407" s="51"/>
    </row>
    <row r="408" spans="8:11" x14ac:dyDescent="0.3">
      <c r="H408" s="51"/>
      <c r="I408" s="51">
        <f t="shared" si="6"/>
        <v>0</v>
      </c>
      <c r="J408" s="91"/>
      <c r="K408" s="51"/>
    </row>
    <row r="409" spans="8:11" x14ac:dyDescent="0.3">
      <c r="H409" s="51"/>
      <c r="I409" s="51">
        <f t="shared" si="6"/>
        <v>0</v>
      </c>
      <c r="J409" s="91"/>
      <c r="K409" s="51"/>
    </row>
    <row r="410" spans="8:11" x14ac:dyDescent="0.3">
      <c r="H410" s="51"/>
      <c r="I410" s="51">
        <f t="shared" si="6"/>
        <v>0</v>
      </c>
      <c r="J410" s="91"/>
      <c r="K410" s="51"/>
    </row>
    <row r="411" spans="8:11" x14ac:dyDescent="0.3">
      <c r="H411" s="51"/>
      <c r="I411" s="51">
        <f t="shared" si="6"/>
        <v>0</v>
      </c>
      <c r="J411" s="91"/>
      <c r="K411" s="51"/>
    </row>
    <row r="412" spans="8:11" x14ac:dyDescent="0.3">
      <c r="H412" s="51"/>
      <c r="I412" s="51">
        <f t="shared" si="6"/>
        <v>0</v>
      </c>
      <c r="J412" s="91"/>
      <c r="K412" s="51"/>
    </row>
    <row r="413" spans="8:11" x14ac:dyDescent="0.3">
      <c r="H413" s="51"/>
      <c r="I413" s="51">
        <f t="shared" si="6"/>
        <v>0</v>
      </c>
      <c r="J413" s="91"/>
      <c r="K413" s="51"/>
    </row>
    <row r="414" spans="8:11" x14ac:dyDescent="0.3">
      <c r="H414" s="51"/>
      <c r="I414" s="51">
        <f t="shared" si="6"/>
        <v>0</v>
      </c>
      <c r="J414" s="91"/>
      <c r="K414" s="51"/>
    </row>
    <row r="415" spans="8:11" x14ac:dyDescent="0.3">
      <c r="H415" s="51"/>
      <c r="I415" s="51">
        <f t="shared" si="6"/>
        <v>0</v>
      </c>
      <c r="J415" s="91"/>
      <c r="K415" s="51"/>
    </row>
    <row r="416" spans="8:11" x14ac:dyDescent="0.3">
      <c r="H416" s="51"/>
      <c r="I416" s="51">
        <f t="shared" si="6"/>
        <v>0</v>
      </c>
      <c r="J416" s="91"/>
      <c r="K416" s="51"/>
    </row>
    <row r="417" spans="8:11" x14ac:dyDescent="0.3">
      <c r="H417" s="51"/>
      <c r="I417" s="51">
        <f t="shared" si="6"/>
        <v>0</v>
      </c>
      <c r="J417" s="91"/>
      <c r="K417" s="51"/>
    </row>
    <row r="418" spans="8:11" x14ac:dyDescent="0.3">
      <c r="H418" s="51"/>
      <c r="I418" s="51">
        <f t="shared" si="6"/>
        <v>0</v>
      </c>
      <c r="J418" s="91"/>
      <c r="K418" s="51"/>
    </row>
    <row r="419" spans="8:11" x14ac:dyDescent="0.3">
      <c r="H419" s="51"/>
      <c r="I419" s="51">
        <f t="shared" si="6"/>
        <v>0</v>
      </c>
      <c r="J419" s="91"/>
      <c r="K419" s="51"/>
    </row>
    <row r="420" spans="8:11" x14ac:dyDescent="0.3">
      <c r="H420" s="51"/>
      <c r="I420" s="51">
        <f t="shared" si="6"/>
        <v>0</v>
      </c>
      <c r="J420" s="91"/>
      <c r="K420" s="51"/>
    </row>
    <row r="421" spans="8:11" x14ac:dyDescent="0.3">
      <c r="H421" s="51"/>
      <c r="I421" s="51">
        <f t="shared" si="6"/>
        <v>0</v>
      </c>
      <c r="J421" s="91"/>
      <c r="K421" s="51"/>
    </row>
    <row r="422" spans="8:11" x14ac:dyDescent="0.3">
      <c r="H422" s="51"/>
      <c r="I422" s="51">
        <f t="shared" si="6"/>
        <v>0</v>
      </c>
      <c r="J422" s="91"/>
      <c r="K422" s="51"/>
    </row>
    <row r="423" spans="8:11" x14ac:dyDescent="0.3">
      <c r="H423" s="51"/>
      <c r="I423" s="51">
        <f t="shared" si="6"/>
        <v>0</v>
      </c>
      <c r="J423" s="91"/>
      <c r="K423" s="51"/>
    </row>
    <row r="424" spans="8:11" x14ac:dyDescent="0.3">
      <c r="H424" s="51"/>
      <c r="I424" s="51">
        <f t="shared" si="6"/>
        <v>0</v>
      </c>
      <c r="J424" s="91"/>
      <c r="K424" s="51"/>
    </row>
    <row r="425" spans="8:11" x14ac:dyDescent="0.3">
      <c r="H425" s="51"/>
      <c r="I425" s="51">
        <f t="shared" si="6"/>
        <v>0</v>
      </c>
      <c r="J425" s="91"/>
      <c r="K425" s="51"/>
    </row>
    <row r="426" spans="8:11" x14ac:dyDescent="0.3">
      <c r="H426" s="51"/>
      <c r="I426" s="51">
        <f t="shared" si="6"/>
        <v>0</v>
      </c>
      <c r="J426" s="91"/>
      <c r="K426" s="51"/>
    </row>
    <row r="427" spans="8:11" x14ac:dyDescent="0.3">
      <c r="H427" s="51"/>
      <c r="I427" s="51">
        <f t="shared" si="6"/>
        <v>0</v>
      </c>
      <c r="J427" s="91"/>
      <c r="K427" s="51"/>
    </row>
    <row r="428" spans="8:11" x14ac:dyDescent="0.3">
      <c r="H428" s="51"/>
      <c r="I428" s="51">
        <f t="shared" si="6"/>
        <v>0</v>
      </c>
      <c r="J428" s="91"/>
      <c r="K428" s="51"/>
    </row>
    <row r="429" spans="8:11" x14ac:dyDescent="0.3">
      <c r="H429" s="51"/>
      <c r="I429" s="51">
        <f t="shared" si="6"/>
        <v>0</v>
      </c>
      <c r="J429" s="91"/>
      <c r="K429" s="51"/>
    </row>
    <row r="430" spans="8:11" x14ac:dyDescent="0.3">
      <c r="H430" s="51"/>
      <c r="I430" s="51">
        <f t="shared" si="6"/>
        <v>0</v>
      </c>
      <c r="J430" s="91"/>
      <c r="K430" s="51"/>
    </row>
    <row r="431" spans="8:11" x14ac:dyDescent="0.3">
      <c r="H431" s="51"/>
      <c r="I431" s="51">
        <f t="shared" si="6"/>
        <v>0</v>
      </c>
      <c r="J431" s="91"/>
      <c r="K431" s="51"/>
    </row>
    <row r="432" spans="8:11" x14ac:dyDescent="0.3">
      <c r="H432" s="51"/>
      <c r="I432" s="51">
        <f t="shared" si="6"/>
        <v>0</v>
      </c>
      <c r="J432" s="91"/>
      <c r="K432" s="51"/>
    </row>
    <row r="433" spans="8:11" x14ac:dyDescent="0.3">
      <c r="H433" s="51"/>
      <c r="I433" s="51">
        <f t="shared" si="6"/>
        <v>0</v>
      </c>
      <c r="J433" s="91"/>
      <c r="K433" s="51"/>
    </row>
    <row r="434" spans="8:11" x14ac:dyDescent="0.3">
      <c r="H434" s="51"/>
      <c r="I434" s="51">
        <f t="shared" si="6"/>
        <v>0</v>
      </c>
      <c r="J434" s="91"/>
      <c r="K434" s="51"/>
    </row>
    <row r="435" spans="8:11" x14ac:dyDescent="0.3">
      <c r="H435" s="51"/>
      <c r="I435" s="51">
        <f t="shared" si="6"/>
        <v>0</v>
      </c>
      <c r="J435" s="91"/>
      <c r="K435" s="51"/>
    </row>
    <row r="436" spans="8:11" x14ac:dyDescent="0.3">
      <c r="H436" s="51"/>
      <c r="I436" s="51">
        <f t="shared" si="6"/>
        <v>0</v>
      </c>
      <c r="J436" s="91"/>
      <c r="K436" s="51"/>
    </row>
    <row r="437" spans="8:11" x14ac:dyDescent="0.3">
      <c r="H437" s="51"/>
      <c r="I437" s="51">
        <f t="shared" si="6"/>
        <v>0</v>
      </c>
      <c r="J437" s="91"/>
      <c r="K437" s="51"/>
    </row>
    <row r="438" spans="8:11" x14ac:dyDescent="0.3">
      <c r="H438" s="51"/>
      <c r="I438" s="51">
        <f t="shared" si="6"/>
        <v>0</v>
      </c>
      <c r="J438" s="91"/>
      <c r="K438" s="51"/>
    </row>
    <row r="439" spans="8:11" x14ac:dyDescent="0.3">
      <c r="H439" s="51"/>
      <c r="I439" s="51">
        <f t="shared" si="6"/>
        <v>0</v>
      </c>
      <c r="J439" s="91"/>
      <c r="K439" s="51"/>
    </row>
    <row r="440" spans="8:11" x14ac:dyDescent="0.3">
      <c r="H440" s="51"/>
      <c r="I440" s="51">
        <f t="shared" si="6"/>
        <v>0</v>
      </c>
      <c r="J440" s="91"/>
      <c r="K440" s="51"/>
    </row>
    <row r="441" spans="8:11" x14ac:dyDescent="0.3">
      <c r="H441" s="51"/>
      <c r="I441" s="51">
        <f t="shared" si="6"/>
        <v>0</v>
      </c>
      <c r="J441" s="91"/>
      <c r="K441" s="51"/>
    </row>
    <row r="442" spans="8:11" x14ac:dyDescent="0.3">
      <c r="H442" s="51"/>
      <c r="I442" s="51">
        <f t="shared" si="6"/>
        <v>0</v>
      </c>
      <c r="J442" s="91"/>
      <c r="K442" s="51"/>
    </row>
    <row r="443" spans="8:11" x14ac:dyDescent="0.3">
      <c r="H443" s="51"/>
      <c r="I443" s="51">
        <f t="shared" si="6"/>
        <v>0</v>
      </c>
      <c r="J443" s="91"/>
      <c r="K443" s="51"/>
    </row>
    <row r="444" spans="8:11" x14ac:dyDescent="0.3">
      <c r="H444" s="51"/>
      <c r="I444" s="51">
        <f t="shared" si="6"/>
        <v>0</v>
      </c>
      <c r="J444" s="91"/>
      <c r="K444" s="51"/>
    </row>
    <row r="445" spans="8:11" x14ac:dyDescent="0.3">
      <c r="H445" s="51"/>
      <c r="I445" s="51">
        <f t="shared" si="6"/>
        <v>0</v>
      </c>
      <c r="J445" s="91"/>
      <c r="K445" s="51"/>
    </row>
    <row r="446" spans="8:11" x14ac:dyDescent="0.3">
      <c r="H446" s="51"/>
      <c r="I446" s="51">
        <f t="shared" si="6"/>
        <v>0</v>
      </c>
      <c r="J446" s="91"/>
      <c r="K446" s="51"/>
    </row>
  </sheetData>
  <autoFilter ref="H2:K446" xr:uid="{BD230B11-7456-4B30-8863-9EB8F11B6E0A}">
    <sortState xmlns:xlrd2="http://schemas.microsoft.com/office/spreadsheetml/2017/richdata2" ref="H3:K446">
      <sortCondition ref="H2:H446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4CCC-C198-4B11-B63B-556316A9F7B5}">
  <dimension ref="B1:AS30"/>
  <sheetViews>
    <sheetView workbookViewId="0">
      <selection activeCell="AV6" sqref="AV6"/>
    </sheetView>
  </sheetViews>
  <sheetFormatPr baseColWidth="10" defaultColWidth="11.44140625" defaultRowHeight="14.4" x14ac:dyDescent="0.3"/>
  <cols>
    <col min="1" max="1" width="1.5546875" customWidth="1"/>
    <col min="2" max="2" width="16.5546875" bestFit="1" customWidth="1"/>
    <col min="3" max="3" width="4.5546875" bestFit="1" customWidth="1"/>
    <col min="4" max="4" width="6.6640625" bestFit="1" customWidth="1"/>
    <col min="5" max="5" width="20.33203125" bestFit="1" customWidth="1"/>
    <col min="6" max="6" width="16.5546875" bestFit="1" customWidth="1"/>
    <col min="7" max="8" width="10.44140625" bestFit="1" customWidth="1"/>
    <col min="9" max="9" width="3.109375" customWidth="1"/>
    <col min="10" max="10" width="16.5546875" bestFit="1" customWidth="1"/>
    <col min="11" max="11" width="10.109375" bestFit="1" customWidth="1"/>
    <col min="12" max="12" width="8.88671875" bestFit="1" customWidth="1"/>
    <col min="13" max="13" width="3.88671875" customWidth="1"/>
    <col min="14" max="14" width="16.5546875" bestFit="1" customWidth="1"/>
    <col min="15" max="15" width="20.21875" bestFit="1" customWidth="1"/>
    <col min="16" max="16" width="10.5546875" bestFit="1" customWidth="1"/>
    <col min="17" max="17" width="4.33203125" customWidth="1"/>
    <col min="18" max="18" width="16.5546875" bestFit="1" customWidth="1"/>
    <col min="19" max="19" width="12" bestFit="1" customWidth="1"/>
    <col min="20" max="21" width="12.5546875" bestFit="1" customWidth="1"/>
    <col min="22" max="22" width="3.5546875" customWidth="1"/>
    <col min="23" max="23" width="16.5546875" bestFit="1" customWidth="1"/>
    <col min="24" max="24" width="10.109375" bestFit="1" customWidth="1"/>
    <col min="25" max="25" width="8.88671875" bestFit="1" customWidth="1"/>
    <col min="26" max="26" width="10.6640625" bestFit="1" customWidth="1"/>
    <col min="27" max="27" width="16.5546875" bestFit="1" customWidth="1"/>
    <col min="28" max="28" width="19.77734375" bestFit="1" customWidth="1"/>
    <col min="29" max="29" width="9.77734375" bestFit="1" customWidth="1"/>
    <col min="31" max="31" width="16.21875" bestFit="1" customWidth="1"/>
    <col min="32" max="32" width="14.6640625" bestFit="1" customWidth="1"/>
    <col min="33" max="33" width="13" bestFit="1" customWidth="1"/>
    <col min="34" max="34" width="7.6640625" customWidth="1"/>
    <col min="35" max="35" width="17.5546875" bestFit="1" customWidth="1"/>
    <col min="36" max="36" width="12.5546875" bestFit="1" customWidth="1"/>
    <col min="37" max="37" width="11.88671875" bestFit="1" customWidth="1"/>
    <col min="38" max="38" width="12.6640625" bestFit="1" customWidth="1"/>
    <col min="39" max="39" width="17.33203125" bestFit="1" customWidth="1"/>
    <col min="40" max="40" width="8.6640625" customWidth="1"/>
    <col min="41" max="41" width="17.5546875" bestFit="1" customWidth="1"/>
    <col min="42" max="43" width="12.5546875" bestFit="1" customWidth="1"/>
    <col min="44" max="44" width="12.6640625" bestFit="1" customWidth="1"/>
    <col min="45" max="45" width="17.33203125" bestFit="1" customWidth="1"/>
  </cols>
  <sheetData>
    <row r="1" spans="2:45" ht="7.5" customHeight="1" x14ac:dyDescent="0.3"/>
    <row r="2" spans="2:45" ht="15" customHeight="1" x14ac:dyDescent="0.3">
      <c r="B2" s="298" t="s">
        <v>493</v>
      </c>
      <c r="C2" s="299"/>
      <c r="D2" s="300"/>
      <c r="F2" s="298" t="s">
        <v>494</v>
      </c>
      <c r="G2" s="299"/>
      <c r="H2" s="300"/>
      <c r="J2" s="298" t="s">
        <v>495</v>
      </c>
      <c r="K2" s="299"/>
      <c r="L2" s="300"/>
      <c r="N2" s="298" t="s">
        <v>496</v>
      </c>
      <c r="O2" s="299"/>
      <c r="P2" s="300"/>
      <c r="R2" s="298" t="s">
        <v>497</v>
      </c>
      <c r="S2" s="299"/>
      <c r="T2" s="300"/>
      <c r="U2" s="125"/>
      <c r="W2" s="298" t="s">
        <v>498</v>
      </c>
      <c r="X2" s="299"/>
      <c r="Y2" s="300"/>
      <c r="AA2" s="298" t="s">
        <v>499</v>
      </c>
      <c r="AB2" s="299"/>
      <c r="AC2" s="300"/>
      <c r="AE2" s="298" t="s">
        <v>500</v>
      </c>
      <c r="AF2" s="299"/>
      <c r="AG2" s="300"/>
      <c r="AI2" s="298" t="s">
        <v>501</v>
      </c>
      <c r="AJ2" s="299"/>
      <c r="AK2" s="299"/>
      <c r="AL2" s="299"/>
      <c r="AM2" s="300"/>
      <c r="AO2" s="301" t="s">
        <v>502</v>
      </c>
      <c r="AP2" s="302"/>
      <c r="AQ2" s="302"/>
      <c r="AR2" s="302"/>
      <c r="AS2" s="303"/>
    </row>
    <row r="4" spans="2:45" x14ac:dyDescent="0.3">
      <c r="B4" s="119" t="s">
        <v>503</v>
      </c>
      <c r="C4" t="s">
        <v>504</v>
      </c>
      <c r="D4" t="s">
        <v>505</v>
      </c>
      <c r="F4" s="119" t="s">
        <v>503</v>
      </c>
      <c r="G4" t="s">
        <v>506</v>
      </c>
      <c r="H4" t="s">
        <v>507</v>
      </c>
      <c r="J4" s="119" t="s">
        <v>503</v>
      </c>
      <c r="K4" t="s">
        <v>506</v>
      </c>
      <c r="L4" t="s">
        <v>424</v>
      </c>
      <c r="N4" s="119" t="s">
        <v>503</v>
      </c>
      <c r="O4" t="s">
        <v>508</v>
      </c>
      <c r="P4" t="s">
        <v>509</v>
      </c>
      <c r="R4" s="119" t="s">
        <v>503</v>
      </c>
      <c r="S4" t="s">
        <v>510</v>
      </c>
      <c r="W4" s="119" t="s">
        <v>503</v>
      </c>
      <c r="X4" t="s">
        <v>506</v>
      </c>
      <c r="Y4" t="s">
        <v>424</v>
      </c>
      <c r="AA4" s="119" t="s">
        <v>503</v>
      </c>
      <c r="AB4" t="s">
        <v>511</v>
      </c>
      <c r="AC4" t="s">
        <v>512</v>
      </c>
      <c r="AE4" s="119" t="s">
        <v>503</v>
      </c>
      <c r="AF4" t="s">
        <v>513</v>
      </c>
      <c r="AG4" t="s">
        <v>500</v>
      </c>
      <c r="AI4" s="119" t="s">
        <v>503</v>
      </c>
      <c r="AJ4" t="s">
        <v>514</v>
      </c>
      <c r="AK4" t="s">
        <v>515</v>
      </c>
      <c r="AL4" t="s">
        <v>516</v>
      </c>
      <c r="AM4" t="s">
        <v>517</v>
      </c>
      <c r="AO4" s="119" t="s">
        <v>503</v>
      </c>
      <c r="AP4" t="s">
        <v>518</v>
      </c>
      <c r="AQ4" t="s">
        <v>519</v>
      </c>
      <c r="AR4" t="s">
        <v>516</v>
      </c>
      <c r="AS4" t="s">
        <v>517</v>
      </c>
    </row>
    <row r="5" spans="2:45" x14ac:dyDescent="0.3">
      <c r="B5" s="1">
        <v>3332</v>
      </c>
      <c r="C5" s="2">
        <v>0.46278333333333332</v>
      </c>
      <c r="D5" s="2">
        <v>0.29729729729729731</v>
      </c>
      <c r="F5" s="1">
        <v>3332</v>
      </c>
      <c r="G5" s="40">
        <v>8806</v>
      </c>
      <c r="H5" s="40">
        <v>2618</v>
      </c>
      <c r="J5" s="1">
        <v>3332</v>
      </c>
      <c r="K5" s="118">
        <v>259</v>
      </c>
      <c r="L5" s="158">
        <v>77</v>
      </c>
      <c r="N5" s="1">
        <v>3332</v>
      </c>
      <c r="O5" s="99">
        <v>0.1651</v>
      </c>
      <c r="P5" s="99">
        <v>0.18025101891481987</v>
      </c>
      <c r="R5" s="1">
        <v>3332</v>
      </c>
      <c r="S5" s="2">
        <v>0.29729729729729731</v>
      </c>
      <c r="W5" s="1" t="s">
        <v>283</v>
      </c>
      <c r="X5" s="118">
        <v>100</v>
      </c>
      <c r="Y5" s="118">
        <v>28</v>
      </c>
      <c r="AA5" s="1" t="s">
        <v>283</v>
      </c>
      <c r="AB5" s="99">
        <v>0.19220000000000001</v>
      </c>
      <c r="AC5" s="99">
        <v>0.20637966066373759</v>
      </c>
      <c r="AE5" s="1">
        <v>3332</v>
      </c>
      <c r="AF5" s="304">
        <v>182</v>
      </c>
      <c r="AG5" s="41">
        <v>153.53775000000002</v>
      </c>
      <c r="AI5" s="1" t="s">
        <v>307</v>
      </c>
      <c r="AJ5" s="88">
        <v>14</v>
      </c>
      <c r="AK5" s="41">
        <v>12.5</v>
      </c>
      <c r="AL5" s="41">
        <v>0</v>
      </c>
      <c r="AM5" s="41"/>
      <c r="AO5" s="1" t="s">
        <v>307</v>
      </c>
      <c r="AP5" s="40">
        <v>8880.91</v>
      </c>
      <c r="AQ5" s="40">
        <v>8880.91</v>
      </c>
      <c r="AR5" s="230"/>
      <c r="AS5" s="230"/>
    </row>
    <row r="6" spans="2:45" x14ac:dyDescent="0.3">
      <c r="B6" s="1" t="s">
        <v>520</v>
      </c>
      <c r="C6" s="2">
        <v>0.46278333333333332</v>
      </c>
      <c r="D6" s="2">
        <v>0.29729729729729731</v>
      </c>
      <c r="F6" s="1" t="s">
        <v>520</v>
      </c>
      <c r="G6" s="40">
        <v>8806</v>
      </c>
      <c r="H6" s="40">
        <v>2618</v>
      </c>
      <c r="J6" s="1" t="s">
        <v>520</v>
      </c>
      <c r="K6" s="118">
        <v>259</v>
      </c>
      <c r="L6" s="158">
        <v>77</v>
      </c>
      <c r="N6" s="1" t="s">
        <v>520</v>
      </c>
      <c r="O6" s="99">
        <v>0.1651</v>
      </c>
      <c r="P6" s="99">
        <v>0.18025101891481987</v>
      </c>
      <c r="R6" s="1" t="s">
        <v>520</v>
      </c>
      <c r="S6" s="2">
        <v>0.29729729729729731</v>
      </c>
      <c r="W6" s="1" t="s">
        <v>285</v>
      </c>
      <c r="X6" s="118">
        <v>64</v>
      </c>
      <c r="Y6" s="118">
        <v>19</v>
      </c>
      <c r="AA6" s="1" t="s">
        <v>285</v>
      </c>
      <c r="AB6" s="99">
        <v>0.15659999999999999</v>
      </c>
      <c r="AC6" s="99">
        <v>0.16740184252479509</v>
      </c>
      <c r="AE6" s="1" t="s">
        <v>520</v>
      </c>
      <c r="AF6" s="304">
        <v>182</v>
      </c>
      <c r="AG6" s="304">
        <v>153.53775000000002</v>
      </c>
      <c r="AI6" s="1" t="s">
        <v>309</v>
      </c>
      <c r="AJ6" s="88">
        <v>8</v>
      </c>
      <c r="AK6" s="41">
        <v>7</v>
      </c>
      <c r="AL6" s="41">
        <v>0</v>
      </c>
      <c r="AM6" s="41"/>
      <c r="AO6" s="1" t="s">
        <v>309</v>
      </c>
      <c r="AP6" s="40">
        <v>16865.91</v>
      </c>
      <c r="AQ6" s="40">
        <v>16865.91</v>
      </c>
      <c r="AR6" s="230"/>
      <c r="AS6" s="230"/>
    </row>
    <row r="7" spans="2:45" x14ac:dyDescent="0.3">
      <c r="W7" s="1" t="s">
        <v>287</v>
      </c>
      <c r="X7" s="118">
        <v>95</v>
      </c>
      <c r="Y7" s="118">
        <v>30</v>
      </c>
      <c r="AA7" s="1" t="s">
        <v>287</v>
      </c>
      <c r="AB7" s="99">
        <v>0.1497</v>
      </c>
      <c r="AC7" s="99">
        <v>0.16440122272836241</v>
      </c>
      <c r="AI7" s="1" t="s">
        <v>311</v>
      </c>
      <c r="AJ7" s="88">
        <v>14</v>
      </c>
      <c r="AK7" s="41">
        <v>13</v>
      </c>
      <c r="AL7" s="41">
        <v>0</v>
      </c>
      <c r="AM7" s="41">
        <v>1</v>
      </c>
      <c r="AO7" s="1" t="s">
        <v>311</v>
      </c>
      <c r="AP7" s="40">
        <v>14845.91</v>
      </c>
      <c r="AQ7" s="40">
        <v>14845.91</v>
      </c>
      <c r="AR7" s="230"/>
      <c r="AS7" s="230"/>
    </row>
    <row r="8" spans="2:45" x14ac:dyDescent="0.3">
      <c r="W8" s="1" t="s">
        <v>520</v>
      </c>
      <c r="X8" s="88">
        <v>259</v>
      </c>
      <c r="Y8" s="41">
        <v>77</v>
      </c>
      <c r="AA8" s="1" t="s">
        <v>520</v>
      </c>
      <c r="AB8" s="2">
        <v>0.19220000000000001</v>
      </c>
      <c r="AC8" s="2">
        <v>0.16440122272836241</v>
      </c>
      <c r="AI8" s="1" t="s">
        <v>313</v>
      </c>
      <c r="AJ8" s="88">
        <v>8</v>
      </c>
      <c r="AK8" s="41">
        <v>7.5</v>
      </c>
      <c r="AL8" s="41">
        <v>1</v>
      </c>
      <c r="AM8" s="41">
        <v>1</v>
      </c>
      <c r="AO8" s="1" t="s">
        <v>313</v>
      </c>
      <c r="AP8" s="40">
        <v>14965.91</v>
      </c>
      <c r="AQ8" s="40">
        <v>14965.91</v>
      </c>
      <c r="AR8" s="230"/>
      <c r="AS8" s="230"/>
    </row>
    <row r="9" spans="2:45" x14ac:dyDescent="0.3">
      <c r="AI9" s="1" t="s">
        <v>315</v>
      </c>
      <c r="AJ9" s="88">
        <v>14</v>
      </c>
      <c r="AK9" s="41">
        <v>13.5</v>
      </c>
      <c r="AL9" s="41">
        <v>1</v>
      </c>
      <c r="AM9" s="41">
        <v>2</v>
      </c>
      <c r="AO9" s="1" t="s">
        <v>315</v>
      </c>
      <c r="AP9" s="40">
        <v>16505.91</v>
      </c>
      <c r="AQ9" s="40">
        <v>16505.91</v>
      </c>
      <c r="AR9" s="230"/>
      <c r="AS9" s="230"/>
    </row>
    <row r="10" spans="2:45" x14ac:dyDescent="0.3">
      <c r="AI10" s="1" t="s">
        <v>317</v>
      </c>
      <c r="AJ10" s="88">
        <v>14</v>
      </c>
      <c r="AK10" s="41">
        <v>12.5</v>
      </c>
      <c r="AL10" s="41">
        <v>1</v>
      </c>
      <c r="AM10" s="41">
        <v>1</v>
      </c>
      <c r="AO10" s="1" t="s">
        <v>317</v>
      </c>
      <c r="AP10" s="40">
        <v>21837.91</v>
      </c>
      <c r="AQ10" s="40">
        <v>21837.91</v>
      </c>
      <c r="AR10" s="230"/>
      <c r="AS10" s="230"/>
    </row>
    <row r="11" spans="2:45" x14ac:dyDescent="0.3">
      <c r="AI11" s="1" t="s">
        <v>319</v>
      </c>
      <c r="AJ11" s="88">
        <v>10</v>
      </c>
      <c r="AK11" s="41">
        <v>8.5</v>
      </c>
      <c r="AL11" s="41"/>
      <c r="AM11" s="41"/>
      <c r="AO11" s="1" t="s">
        <v>319</v>
      </c>
      <c r="AP11" s="40">
        <v>34125.910000000003</v>
      </c>
      <c r="AQ11" s="40">
        <v>34125.910000000003</v>
      </c>
      <c r="AR11" s="230"/>
      <c r="AS11" s="230"/>
    </row>
    <row r="12" spans="2:45" x14ac:dyDescent="0.3">
      <c r="AI12" s="1" t="s">
        <v>321</v>
      </c>
      <c r="AJ12" s="88">
        <v>14</v>
      </c>
      <c r="AK12" s="41">
        <v>12.5</v>
      </c>
      <c r="AL12" s="41">
        <v>1.5</v>
      </c>
      <c r="AM12" s="41">
        <v>1</v>
      </c>
      <c r="AO12" s="1" t="s">
        <v>321</v>
      </c>
      <c r="AP12" s="40">
        <v>8880.91</v>
      </c>
      <c r="AQ12" s="40">
        <v>8880.91</v>
      </c>
      <c r="AR12" s="230"/>
      <c r="AS12" s="230"/>
    </row>
    <row r="13" spans="2:45" x14ac:dyDescent="0.3">
      <c r="AI13" s="1" t="s">
        <v>323</v>
      </c>
      <c r="AJ13" s="88">
        <v>14</v>
      </c>
      <c r="AK13" s="41">
        <v>13</v>
      </c>
      <c r="AL13" s="41">
        <v>1</v>
      </c>
      <c r="AM13" s="41">
        <v>1</v>
      </c>
      <c r="AO13" s="1" t="s">
        <v>323</v>
      </c>
      <c r="AP13" s="40">
        <v>16865.91</v>
      </c>
      <c r="AQ13" s="40">
        <v>16865.91</v>
      </c>
      <c r="AR13" s="230"/>
      <c r="AS13" s="230"/>
    </row>
    <row r="14" spans="2:45" x14ac:dyDescent="0.3">
      <c r="AI14" s="1" t="s">
        <v>325</v>
      </c>
      <c r="AJ14" s="88">
        <v>14</v>
      </c>
      <c r="AK14" s="41">
        <v>12.5</v>
      </c>
      <c r="AL14" s="41">
        <v>1</v>
      </c>
      <c r="AM14" s="41"/>
      <c r="AO14" s="1" t="s">
        <v>325</v>
      </c>
      <c r="AP14" s="40">
        <v>14845.91</v>
      </c>
      <c r="AQ14" s="40">
        <v>14845.91</v>
      </c>
      <c r="AR14" s="230"/>
      <c r="AS14" s="230"/>
    </row>
    <row r="15" spans="2:45" x14ac:dyDescent="0.3">
      <c r="AI15" s="1" t="s">
        <v>327</v>
      </c>
      <c r="AJ15" s="88">
        <v>14</v>
      </c>
      <c r="AK15" s="41">
        <v>13</v>
      </c>
      <c r="AL15" s="41"/>
      <c r="AM15" s="41">
        <v>1.5</v>
      </c>
      <c r="AO15" s="1" t="s">
        <v>327</v>
      </c>
      <c r="AP15" s="40">
        <v>16375.91</v>
      </c>
      <c r="AQ15" s="40">
        <v>16375.91</v>
      </c>
      <c r="AR15" s="230"/>
      <c r="AS15" s="230"/>
    </row>
    <row r="16" spans="2:45" x14ac:dyDescent="0.3">
      <c r="AI16" s="1" t="s">
        <v>329</v>
      </c>
      <c r="AJ16" s="88">
        <v>14</v>
      </c>
      <c r="AK16" s="41">
        <v>13</v>
      </c>
      <c r="AL16" s="41">
        <v>3.5</v>
      </c>
      <c r="AM16" s="41"/>
      <c r="AO16" s="1" t="s">
        <v>329</v>
      </c>
      <c r="AP16" s="40">
        <v>15145.91</v>
      </c>
      <c r="AQ16" s="40">
        <v>15145.91</v>
      </c>
      <c r="AR16" s="230"/>
      <c r="AS16" s="230"/>
    </row>
    <row r="17" spans="2:45" x14ac:dyDescent="0.3">
      <c r="AI17" s="1" t="s">
        <v>331</v>
      </c>
      <c r="AJ17" s="88">
        <v>14</v>
      </c>
      <c r="AK17" s="41">
        <v>12.5</v>
      </c>
      <c r="AL17" s="41">
        <v>1</v>
      </c>
      <c r="AM17" s="41">
        <v>1</v>
      </c>
      <c r="AO17" s="1" t="s">
        <v>331</v>
      </c>
      <c r="AP17" s="40">
        <v>21365.91</v>
      </c>
      <c r="AQ17" s="40">
        <v>21365.91</v>
      </c>
      <c r="AR17" s="230"/>
      <c r="AS17" s="230"/>
    </row>
    <row r="18" spans="2:45" x14ac:dyDescent="0.3">
      <c r="AI18" s="1" t="s">
        <v>333</v>
      </c>
      <c r="AJ18" s="88">
        <v>15</v>
      </c>
      <c r="AK18" s="41">
        <v>13</v>
      </c>
      <c r="AL18" s="41"/>
      <c r="AM18" s="41"/>
      <c r="AO18" s="1" t="s">
        <v>333</v>
      </c>
      <c r="AP18" s="40">
        <v>30345.91</v>
      </c>
      <c r="AQ18" s="40">
        <v>30345.91</v>
      </c>
      <c r="AR18" s="230"/>
      <c r="AS18" s="230"/>
    </row>
    <row r="19" spans="2:45" x14ac:dyDescent="0.3">
      <c r="B19" s="298" t="s">
        <v>521</v>
      </c>
      <c r="C19" s="299"/>
      <c r="D19" s="300"/>
      <c r="AI19" s="1" t="s">
        <v>335</v>
      </c>
      <c r="AJ19" s="88">
        <v>15</v>
      </c>
      <c r="AK19" s="41">
        <v>13.5</v>
      </c>
      <c r="AL19" s="41"/>
      <c r="AM19" s="41">
        <v>1</v>
      </c>
      <c r="AO19" s="1" t="s">
        <v>335</v>
      </c>
      <c r="AP19" s="40">
        <v>8880.91</v>
      </c>
      <c r="AQ19" s="40">
        <v>8880.91</v>
      </c>
      <c r="AR19" s="230"/>
      <c r="AS19" s="230"/>
    </row>
    <row r="20" spans="2:45" x14ac:dyDescent="0.3">
      <c r="AI20" s="1" t="s">
        <v>337</v>
      </c>
      <c r="AJ20" s="88">
        <v>15</v>
      </c>
      <c r="AK20" s="41">
        <v>12.5</v>
      </c>
      <c r="AL20" s="41">
        <v>1</v>
      </c>
      <c r="AM20" s="41"/>
      <c r="AO20" s="1" t="s">
        <v>337</v>
      </c>
      <c r="AP20" s="40">
        <v>19030.91</v>
      </c>
      <c r="AQ20" s="40">
        <v>19030.91</v>
      </c>
      <c r="AR20" s="230"/>
      <c r="AS20" s="230"/>
    </row>
    <row r="21" spans="2:45" x14ac:dyDescent="0.3">
      <c r="B21" s="119" t="s">
        <v>503</v>
      </c>
      <c r="C21" t="s">
        <v>504</v>
      </c>
      <c r="D21" t="s">
        <v>505</v>
      </c>
      <c r="AI21" s="1" t="s">
        <v>339</v>
      </c>
      <c r="AJ21" s="88">
        <v>15</v>
      </c>
      <c r="AK21" s="41">
        <v>12.5</v>
      </c>
      <c r="AL21" s="41"/>
      <c r="AM21" s="41"/>
      <c r="AO21" s="1" t="s">
        <v>339</v>
      </c>
      <c r="AP21" s="40">
        <v>14965.91</v>
      </c>
      <c r="AQ21" s="40">
        <v>14965.91</v>
      </c>
      <c r="AR21" s="230"/>
      <c r="AS21" s="230"/>
    </row>
    <row r="22" spans="2:45" x14ac:dyDescent="0.3">
      <c r="B22" s="1" t="s">
        <v>283</v>
      </c>
      <c r="C22" s="2">
        <v>0.40225</v>
      </c>
      <c r="D22" s="2">
        <v>0.28000000000000003</v>
      </c>
      <c r="AI22" s="1" t="s">
        <v>341</v>
      </c>
      <c r="AJ22" s="88">
        <v>15</v>
      </c>
      <c r="AK22" s="41">
        <v>12.5</v>
      </c>
      <c r="AL22" s="41"/>
      <c r="AM22" s="41">
        <v>1</v>
      </c>
      <c r="AO22" s="1" t="s">
        <v>341</v>
      </c>
      <c r="AP22" s="40">
        <v>16505.91</v>
      </c>
      <c r="AQ22" s="40">
        <v>16505.91</v>
      </c>
      <c r="AR22" s="230"/>
      <c r="AS22" s="230"/>
    </row>
    <row r="23" spans="2:45" x14ac:dyDescent="0.3">
      <c r="B23" s="1" t="s">
        <v>285</v>
      </c>
      <c r="C23" s="2">
        <v>0.40225</v>
      </c>
      <c r="D23" s="2">
        <v>0.296875</v>
      </c>
      <c r="AI23" s="1" t="s">
        <v>343</v>
      </c>
      <c r="AJ23" s="88">
        <v>15</v>
      </c>
      <c r="AK23" s="41">
        <v>13</v>
      </c>
      <c r="AL23" s="41">
        <v>1</v>
      </c>
      <c r="AM23" s="41"/>
      <c r="AO23" s="1" t="s">
        <v>343</v>
      </c>
      <c r="AP23" s="40">
        <v>8553.91</v>
      </c>
      <c r="AQ23" s="40">
        <v>8553.91</v>
      </c>
      <c r="AR23" s="230"/>
      <c r="AS23" s="230"/>
    </row>
    <row r="24" spans="2:45" x14ac:dyDescent="0.3">
      <c r="B24" s="1" t="s">
        <v>287</v>
      </c>
      <c r="C24" s="2">
        <v>0.58385000000000009</v>
      </c>
      <c r="D24" s="2">
        <v>0.31578947368421051</v>
      </c>
      <c r="AI24" s="1" t="s">
        <v>345</v>
      </c>
      <c r="AJ24" s="88">
        <v>15</v>
      </c>
      <c r="AK24" s="41">
        <v>12.5</v>
      </c>
      <c r="AL24" s="41">
        <v>1</v>
      </c>
      <c r="AM24" s="41"/>
      <c r="AO24" s="1" t="s">
        <v>345</v>
      </c>
      <c r="AP24" s="40">
        <v>19030.91</v>
      </c>
      <c r="AQ24" s="40">
        <v>19030.91</v>
      </c>
      <c r="AR24" s="230"/>
      <c r="AS24" s="230"/>
    </row>
    <row r="25" spans="2:45" x14ac:dyDescent="0.3">
      <c r="B25" s="1" t="s">
        <v>520</v>
      </c>
      <c r="C25" s="2">
        <v>0.46278333333333332</v>
      </c>
      <c r="D25" s="2">
        <v>0.29729729729729731</v>
      </c>
      <c r="AI25" s="1" t="s">
        <v>347</v>
      </c>
      <c r="AJ25" s="88">
        <v>15</v>
      </c>
      <c r="AK25" s="41">
        <v>13.5</v>
      </c>
      <c r="AL25" s="41">
        <v>3</v>
      </c>
      <c r="AM25" s="41">
        <v>1.5</v>
      </c>
      <c r="AO25" s="1" t="s">
        <v>347</v>
      </c>
      <c r="AP25" s="40">
        <v>14105.91</v>
      </c>
      <c r="AQ25" s="40">
        <v>14105.91</v>
      </c>
      <c r="AR25" s="230"/>
      <c r="AS25" s="230"/>
    </row>
    <row r="26" spans="2:45" x14ac:dyDescent="0.3">
      <c r="AI26" s="1" t="s">
        <v>349</v>
      </c>
      <c r="AJ26" s="88">
        <v>15</v>
      </c>
      <c r="AK26" s="41">
        <v>12</v>
      </c>
      <c r="AL26" s="41">
        <v>3</v>
      </c>
      <c r="AM26" s="41"/>
      <c r="AO26" s="1" t="s">
        <v>349</v>
      </c>
      <c r="AP26" s="40">
        <v>15855.91</v>
      </c>
      <c r="AQ26" s="40">
        <v>15855.91</v>
      </c>
      <c r="AR26" s="230"/>
      <c r="AS26" s="230"/>
    </row>
    <row r="27" spans="2:45" x14ac:dyDescent="0.3">
      <c r="AI27" s="1" t="s">
        <v>350</v>
      </c>
      <c r="AJ27" s="88">
        <v>8</v>
      </c>
      <c r="AK27" s="41">
        <v>8</v>
      </c>
      <c r="AL27" s="41">
        <v>1</v>
      </c>
      <c r="AM27" s="41"/>
      <c r="AO27" s="1" t="s">
        <v>350</v>
      </c>
      <c r="AP27" s="40">
        <v>16865.91</v>
      </c>
      <c r="AQ27" s="40">
        <v>16865.91</v>
      </c>
      <c r="AR27" s="230"/>
      <c r="AS27" s="230"/>
    </row>
    <row r="28" spans="2:45" x14ac:dyDescent="0.3">
      <c r="AI28" s="1" t="s">
        <v>351</v>
      </c>
      <c r="AJ28" s="88">
        <v>8</v>
      </c>
      <c r="AK28" s="41">
        <v>6.5</v>
      </c>
      <c r="AL28" s="41">
        <v>1</v>
      </c>
      <c r="AM28" s="41">
        <v>1</v>
      </c>
      <c r="AO28" s="1" t="s">
        <v>351</v>
      </c>
      <c r="AP28" s="40">
        <v>14965.91</v>
      </c>
      <c r="AQ28" s="40">
        <v>14965.91</v>
      </c>
      <c r="AR28" s="230"/>
      <c r="AS28" s="230"/>
    </row>
    <row r="29" spans="2:45" x14ac:dyDescent="0.3">
      <c r="AI29" s="1" t="s">
        <v>520</v>
      </c>
      <c r="AJ29" s="88">
        <v>317</v>
      </c>
      <c r="AK29" s="41">
        <v>280.5</v>
      </c>
      <c r="AL29" s="41">
        <v>22</v>
      </c>
      <c r="AM29" s="41">
        <v>14</v>
      </c>
      <c r="AO29" s="1" t="s">
        <v>520</v>
      </c>
      <c r="AP29" s="40">
        <v>400616.83999999979</v>
      </c>
      <c r="AQ29" s="40">
        <v>400616.83999999979</v>
      </c>
      <c r="AR29" s="230"/>
      <c r="AS29" s="230"/>
    </row>
    <row r="30" spans="2:45" x14ac:dyDescent="0.3">
      <c r="Z30" s="115"/>
    </row>
  </sheetData>
  <mergeCells count="11">
    <mergeCell ref="AI2:AM2"/>
    <mergeCell ref="AO2:AS2"/>
    <mergeCell ref="AE2:AG2"/>
    <mergeCell ref="AA2:AC2"/>
    <mergeCell ref="B19:D19"/>
    <mergeCell ref="R2:T2"/>
    <mergeCell ref="W2:Y2"/>
    <mergeCell ref="B2:D2"/>
    <mergeCell ref="F2:H2"/>
    <mergeCell ref="J2:L2"/>
    <mergeCell ref="N2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415E4BCE366547B7A21B39CEF17036" ma:contentTypeVersion="14" ma:contentTypeDescription="Crear nuevo documento." ma:contentTypeScope="" ma:versionID="58e1645103824a489692caacdae127b5">
  <xsd:schema xmlns:xsd="http://www.w3.org/2001/XMLSchema" xmlns:xs="http://www.w3.org/2001/XMLSchema" xmlns:p="http://schemas.microsoft.com/office/2006/metadata/properties" xmlns:ns3="66841c24-44de-40e0-9335-51a1e6d8c0f0" xmlns:ns4="dc46de24-d57a-404b-b33f-872b0795f910" targetNamespace="http://schemas.microsoft.com/office/2006/metadata/properties" ma:root="true" ma:fieldsID="540cab96ba61dee4048029dc1cf940f3" ns3:_="" ns4:_="">
    <xsd:import namespace="66841c24-44de-40e0-9335-51a1e6d8c0f0"/>
    <xsd:import namespace="dc46de24-d57a-404b-b33f-872b0795f9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841c24-44de-40e0-9335-51a1e6d8c0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de24-d57a-404b-b33f-872b0795f9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841c24-44de-40e0-9335-51a1e6d8c0f0" xsi:nil="true"/>
  </documentManagement>
</p:properties>
</file>

<file path=customXml/itemProps1.xml><?xml version="1.0" encoding="utf-8"?>
<ds:datastoreItem xmlns:ds="http://schemas.openxmlformats.org/officeDocument/2006/customXml" ds:itemID="{8DD3C0D4-42FA-4673-BF67-3F1C52DD06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841c24-44de-40e0-9335-51a1e6d8c0f0"/>
    <ds:schemaRef ds:uri="dc46de24-d57a-404b-b33f-872b0795f9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6B626-23D9-4F2B-9919-802D10FB92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7AD19D-CFCD-4641-9A4D-1B258B12003E}">
  <ds:schemaRefs>
    <ds:schemaRef ds:uri="http://purl.org/dc/elements/1.1/"/>
    <ds:schemaRef ds:uri="http://schemas.microsoft.com/office/2006/metadata/properties"/>
    <ds:schemaRef ds:uri="dc46de24-d57a-404b-b33f-872b0795f910"/>
    <ds:schemaRef ds:uri="66841c24-44de-40e0-9335-51a1e6d8c0f0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HD Forecast 2025</vt:lpstr>
      <vt:lpstr>HD Forecast 2026</vt:lpstr>
      <vt:lpstr>Database</vt:lpstr>
      <vt:lpstr>Dashboard</vt:lpstr>
      <vt:lpstr>Internal Dashboard</vt:lpstr>
      <vt:lpstr>Hours in deviations</vt:lpstr>
      <vt:lpstr>Forms</vt:lpstr>
      <vt:lpstr>DATA</vt:lpstr>
      <vt:lpstr>Tables</vt:lpstr>
      <vt:lpstr>Database!d.conn</vt:lpstr>
      <vt:lpstr>Database!ind.start</vt:lpstr>
      <vt:lpstr>'Internal Dashboard'!MDDataBase</vt:lpstr>
      <vt:lpstr>MDDataBase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Adame</dc:creator>
  <cp:keywords/>
  <dc:description/>
  <cp:lastModifiedBy>Aldo Arteaga</cp:lastModifiedBy>
  <cp:revision/>
  <dcterms:created xsi:type="dcterms:W3CDTF">2023-04-13T23:00:16Z</dcterms:created>
  <dcterms:modified xsi:type="dcterms:W3CDTF">2026-02-24T17:33:43Z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0x010100C9415E4BCE366547B7A21B39CEF17036</vt:lpwstr>
  </property>
</Properties>
</file>